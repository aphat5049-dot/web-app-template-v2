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d98143ecd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ẮT_ĐẦU" sheetId="1" r:id="Rd681a2baefbe46ae"/>
    <x:sheet xmlns:r="http://schemas.openxmlformats.org/officeDocument/2006/relationships" name="DASHBOARD" sheetId="2" r:id="R2d6a52d9391345ad"/>
    <x:sheet xmlns:r="http://schemas.openxmlformats.org/officeDocument/2006/relationships" name="BÁO_GIÁ" sheetId="3" r:id="Rcbc7219a915b4ade"/>
    <x:sheet xmlns:r="http://schemas.openxmlformats.org/officeDocument/2006/relationships" name="CHI_TIẾT_BÁO_GIÁ" sheetId="4" r:id="R5aa956d6b4954eba"/>
    <x:sheet xmlns:r="http://schemas.openxmlformats.org/officeDocument/2006/relationships" name="ĐƠN_HÀNG" sheetId="5" r:id="R4f40ffe4520e406d"/>
    <x:sheet xmlns:r="http://schemas.openxmlformats.org/officeDocument/2006/relationships" name="CHI_TIẾT_ĐƠN_HÀNG" sheetId="6" r:id="Rcec2b2246de14c24"/>
    <x:sheet xmlns:r="http://schemas.openxmlformats.org/officeDocument/2006/relationships" name="GIAO_HÀNG" sheetId="7" r:id="Rb45e9a9b55b44e12"/>
    <x:sheet xmlns:r="http://schemas.openxmlformats.org/officeDocument/2006/relationships" name="CHI_TIẾT_GIAO_HÀNG" sheetId="8" r:id="R4bbe52738935414d"/>
    <x:sheet xmlns:r="http://schemas.openxmlformats.org/officeDocument/2006/relationships" name="THANH_TOÁN" sheetId="9" r:id="R549938a53e844f54"/>
    <x:sheet xmlns:r="http://schemas.openxmlformats.org/officeDocument/2006/relationships" name="KHÁCH_HÀNG" sheetId="10" r:id="Rf6596e47c58b4c93"/>
    <x:sheet xmlns:r="http://schemas.openxmlformats.org/officeDocument/2006/relationships" name="SẢN_PHẨM" sheetId="11" r:id="Rc107f30508324b1b"/>
    <x:sheet xmlns:r="http://schemas.openxmlformats.org/officeDocument/2006/relationships" name="NGƯỜI_DÙNG" sheetId="12" r:id="Rf53e4645825e4079"/>
    <x:sheet xmlns:r="http://schemas.openxmlformats.org/officeDocument/2006/relationships" name="CẤU_HÌNH" sheetId="13" r:id="Ra40edc4168c7487b"/>
    <x:sheet xmlns:r="http://schemas.openxmlformats.org/officeDocument/2006/relationships" name="NHẬT_KÝ" sheetId="14" r:id="Rfb156e00bb934092"/>
    <x:sheet xmlns:r="http://schemas.openxmlformats.org/officeDocument/2006/relationships" name="HƯỚNG_DẪN" sheetId="15" r:id="Rf15625d651fb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dd/mm/yyyy hh:mm"/>
    <x:numFmt numFmtId="202" formatCode="#,##0 &quot;₫&quot;"/>
    <x:numFmt numFmtId="203" formatCode="0.00%"/>
    <x:numFmt numFmtId="204" formatCode="0.0%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20"/>
      <x:color rgb="FFFFFFFF"/>
      <x:name val="Arial"/>
    </x:font>
    <x:font>
      <x:b/>
      <x:sz val="11"/>
      <x:color rgb="FF17365D"/>
      <x:name val="Arial"/>
    </x:font>
    <x:font>
      <x:sz val="11"/>
      <x:color rgb="FF1F2937"/>
      <x:name val="Arial"/>
    </x:font>
    <x:font>
      <x:b/>
      <x:sz val="11"/>
      <x:color rgb="FF7F6000"/>
      <x:name val="Arial"/>
    </x:font>
    <x:font>
      <x:b/>
      <x:sz val="18"/>
      <x:color rgb="FFFFFFFF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>
      <x:left/>
      <x:right/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7" borderId="2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7" borderId="2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6" borderId="2" xfId="0" applyNumberFormat="1" applyFont="1" applyFill="1" applyBorder="1" applyAlignment="1">
      <x:alignment vertical="center"/>
    </x:xf>
    <x:xf numFmtId="201" fontId="2" fillId="6" borderId="2" xfId="0" applyNumberFormat="1" applyFont="1" applyFill="1" applyBorder="1" applyAlignment="1">
      <x:alignment vertical="center"/>
    </x:xf>
    <x:xf numFmtId="203" fontId="2" fillId="6" borderId="2" xfId="0" applyNumberFormat="1" applyFont="1" applyFill="1" applyBorder="1" applyAlignment="1">
      <x:alignment vertical="center"/>
    </x:xf>
    <x:xf numFmtId="202" fontId="2" fillId="6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wrapText="1"/>
    </x:xf>
    <x:xf numFmtId="204" fontId="5" fillId="7" borderId="1" xfId="0" applyNumberFormat="1" applyFont="1" applyFill="1" applyBorder="1" applyAlignment="1">
      <x:alignment wrapText="1"/>
    </x:xf>
    <x:xf numFmtId="202" fontId="5" fillId="7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241a0649542a0" /><Relationship Type="http://schemas.openxmlformats.org/officeDocument/2006/relationships/theme" Target="/xl/theme/theme1.xml" Id="Rcf88b9be06b14717" /><Relationship Type="http://schemas.microsoft.com/office/2022/11/relationships/FeaturePropertyBag" Target="/xl/featurePropertyBag/featurePropertyBag.xml" Id="Rd97e5f719621465d" /><Relationship Type="http://schemas.openxmlformats.org/officeDocument/2006/relationships/sharedStrings" Target="/xl/sharedStrings.xml" Id="Rfbf895d10f8b4d15" /><Relationship Type="http://schemas.openxmlformats.org/officeDocument/2006/relationships/worksheet" Target="/xl/worksheets/sheet1.xml" Id="Rd681a2baefbe46ae" /><Relationship Type="http://schemas.openxmlformats.org/officeDocument/2006/relationships/worksheet" Target="/xl/worksheets/sheet2.xml" Id="R2d6a52d9391345ad" /><Relationship Type="http://schemas.openxmlformats.org/officeDocument/2006/relationships/worksheet" Target="/xl/worksheets/sheet3.xml" Id="Rcbc7219a915b4ade" /><Relationship Type="http://schemas.openxmlformats.org/officeDocument/2006/relationships/worksheet" Target="/xl/worksheets/sheet4.xml" Id="R5aa956d6b4954eba" /><Relationship Type="http://schemas.openxmlformats.org/officeDocument/2006/relationships/worksheet" Target="/xl/worksheets/sheet5.xml" Id="R4f40ffe4520e406d" /><Relationship Type="http://schemas.openxmlformats.org/officeDocument/2006/relationships/worksheet" Target="/xl/worksheets/sheet6.xml" Id="Rcec2b2246de14c24" /><Relationship Type="http://schemas.openxmlformats.org/officeDocument/2006/relationships/worksheet" Target="/xl/worksheets/sheet7.xml" Id="Rb45e9a9b55b44e12" /><Relationship Type="http://schemas.openxmlformats.org/officeDocument/2006/relationships/worksheet" Target="/xl/worksheets/sheet8.xml" Id="R4bbe52738935414d" /><Relationship Type="http://schemas.openxmlformats.org/officeDocument/2006/relationships/worksheet" Target="/xl/worksheets/sheet9.xml" Id="R549938a53e844f54" /><Relationship Type="http://schemas.openxmlformats.org/officeDocument/2006/relationships/worksheet" Target="/xl/worksheets/sheet10.xml" Id="Rf6596e47c58b4c93" /><Relationship Type="http://schemas.openxmlformats.org/officeDocument/2006/relationships/worksheet" Target="/xl/worksheets/sheet11.xml" Id="Rc107f30508324b1b" /><Relationship Type="http://schemas.openxmlformats.org/officeDocument/2006/relationships/worksheet" Target="/xl/worksheets/sheet12.xml" Id="Rf53e4645825e4079" /><Relationship Type="http://schemas.openxmlformats.org/officeDocument/2006/relationships/worksheet" Target="/xl/worksheets/sheet13.xml" Id="Ra40edc4168c7487b" /><Relationship Type="http://schemas.openxmlformats.org/officeDocument/2006/relationships/worksheet" Target="/xl/worksheets/sheet14.xml" Id="Rfb156e00bb934092" /><Relationship Type="http://schemas.openxmlformats.org/officeDocument/2006/relationships/worksheet" Target="/xl/worksheets/sheet15.xml" Id="Rf15625d651fb4b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2eb98c7e17408d" /><Relationship Type="http://schemas.openxmlformats.org/officeDocument/2006/relationships/chart" Target="/xl/drawings/charts/chart2.xml" Id="Rb8fb3e4d0c4241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Cơ cấu trạng thái đơn</a:t>
            </a:r>
          </a:p>
        </c:rich>
      </c:tx>
      <c:overlay val="0"/>
    </c:title>
    <c:plotArea>
      <c:pieChart>
        <c:ser>
          <c:idx val="0"/>
          <c:order val="0"/>
          <c:tx>
            <c:v>Số lượng</c:v>
          </c:tx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'DASHBOARD'!$B$16:$B$21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Doanh số theo kênh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Doanh số</c:v>
          </c:tx>
          <c:cat>
            <c:strRef>
              <c:f>'DASHBOARD'!$D$16:$D$19</c:f>
              <c:strCache>
                <c:ptCount val="0"/>
              </c:strCache>
            </c:strRef>
          </c:cat>
          <c:val>
            <c:numRef>
              <c:f>'DASHBOARD'!$E$16:$E$19</c:f>
              <c:numCache>
                <c:formatCode>#,##0 "₫"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2eb98c7e17408d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fb3e4d0c42411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GSheet Product Factory">
      <a:dk1>
        <a:srgbClr val="1F2937"/>
      </a:dk1>
      <a:lt1>
        <a:srgbClr val="FFFFFF"/>
      </a:lt1>
      <a:dk2>
        <a:srgbClr val="17365D"/>
      </a:dk2>
      <a:lt2>
        <a:srgbClr val="F8FAFC"/>
      </a:lt2>
      <a:accent1>
        <a:srgbClr val="1F4E78"/>
      </a:accent1>
      <a:accent2>
        <a:srgbClr val="2E75B6"/>
      </a:accent2>
      <a:accent3>
        <a:srgbClr val="70AD47"/>
      </a:accent3>
      <a:accent4>
        <a:srgbClr val="FFC000"/>
      </a:accent4>
      <a:accent5>
        <a:srgbClr val="5B9BD5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Sheet Product Factory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d0c27ec41d14d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62.220001220703125" hidden="0" customWidth="1"/>
  </x:cols>
  <x:sheetData>
    <x:row r="1">
      <x:c r="A1" s="13" t="str">
        <x:v>TEMPLATE GỐC NHÓM C — CRM &amp; BÁN HÀNG</x:v>
      </x:c>
      <x:c r="B1" s="13"/>
      <x:c r="C1" s="13"/>
      <x:c r="D1" s="13"/>
      <x:c r="E1" s="13"/>
      <x:c r="F1" s="13"/>
      <x:c r="G1" s="13"/>
      <x:c r="H1" s="13"/>
    </x:row>
    <x:row r="2">
      <x:c r="A2" s="13"/>
      <x:c r="B2" s="13"/>
      <x:c r="C2" s="13"/>
      <x:c r="D2" s="13"/>
      <x:c r="E2" s="13"/>
      <x:c r="F2" s="13"/>
      <x:c r="G2" s="13"/>
      <x:c r="H2" s="13"/>
    </x:row>
    <x:row r="4">
      <x:c r="A4" s="16" t="str">
        <x:v>Template</x:v>
      </x:c>
      <x:c r="B4" s="20" t="str">
        <x:v>GROUP-C-SALES-CORE</x:v>
      </x:c>
    </x:row>
    <x:row r="5">
      <x:c r="A5" s="16" t="str">
        <x:v>Phiên bản</x:v>
      </x:c>
      <x:c r="B5" s="20" t="str">
        <x:v>1.0.0-vi</x:v>
      </x:c>
    </x:row>
    <x:row r="6">
      <x:c r="A6" s="16" t="str">
        <x:v>Sản phẩm pilot</x:v>
      </x:c>
      <x:c r="B6" s="20" t="str">
        <x:v>GS-007 — Quản lý Báo giá</x:v>
      </x:c>
    </x:row>
    <x:row r="7">
      <x:c r="A7" s="16" t="str">
        <x:v>Mức xác minh</x:v>
      </x:c>
      <x:c r="B7" s="20" t="str">
        <x:v>G1_LOCAL</x:v>
      </x:c>
    </x:row>
    <x:row r="8">
      <x:c r="A8" s="16" t="str">
        <x:v>Google Sheets runtime</x:v>
      </x:c>
      <x:c r="B8" s="20" t="str">
        <x:v>Chưa chạy — cần kết nối Google Drive</x:v>
      </x:c>
    </x:row>
    <x:row r="9">
      <x:c r="A9" s="16" t="str">
        <x:v>Dữ liệu hiện tại</x:v>
      </x:c>
      <x:c r="B9" s="20" t="str">
        <x:v>DEMO mô phỏng, không chứa PII thật</x:v>
      </x:c>
    </x:row>
    <x:row r="10">
      <x:c r="A10" s="16" t="str">
        <x:v>Chế độ bàn giao</x:v>
      </x:c>
      <x:c r="B10" s="20" t="str">
        <x:v>Cài cấu trúc Sạch bằng Apps Script</x:v>
      </x:c>
    </x:row>
    <x:row r="11">
      <x:c r="A11" s="16" t="str">
        <x:v>Luồng nghiệp vụ</x:v>
      </x:c>
      <x:c r="B11" s="20" t="str">
        <x:v>Báo giá → phê duyệt → đơn hàng → giao hàng → thanh toán</x:v>
      </x:c>
    </x:row>
    <x:row r="12">
      <x:c r="A12" s="16" t="str">
        <x:v>Bước tiếp theo</x:v>
      </x:c>
      <x:c r="B12" s="20" t="str">
        <x:v>Import file, gắn installer.gs, chạy kiemTraHeThongBaoGiaDonHang()</x:v>
      </x:c>
    </x:row>
    <x:row r="14">
      <x:c r="A14" s="24" t="str">
        <x:v>Lưu ý phát hành: file này là bản đã kiểm thử cục bộ. Chỉ bật nút tải trên website sau khi có Spreadsheet ID thật, URL template/copy thật và evidence G2.</x:v>
      </x:c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.440000534057617" hidden="0" customWidth="1"/>
    <x:col min="2" max="2" width="16.670000076293945" hidden="0" customWidth="1"/>
    <x:col min="3" max="3" width="40" hidden="0" customWidth="1"/>
    <x:col min="4" max="4" width="16.670000076293945" hidden="0" customWidth="1"/>
    <x:col min="5" max="5" width="15.5600004196167" hidden="0" customWidth="1"/>
  </x:cols>
  <x:sheetData>
    <x:row r="1">
      <x:c r="A1" s="13" t="str">
        <x:v>TỔNG QUAN BÁN HÀNG</x:v>
      </x:c>
      <x:c r="B1" s="13"/>
      <x:c r="C1" s="13"/>
      <x:c r="D1" s="13"/>
      <x:c r="E1" s="13"/>
      <x:c r="F1" s="13"/>
      <x:c r="G1" s="13"/>
      <x:c r="H1" s="13"/>
    </x:row>
    <x:row r="2">
      <x:c r="A2" s="13"/>
      <x:c r="B2" s="13"/>
      <x:c r="C2" s="13"/>
      <x:c r="D2" s="13"/>
      <x:c r="E2" s="13"/>
      <x:c r="F2" s="13"/>
      <x:c r="G2" s="13"/>
      <x:c r="H2" s="13"/>
    </x:row>
    <x:row r="4">
      <x:c r="A4" s="47" t="str">
        <x:v>Chỉ số</x:v>
      </x:c>
      <x:c r="B4" s="47" t="str">
        <x:v>Giá trị</x:v>
      </x:c>
      <x:c r="C4" s="47" t="str">
        <x:v>Định nghĩa</x:v>
      </x:c>
    </x:row>
    <x:row r="5">
      <x:c r="A5" s="30" t="str">
        <x:v>Số báo giá</x:v>
      </x:c>
      <x:c r="B5" s="48" t="n">
        <x:f>COUNTA('BÁO_GIÁ'!$A$2:$A$500)</x:f>
        <x:v>6</x:v>
      </x:c>
      <x:c r="C5" s="30" t="str">
        <x:v>Tổng số revision báo giá</x:v>
      </x:c>
    </x:row>
    <x:row r="6">
      <x:c r="A6" s="30" t="str">
        <x:v>Tỷ lệ chuyển đổi</x:v>
      </x:c>
      <x:c r="B6" s="49" t="n">
        <x:f>IFERROR(COUNTIF('BÁO_GIÁ'!$H$2:$H$500,"CHẤP NHẬN")/(COUNTIF('BÁO_GIÁ'!$H$2:$H$500,"CHẤP NHẬN")+COUNTIF('BÁO_GIÁ'!$H$2:$H$500,"TỪ CHỐI")+COUNTIF('BÁO_GIÁ'!$H$2:$H$500,"HẾT HẠN")),0)</x:f>
        <x:v>0.3333333333333333</x:v>
      </x:c>
      <x:c r="C6" s="30" t="str">
        <x:v>Chấp nhận / (chấp nhận + từ chối + hết hạn)</x:v>
      </x:c>
    </x:row>
    <x:row r="7">
      <x:c r="A7" s="30" t="str">
        <x:v>Giá trị đơn không hủy</x:v>
      </x:c>
      <x:c r="B7" s="50" t="n">
        <x:f>SUMIFS('ĐƠN_HÀNG'!$G$2:$G$500,'ĐƠN_HÀNG'!$K$2:$K$500,"&lt;&gt;HỦY")</x:f>
        <x:v>3700000</x:v>
      </x:c>
      <x:c r="C7" s="30" t="str">
        <x:v>Tổng đơn hàng trừ đơn hủy</x:v>
      </x:c>
    </x:row>
    <x:row r="8">
      <x:c r="A8" s="30" t="str">
        <x:v>Thực thu xác nhận</x:v>
      </x:c>
      <x:c r="B8" s="50" t="n">
        <x:f>SUMIFS('THANH_TOÁN'!$D$2:$D$500,'THANH_TOÁN'!$F$2:$F$500,"ĐÃ XÁC NHẬN")</x:f>
        <x:v>1400000</x:v>
      </x:c>
      <x:c r="C8" s="30" t="str">
        <x:v>Chỉ khoản đã xác nhận</x:v>
      </x:c>
    </x:row>
    <x:row r="9">
      <x:c r="A9" s="30" t="str">
        <x:v>Công nợ</x:v>
      </x:c>
      <x:c r="B9" s="50" t="n">
        <x:f>SUMIFS('ĐƠN_HÀNG'!$I$2:$I$500,'ĐƠN_HÀNG'!$K$2:$K$500,"&lt;&gt;HỦY")</x:f>
        <x:v>2300000</x:v>
      </x:c>
      <x:c r="C9" s="30" t="str">
        <x:v>Giá trị đơn chưa thu</x:v>
      </x:c>
    </x:row>
    <x:row r="10">
      <x:c r="A10" s="30" t="str">
        <x:v>Đơn quá hạn</x:v>
      </x:c>
      <x:c r="B10" s="48" t="n">
        <x:f>COUNTIF('ĐƠN_HÀNG'!$J$2:$J$500,"QUÁ HẠN")</x:f>
        <x:v>3</x:v>
      </x:c>
      <x:c r="C10" s="30" t="str">
        <x:v>Quá hạn và còn công nợ</x:v>
      </x:c>
    </x:row>
    <x:row r="11">
      <x:c r="A11" s="30" t="str">
        <x:v>Dòng giao thiếu</x:v>
      </x:c>
      <x:c r="B11" s="48" t="n">
        <x:f>COUNTIF('CHI_TIẾT_ĐƠN_HÀNG'!$J$2:$J$500,"&gt;0")</x:f>
        <x:v>7</x:v>
      </x:c>
      <x:c r="C11" s="30" t="str">
        <x:v>Dòng đơn còn phải giao</x:v>
      </x:c>
    </x:row>
    <x:row r="12">
      <x:c r="A12" s="30" t="str">
        <x:v>Lợi nhuận gộp dự kiến</x:v>
      </x:c>
      <x:c r="B12" s="50" t="n">
        <x:f>SUM('CHI_TIẾT_ĐƠN_HÀNG'!$K$2:$K$500)</x:f>
        <x:v>1860000</x:v>
      </x:c>
      <x:c r="C12" s="30" t="str">
        <x:v>Doanh thu dòng trừ giá vốn</x:v>
      </x:c>
    </x:row>
    <x:row r="15">
      <x:c r="A15" s="46" t="str">
        <x:v>Trạng thái đơn</x:v>
      </x:c>
      <x:c r="B15" s="46" t="str">
        <x:v>Số lượng</x:v>
      </x:c>
      <x:c r="D15" s="46" t="str">
        <x:v>Kênh bán</x:v>
      </x:c>
      <x:c r="E15" s="46" t="str">
        <x:v>Doanh số</x:v>
      </x:c>
    </x:row>
    <x:row r="16">
      <x:c r="A16" s="51" t="str">
        <x:v>MỚI</x:v>
      </x:c>
      <x:c r="B16" s="51" t="n">
        <x:f>COUNTIF('ĐƠN_HÀNG'!$K$2:$K$500,A16)</x:f>
        <x:v>0</x:v>
      </x:c>
      <x:c r="D16" s="51" t="str">
        <x:v>TRỰC TIẾP</x:v>
      </x:c>
      <x:c r="E16" s="52" t="n">
        <x:f>SUMIFS('ĐƠN_HÀNG'!$G$2:$G$500,'ĐƠN_HÀNG'!$F$2:$F$500,D16,'ĐƠN_HÀNG'!$K$2:$K$500,"&lt;&gt;HỦY")</x:f>
        <x:v>1700000</x:v>
      </x:c>
    </x:row>
    <x:row r="17">
      <x:c r="A17" s="51" t="str">
        <x:v>XÁC NHẬN</x:v>
      </x:c>
      <x:c r="B17" s="51" t="n">
        <x:f>COUNTIF('ĐƠN_HÀNG'!$K$2:$K$500,A17)</x:f>
        <x:v>1</x:v>
      </x:c>
      <x:c r="D17" s="51" t="str">
        <x:v>ĐIỆN THOẠI</x:v>
      </x:c>
      <x:c r="E17" s="52" t="n">
        <x:f>SUMIFS('ĐƠN_HÀNG'!$G$2:$G$500,'ĐƠN_HÀNG'!$F$2:$F$500,D17,'ĐƠN_HÀNG'!$K$2:$K$500,"&lt;&gt;HỦY")</x:f>
        <x:v>1300000</x:v>
      </x:c>
    </x:row>
    <x:row r="18">
      <x:c r="A18" s="51" t="str">
        <x:v>ĐANG GIAO</x:v>
      </x:c>
      <x:c r="B18" s="51" t="n">
        <x:f>COUNTIF('ĐƠN_HÀNG'!$K$2:$K$500,A18)</x:f>
        <x:v>1</x:v>
      </x:c>
      <x:c r="D18" s="51" t="str">
        <x:v>WEBSITE</x:v>
      </x:c>
      <x:c r="E18" s="52" t="n">
        <x:f>SUMIFS('ĐƠN_HÀNG'!$G$2:$G$500,'ĐƠN_HÀNG'!$F$2:$F$500,D18,'ĐƠN_HÀNG'!$K$2:$K$500,"&lt;&gt;HỦY")</x:f>
        <x:v>0</x:v>
      </x:c>
    </x:row>
    <x:row r="19">
      <x:c r="A19" s="51" t="str">
        <x:v>GIAO MỘT PHẦN</x:v>
      </x:c>
      <x:c r="B19" s="51" t="n">
        <x:f>COUNTIF('ĐƠN_HÀNG'!$K$2:$K$500,A19)</x:f>
        <x:v>1</x:v>
      </x:c>
      <x:c r="D19" s="51" t="str">
        <x:v>ĐỐI TÁC</x:v>
      </x:c>
      <x:c r="E19" s="52" t="n">
        <x:f>SUMIFS('ĐƠN_HÀNG'!$G$2:$G$500,'ĐƠN_HÀNG'!$F$2:$F$500,D19,'ĐƠN_HÀNG'!$K$2:$K$500,"&lt;&gt;HỦY")</x:f>
        <x:v>700000</x:v>
      </x:c>
    </x:row>
    <x:row r="20">
      <x:c r="A20" s="51" t="str">
        <x:v>HOÀN TẤT</x:v>
      </x:c>
      <x:c r="B20" s="51" t="n">
        <x:f>COUNTIF('ĐƠN_HÀNG'!$K$2:$K$500,A20)</x:f>
        <x:v>1</x:v>
      </x:c>
    </x:row>
    <x:row r="21">
      <x:c r="A21" s="51" t="str">
        <x:v>HỦY</x:v>
      </x:c>
      <x:c r="B21" s="51" t="n">
        <x:f>COUNTIF('ĐƠN_HÀNG'!$K$2:$K$500,A21)</x:f>
        <x:v>1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cd0c27ec41d14dfd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</x:cols>
  <x:sheetData>
    <x:row r="1" ht="27" customHeight="1">
      <x:c r="A1" s="6" t="str">
        <x:v>Mã báo giá revision</x:v>
      </x:c>
      <x:c r="B1" s="6" t="str">
        <x:v>Mã báo giá</x:v>
      </x:c>
      <x:c r="C1" s="6" t="str">
        <x:v>Revision</x:v>
      </x:c>
      <x:c r="D1" s="6" t="str">
        <x:v>Là revision mới nhất</x:v>
      </x:c>
      <x:c r="E1" s="6" t="str">
        <x:v>Mã khách hàng</x:v>
      </x:c>
      <x:c r="F1" s="6" t="str">
        <x:v>Ngày báo giá</x:v>
      </x:c>
      <x:c r="G1" s="6" t="str">
        <x:v>Hạn hiệu lực</x:v>
      </x:c>
      <x:c r="H1" s="6" t="str">
        <x:v>Trạng thái</x:v>
      </x:c>
      <x:c r="I1" s="6" t="str">
        <x:v>Tổng thanh toán</x:v>
      </x:c>
      <x:c r="J1" s="6" t="str">
        <x:v>Cảnh báo</x:v>
      </x:c>
      <x:c r="K1" s="6" t="str">
        <x:v>Người phụ trách</x:v>
      </x:c>
      <x:c r="L1" s="6" t="str">
        <x:v>Phiên bản dòng</x:v>
      </x:c>
      <x:c r="M1" s="6" t="str">
        <x:v>Người tạo</x:v>
      </x:c>
      <x:c r="N1" s="6" t="str">
        <x:v>Người duyệt</x:v>
      </x:c>
      <x:c r="O1" s="6" t="str">
        <x:v>Thời điểm duyệt</x:v>
      </x:c>
      <x:c r="P1" s="6" t="str">
        <x:v>Lý do từ chối</x:v>
      </x:c>
      <x:c r="Q1" s="6" t="str">
        <x:v>Cập nhật lúc</x:v>
      </x:c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BG-001-R1</x:v>
      </x:c>
      <x:c r="B2" s="39" t="str">
        <x:v>BG-001</x:v>
      </x:c>
      <x:c r="C2" s="39" t="n">
        <x:v>1</x:v>
      </x:c>
      <x:c r="D2" s="40" t="b">
        <x:v>0</x:v>
      </x:c>
      <x:c r="E2" s="39" t="str">
        <x:v>KH-001</x:v>
      </x:c>
      <x:c r="F2" s="41" t="d">
        <x:v>2026-08-01T00:00:00.000Z</x:v>
      </x:c>
      <x:c r="G2" s="41" t="d">
        <x:v>2026-08-15T00:00:00.000Z</x:v>
      </x:c>
      <x:c r="H2" s="39" t="str">
        <x:v>ĐÃ DUYỆT</x:v>
      </x:c>
      <x:c r="I2" s="35" t="n">
        <x:f>IF(A2="","",SUMIFS('CHI_TIẾT_BÁO_GIÁ'!$N$2:$N$500,'CHI_TIẾT_BÁO_GIÁ'!$B$2:$B$500,A2))</x:f>
        <x:v>464400</x:v>
      </x:c>
      <x:c r="J2" s="36" t="str">
        <x:f>IF(A2="","",IF(AND(H2="ĐÃ GỬI",G2&lt;TODAY()),"HẾT HẠN",""))</x:f>
      </x:c>
      <x:c r="K2" s="39" t="str">
        <x:v>NV-003</x:v>
      </x:c>
      <x:c r="L2" s="39" t="n">
        <x:v>3</x:v>
      </x:c>
      <x:c r="M2" s="39" t="str">
        <x:v>NV-003</x:v>
      </x:c>
      <x:c r="N2" s="39" t="str">
        <x:v>NV-001</x:v>
      </x:c>
      <x:c r="O2" s="42" t="d">
        <x:v>2026-08-02T02:00:00.000Z</x:v>
      </x:c>
      <x:c r="P2" s="39" t="str"/>
      <x:c r="Q2" s="42" t="d">
        <x:v>2026-08-02T02:00:00.000Z</x:v>
      </x:c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BG-001-R2</x:v>
      </x:c>
      <x:c r="B3" s="39" t="str">
        <x:v>BG-001</x:v>
      </x:c>
      <x:c r="C3" s="39" t="n">
        <x:v>2</x:v>
      </x:c>
      <x:c r="D3" s="40" t="b">
        <x:v>1</x:v>
      </x:c>
      <x:c r="E3" s="39" t="str">
        <x:v>KH-001</x:v>
      </x:c>
      <x:c r="F3" s="41" t="d">
        <x:v>2026-08-05T00:00:00.000Z</x:v>
      </x:c>
      <x:c r="G3" s="41" t="d">
        <x:v>2026-08-20T00:00:00.000Z</x:v>
      </x:c>
      <x:c r="H3" s="39" t="str">
        <x:v>CHẤP NHẬN</x:v>
      </x:c>
      <x:c r="I3" s="35" t="n">
        <x:f>IF(A3="","",SUMIFS('CHI_TIẾT_BÁO_GIÁ'!$N$2:$N$500,'CHI_TIẾT_BÁO_GIÁ'!$B$2:$B$500,A3))</x:f>
        <x:v>626400</x:v>
      </x:c>
      <x:c r="J3" s="36" t="str">
        <x:f>IF(A3="","",IF(AND(H3="ĐÃ GỬI",G3&lt;TODAY()),"HẾT HẠN",""))</x:f>
      </x:c>
      <x:c r="K3" s="39" t="str">
        <x:v>NV-003</x:v>
      </x:c>
      <x:c r="L3" s="39" t="n">
        <x:v>6</x:v>
      </x:c>
      <x:c r="M3" s="39" t="str">
        <x:v>NV-003</x:v>
      </x:c>
      <x:c r="N3" s="39" t="str">
        <x:v>NV-001</x:v>
      </x:c>
      <x:c r="O3" s="42" t="d">
        <x:v>2026-08-06T02:00:00.000Z</x:v>
      </x:c>
      <x:c r="P3" s="39" t="str"/>
      <x:c r="Q3" s="42" t="d">
        <x:v>2026-08-08T02:00:00.000Z</x:v>
      </x:c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BG-002-R1</x:v>
      </x:c>
      <x:c r="B4" s="39" t="str">
        <x:v>BG-002</x:v>
      </x:c>
      <x:c r="C4" s="39" t="n">
        <x:v>1</x:v>
      </x:c>
      <x:c r="D4" s="40" t="b">
        <x:v>1</x:v>
      </x:c>
      <x:c r="E4" s="39" t="str">
        <x:v>KH-002</x:v>
      </x:c>
      <x:c r="F4" s="41" t="d">
        <x:v>2026-08-12T00:00:00.000Z</x:v>
      </x:c>
      <x:c r="G4" s="41" t="d">
        <x:v>2026-08-26T00:00:00.000Z</x:v>
      </x:c>
      <x:c r="H4" s="39" t="str">
        <x:v>TỪ CHỐI</x:v>
      </x:c>
      <x:c r="I4" s="35" t="n">
        <x:f>IF(A4="","",SUMIFS('CHI_TIẾT_BÁO_GIÁ'!$N$2:$N$500,'CHI_TIẾT_BÁO_GIÁ'!$B$2:$B$500,A4))</x:f>
        <x:v>939600</x:v>
      </x:c>
      <x:c r="J4" s="36" t="str">
        <x:f>IF(A4="","",IF(AND(H4="ĐÃ GỬI",G4&lt;TODAY()),"HẾT HẠN",""))</x:f>
      </x:c>
      <x:c r="K4" s="39" t="str">
        <x:v>NV-004</x:v>
      </x:c>
      <x:c r="L4" s="39" t="n">
        <x:v>3</x:v>
      </x:c>
      <x:c r="M4" s="39" t="str">
        <x:v>NV-004</x:v>
      </x:c>
      <x:c r="N4" s="39" t="str">
        <x:v>NV-002</x:v>
      </x:c>
      <x:c r="O4" s="42" t="d">
        <x:v>2026-08-13T02:00:00.000Z</x:v>
      </x:c>
      <x:c r="P4" s="39" t="str">
        <x:v>Ngân sách chưa phù hợp</x:v>
      </x:c>
      <x:c r="Q4" s="42" t="d">
        <x:v>2026-08-13T02:00:00.000Z</x:v>
      </x:c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BG-003-R1</x:v>
      </x:c>
      <x:c r="B5" s="39" t="str">
        <x:v>BG-003</x:v>
      </x:c>
      <x:c r="C5" s="39" t="n">
        <x:v>1</x:v>
      </x:c>
      <x:c r="D5" s="40" t="b">
        <x:v>1</x:v>
      </x:c>
      <x:c r="E5" s="39" t="str">
        <x:v>KH-003</x:v>
      </x:c>
      <x:c r="F5" s="41" t="d">
        <x:v>2026-09-01T00:00:00.000Z</x:v>
      </x:c>
      <x:c r="G5" s="41" t="d">
        <x:v>2026-09-15T00:00:00.000Z</x:v>
      </x:c>
      <x:c r="H5" s="39" t="str">
        <x:v>HẾT HẠN</x:v>
      </x:c>
      <x:c r="I5" s="35" t="n">
        <x:f>IF(A5="","",SUMIFS('CHI_TIẾT_BÁO_GIÁ'!$N$2:$N$500,'CHI_TIẾT_BÁO_GIÁ'!$B$2:$B$500,A5))</x:f>
        <x:v>486000</x:v>
      </x:c>
      <x:c r="J5" s="36" t="str">
        <x:f>IF(A5="","",IF(AND(H5="ĐÃ GỬI",G5&lt;TODAY()),"HẾT HẠN",""))</x:f>
      </x:c>
      <x:c r="K5" s="39" t="str">
        <x:v>NV-003</x:v>
      </x:c>
      <x:c r="L5" s="39" t="n">
        <x:v>5</x:v>
      </x:c>
      <x:c r="M5" s="39" t="str">
        <x:v>NV-003</x:v>
      </x:c>
      <x:c r="N5" s="39" t="str">
        <x:v>NV-001</x:v>
      </x:c>
      <x:c r="O5" s="42" t="d">
        <x:v>2026-09-02T02:00:00.000Z</x:v>
      </x:c>
      <x:c r="P5" s="39" t="str"/>
      <x:c r="Q5" s="42" t="d">
        <x:v>2026-09-16T02:00:00.000Z</x:v>
      </x:c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BG-004-R1</x:v>
      </x:c>
      <x:c r="B6" s="39" t="str">
        <x:v>BG-004</x:v>
      </x:c>
      <x:c r="C6" s="39" t="n">
        <x:v>1</x:v>
      </x:c>
      <x:c r="D6" s="40" t="b">
        <x:v>1</x:v>
      </x:c>
      <x:c r="E6" s="39" t="str">
        <x:v>KH-004</x:v>
      </x:c>
      <x:c r="F6" s="41" t="d">
        <x:v>2026-09-20T00:00:00.000Z</x:v>
      </x:c>
      <x:c r="G6" s="41" t="d">
        <x:v>2026-10-04T00:00:00.000Z</x:v>
      </x:c>
      <x:c r="H6" s="39" t="str">
        <x:v>CHỜ DUYỆT</x:v>
      </x:c>
      <x:c r="I6" s="35" t="n">
        <x:f>IF(A6="","",SUMIFS('CHI_TIẾT_BÁO_GIÁ'!$N$2:$N$500,'CHI_TIẾT_BÁO_GIÁ'!$B$2:$B$500,A6))</x:f>
        <x:v>540000</x:v>
      </x:c>
      <x:c r="J6" s="36" t="str">
        <x:f>IF(A6="","",IF(AND(H6="ĐÃ GỬI",G6&lt;TODAY()),"HẾT HẠN",""))</x:f>
      </x:c>
      <x:c r="K6" s="39" t="str">
        <x:v>NV-004</x:v>
      </x:c>
      <x:c r="L6" s="39" t="n">
        <x:v>2</x:v>
      </x:c>
      <x:c r="M6" s="39" t="str">
        <x:v>NV-004</x:v>
      </x:c>
      <x:c r="N6" s="39" t="str"/>
      <x:c r="O6" s="42"/>
      <x:c r="P6" s="39" t="str"/>
      <x:c r="Q6" s="42" t="d">
        <x:v>2026-09-20T02:00:00.000Z</x:v>
      </x:c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 t="str">
        <x:v>BG-005-R1</x:v>
      </x:c>
      <x:c r="B7" s="39" t="str">
        <x:v>BG-005</x:v>
      </x:c>
      <x:c r="C7" s="39" t="n">
        <x:v>1</x:v>
      </x:c>
      <x:c r="D7" s="40" t="b">
        <x:v>1</x:v>
      </x:c>
      <x:c r="E7" s="39" t="str">
        <x:v>KH-005</x:v>
      </x:c>
      <x:c r="F7" s="41" t="d">
        <x:v>2026-09-25T00:00:00.000Z</x:v>
      </x:c>
      <x:c r="G7" s="41" t="d">
        <x:v>2026-10-10T00:00:00.000Z</x:v>
      </x:c>
      <x:c r="H7" s="39" t="str">
        <x:v>NHÁP</x:v>
      </x:c>
      <x:c r="I7" s="35" t="n">
        <x:f>IF(A7="","",SUMIFS('CHI_TIẾT_BÁO_GIÁ'!$N$2:$N$500,'CHI_TIẾT_BÁO_GIÁ'!$B$2:$B$500,A7))</x:f>
        <x:v>432000</x:v>
      </x:c>
      <x:c r="J7" s="36" t="str">
        <x:f>IF(A7="","",IF(AND(H7="ĐÃ GỬI",G7&lt;TODAY()),"HẾT HẠN",""))</x:f>
      </x:c>
      <x:c r="K7" s="39" t="str">
        <x:v>NV-003</x:v>
      </x:c>
      <x:c r="L7" s="39" t="n">
        <x:v>1</x:v>
      </x:c>
      <x:c r="M7" s="39" t="str">
        <x:v>NV-003</x:v>
      </x:c>
      <x:c r="N7" s="39" t="str"/>
      <x:c r="O7" s="42"/>
      <x:c r="P7" s="39" t="str"/>
      <x:c r="Q7" s="42" t="d">
        <x:v>2026-09-25T02:00:00.000Z</x:v>
      </x:c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39"/>
      <x:c r="D8" s="39"/>
      <x:c r="E8" s="39"/>
      <x:c r="F8" s="41"/>
      <x:c r="G8" s="41"/>
      <x:c r="H8" s="39"/>
      <x:c r="I8" s="35" t="str">
        <x:f>IF(A8="","",SUMIFS('CHI_TIẾT_BÁO_GIÁ'!$N$2:$N$500,'CHI_TIẾT_BÁO_GIÁ'!$B$2:$B$500,A8))</x:f>
      </x:c>
      <x:c r="J8" s="36" t="str">
        <x:f>IF(A8="","",IF(AND(H8="ĐÃ GỬI",G8&lt;TODAY()),"HẾT HẠN",""))</x:f>
      </x:c>
      <x:c r="K8" s="39"/>
      <x:c r="L8" s="39"/>
      <x:c r="M8" s="39"/>
      <x:c r="N8" s="39"/>
      <x:c r="O8" s="42"/>
      <x:c r="P8" s="39"/>
      <x:c r="Q8" s="42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39"/>
      <x:c r="D9" s="39"/>
      <x:c r="E9" s="39"/>
      <x:c r="F9" s="41"/>
      <x:c r="G9" s="41"/>
      <x:c r="H9" s="39"/>
      <x:c r="I9" s="35" t="str">
        <x:f>IF(A9="","",SUMIFS('CHI_TIẾT_BÁO_GIÁ'!$N$2:$N$500,'CHI_TIẾT_BÁO_GIÁ'!$B$2:$B$500,A9))</x:f>
      </x:c>
      <x:c r="J9" s="36" t="str">
        <x:f>IF(A9="","",IF(AND(H9="ĐÃ GỬI",G9&lt;TODAY()),"HẾT HẠN",""))</x:f>
      </x:c>
      <x:c r="K9" s="39"/>
      <x:c r="L9" s="39"/>
      <x:c r="M9" s="39"/>
      <x:c r="N9" s="39"/>
      <x:c r="O9" s="42"/>
      <x:c r="P9" s="39"/>
      <x:c r="Q9" s="42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39"/>
      <x:c r="E10" s="39"/>
      <x:c r="F10" s="41"/>
      <x:c r="G10" s="41"/>
      <x:c r="H10" s="39"/>
      <x:c r="I10" s="35" t="str">
        <x:f>IF(A10="","",SUMIFS('CHI_TIẾT_BÁO_GIÁ'!$N$2:$N$500,'CHI_TIẾT_BÁO_GIÁ'!$B$2:$B$500,A10))</x:f>
      </x:c>
      <x:c r="J10" s="36" t="str">
        <x:f>IF(A10="","",IF(AND(H10="ĐÃ GỬI",G10&lt;TODAY()),"HẾT HẠN",""))</x:f>
      </x:c>
      <x:c r="K10" s="39"/>
      <x:c r="L10" s="39"/>
      <x:c r="M10" s="39"/>
      <x:c r="N10" s="39"/>
      <x:c r="O10" s="42"/>
      <x:c r="P10" s="39"/>
      <x:c r="Q10" s="42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39"/>
      <x:c r="E11" s="39"/>
      <x:c r="F11" s="41"/>
      <x:c r="G11" s="41"/>
      <x:c r="H11" s="39"/>
      <x:c r="I11" s="35" t="str">
        <x:f>IF(A11="","",SUMIFS('CHI_TIẾT_BÁO_GIÁ'!$N$2:$N$500,'CHI_TIẾT_BÁO_GIÁ'!$B$2:$B$500,A11))</x:f>
      </x:c>
      <x:c r="J11" s="36" t="str">
        <x:f>IF(A11="","",IF(AND(H11="ĐÃ GỬI",G11&lt;TODAY()),"HẾT HẠN",""))</x:f>
      </x:c>
      <x:c r="K11" s="39"/>
      <x:c r="L11" s="39"/>
      <x:c r="M11" s="39"/>
      <x:c r="N11" s="39"/>
      <x:c r="O11" s="42"/>
      <x:c r="P11" s="39"/>
      <x:c r="Q11" s="42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39"/>
      <x:c r="E12" s="39"/>
      <x:c r="F12" s="41"/>
      <x:c r="G12" s="41"/>
      <x:c r="H12" s="39"/>
      <x:c r="I12" s="35" t="str">
        <x:f>IF(A12="","",SUMIFS('CHI_TIẾT_BÁO_GIÁ'!$N$2:$N$500,'CHI_TIẾT_BÁO_GIÁ'!$B$2:$B$500,A12))</x:f>
      </x:c>
      <x:c r="J12" s="36" t="str">
        <x:f>IF(A12="","",IF(AND(H12="ĐÃ GỬI",G12&lt;TODAY()),"HẾT HẠN",""))</x:f>
      </x:c>
      <x:c r="K12" s="39"/>
      <x:c r="L12" s="39"/>
      <x:c r="M12" s="39"/>
      <x:c r="N12" s="39"/>
      <x:c r="O12" s="42"/>
      <x:c r="P12" s="39"/>
      <x:c r="Q12" s="42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39"/>
      <x:c r="E13" s="39"/>
      <x:c r="F13" s="41"/>
      <x:c r="G13" s="41"/>
      <x:c r="H13" s="39"/>
      <x:c r="I13" s="35" t="str">
        <x:f>IF(A13="","",SUMIFS('CHI_TIẾT_BÁO_GIÁ'!$N$2:$N$500,'CHI_TIẾT_BÁO_GIÁ'!$B$2:$B$500,A13))</x:f>
      </x:c>
      <x:c r="J13" s="36" t="str">
        <x:f>IF(A13="","",IF(AND(H13="ĐÃ GỬI",G13&lt;TODAY()),"HẾT HẠN",""))</x:f>
      </x:c>
      <x:c r="K13" s="39"/>
      <x:c r="L13" s="39"/>
      <x:c r="M13" s="39"/>
      <x:c r="N13" s="39"/>
      <x:c r="O13" s="42"/>
      <x:c r="P13" s="39"/>
      <x:c r="Q13" s="42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39"/>
      <x:c r="E14" s="39"/>
      <x:c r="F14" s="41"/>
      <x:c r="G14" s="41"/>
      <x:c r="H14" s="39"/>
      <x:c r="I14" s="35" t="str">
        <x:f>IF(A14="","",SUMIFS('CHI_TIẾT_BÁO_GIÁ'!$N$2:$N$500,'CHI_TIẾT_BÁO_GIÁ'!$B$2:$B$500,A14))</x:f>
      </x:c>
      <x:c r="J14" s="36" t="str">
        <x:f>IF(A14="","",IF(AND(H14="ĐÃ GỬI",G14&lt;TODAY()),"HẾT HẠN",""))</x:f>
      </x:c>
      <x:c r="K14" s="39"/>
      <x:c r="L14" s="39"/>
      <x:c r="M14" s="39"/>
      <x:c r="N14" s="39"/>
      <x:c r="O14" s="42"/>
      <x:c r="P14" s="39"/>
      <x:c r="Q14" s="42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39"/>
      <x:c r="E15" s="39"/>
      <x:c r="F15" s="41"/>
      <x:c r="G15" s="41"/>
      <x:c r="H15" s="39"/>
      <x:c r="I15" s="35" t="str">
        <x:f>IF(A15="","",SUMIFS('CHI_TIẾT_BÁO_GIÁ'!$N$2:$N$500,'CHI_TIẾT_BÁO_GIÁ'!$B$2:$B$500,A15))</x:f>
      </x:c>
      <x:c r="J15" s="36" t="str">
        <x:f>IF(A15="","",IF(AND(H15="ĐÃ GỬI",G15&lt;TODAY()),"HẾT HẠN",""))</x:f>
      </x:c>
      <x:c r="K15" s="39"/>
      <x:c r="L15" s="39"/>
      <x:c r="M15" s="39"/>
      <x:c r="N15" s="39"/>
      <x:c r="O15" s="42"/>
      <x:c r="P15" s="39"/>
      <x:c r="Q15" s="42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39"/>
      <x:c r="E16" s="39"/>
      <x:c r="F16" s="41"/>
      <x:c r="G16" s="41"/>
      <x:c r="H16" s="39"/>
      <x:c r="I16" s="35" t="str">
        <x:f>IF(A16="","",SUMIFS('CHI_TIẾT_BÁO_GIÁ'!$N$2:$N$500,'CHI_TIẾT_BÁO_GIÁ'!$B$2:$B$500,A16))</x:f>
      </x:c>
      <x:c r="J16" s="36" t="str">
        <x:f>IF(A16="","",IF(AND(H16="ĐÃ GỬI",G16&lt;TODAY()),"HẾT HẠN",""))</x:f>
      </x:c>
      <x:c r="K16" s="39"/>
      <x:c r="L16" s="39"/>
      <x:c r="M16" s="39"/>
      <x:c r="N16" s="39"/>
      <x:c r="O16" s="42"/>
      <x:c r="P16" s="39"/>
      <x:c r="Q16" s="42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39"/>
      <x:c r="E17" s="39"/>
      <x:c r="F17" s="41"/>
      <x:c r="G17" s="41"/>
      <x:c r="H17" s="39"/>
      <x:c r="I17" s="35" t="str">
        <x:f>IF(A17="","",SUMIFS('CHI_TIẾT_BÁO_GIÁ'!$N$2:$N$500,'CHI_TIẾT_BÁO_GIÁ'!$B$2:$B$500,A17))</x:f>
      </x:c>
      <x:c r="J17" s="36" t="str">
        <x:f>IF(A17="","",IF(AND(H17="ĐÃ GỬI",G17&lt;TODAY()),"HẾT HẠN",""))</x:f>
      </x:c>
      <x:c r="K17" s="39"/>
      <x:c r="L17" s="39"/>
      <x:c r="M17" s="39"/>
      <x:c r="N17" s="39"/>
      <x:c r="O17" s="42"/>
      <x:c r="P17" s="39"/>
      <x:c r="Q17" s="42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39"/>
      <x:c r="E18" s="39"/>
      <x:c r="F18" s="41"/>
      <x:c r="G18" s="41"/>
      <x:c r="H18" s="39"/>
      <x:c r="I18" s="35" t="str">
        <x:f>IF(A18="","",SUMIFS('CHI_TIẾT_BÁO_GIÁ'!$N$2:$N$500,'CHI_TIẾT_BÁO_GIÁ'!$B$2:$B$500,A18))</x:f>
      </x:c>
      <x:c r="J18" s="36" t="str">
        <x:f>IF(A18="","",IF(AND(H18="ĐÃ GỬI",G18&lt;TODAY()),"HẾT HẠN",""))</x:f>
      </x:c>
      <x:c r="K18" s="39"/>
      <x:c r="L18" s="39"/>
      <x:c r="M18" s="39"/>
      <x:c r="N18" s="39"/>
      <x:c r="O18" s="42"/>
      <x:c r="P18" s="39"/>
      <x:c r="Q18" s="42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39"/>
      <x:c r="E19" s="39"/>
      <x:c r="F19" s="41"/>
      <x:c r="G19" s="41"/>
      <x:c r="H19" s="39"/>
      <x:c r="I19" s="35" t="str">
        <x:f>IF(A19="","",SUMIFS('CHI_TIẾT_BÁO_GIÁ'!$N$2:$N$500,'CHI_TIẾT_BÁO_GIÁ'!$B$2:$B$500,A19))</x:f>
      </x:c>
      <x:c r="J19" s="36" t="str">
        <x:f>IF(A19="","",IF(AND(H19="ĐÃ GỬI",G19&lt;TODAY()),"HẾT HẠN",""))</x:f>
      </x:c>
      <x:c r="K19" s="39"/>
      <x:c r="L19" s="39"/>
      <x:c r="M19" s="39"/>
      <x:c r="N19" s="39"/>
      <x:c r="O19" s="42"/>
      <x:c r="P19" s="39"/>
      <x:c r="Q19" s="42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39"/>
      <x:c r="E20" s="39"/>
      <x:c r="F20" s="41"/>
      <x:c r="G20" s="41"/>
      <x:c r="H20" s="39"/>
      <x:c r="I20" s="35" t="str">
        <x:f>IF(A20="","",SUMIFS('CHI_TIẾT_BÁO_GIÁ'!$N$2:$N$500,'CHI_TIẾT_BÁO_GIÁ'!$B$2:$B$500,A20))</x:f>
      </x:c>
      <x:c r="J20" s="36" t="str">
        <x:f>IF(A20="","",IF(AND(H20="ĐÃ GỬI",G20&lt;TODAY()),"HẾT HẠN",""))</x:f>
      </x:c>
      <x:c r="K20" s="39"/>
      <x:c r="L20" s="39"/>
      <x:c r="M20" s="39"/>
      <x:c r="N20" s="39"/>
      <x:c r="O20" s="42"/>
      <x:c r="P20" s="39"/>
      <x:c r="Q20" s="42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39"/>
      <x:c r="E21" s="39"/>
      <x:c r="F21" s="41"/>
      <x:c r="G21" s="41"/>
      <x:c r="H21" s="39"/>
      <x:c r="I21" s="35" t="str">
        <x:f>IF(A21="","",SUMIFS('CHI_TIẾT_BÁO_GIÁ'!$N$2:$N$500,'CHI_TIẾT_BÁO_GIÁ'!$B$2:$B$500,A21))</x:f>
      </x:c>
      <x:c r="J21" s="36" t="str">
        <x:f>IF(A21="","",IF(AND(H21="ĐÃ GỬI",G21&lt;TODAY()),"HẾT HẠN",""))</x:f>
      </x:c>
      <x:c r="K21" s="39"/>
      <x:c r="L21" s="39"/>
      <x:c r="M21" s="39"/>
      <x:c r="N21" s="39"/>
      <x:c r="O21" s="42"/>
      <x:c r="P21" s="39"/>
      <x:c r="Q21" s="42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39"/>
      <x:c r="E22" s="39"/>
      <x:c r="F22" s="41"/>
      <x:c r="G22" s="41"/>
      <x:c r="H22" s="39"/>
      <x:c r="I22" s="35" t="str">
        <x:f>IF(A22="","",SUMIFS('CHI_TIẾT_BÁO_GIÁ'!$N$2:$N$500,'CHI_TIẾT_BÁO_GIÁ'!$B$2:$B$500,A22))</x:f>
      </x:c>
      <x:c r="J22" s="36" t="str">
        <x:f>IF(A22="","",IF(AND(H22="ĐÃ GỬI",G22&lt;TODAY()),"HẾT HẠN",""))</x:f>
      </x:c>
      <x:c r="K22" s="39"/>
      <x:c r="L22" s="39"/>
      <x:c r="M22" s="39"/>
      <x:c r="N22" s="39"/>
      <x:c r="O22" s="42"/>
      <x:c r="P22" s="39"/>
      <x:c r="Q22" s="42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39"/>
      <x:c r="E23" s="39"/>
      <x:c r="F23" s="41"/>
      <x:c r="G23" s="41"/>
      <x:c r="H23" s="39"/>
      <x:c r="I23" s="35" t="str">
        <x:f>IF(A23="","",SUMIFS('CHI_TIẾT_BÁO_GIÁ'!$N$2:$N$500,'CHI_TIẾT_BÁO_GIÁ'!$B$2:$B$500,A23))</x:f>
      </x:c>
      <x:c r="J23" s="36" t="str">
        <x:f>IF(A23="","",IF(AND(H23="ĐÃ GỬI",G23&lt;TODAY()),"HẾT HẠN",""))</x:f>
      </x:c>
      <x:c r="K23" s="39"/>
      <x:c r="L23" s="39"/>
      <x:c r="M23" s="39"/>
      <x:c r="N23" s="39"/>
      <x:c r="O23" s="42"/>
      <x:c r="P23" s="39"/>
      <x:c r="Q23" s="42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39"/>
      <x:c r="E24" s="39"/>
      <x:c r="F24" s="41"/>
      <x:c r="G24" s="41"/>
      <x:c r="H24" s="39"/>
      <x:c r="I24" s="35" t="str">
        <x:f>IF(A24="","",SUMIFS('CHI_TIẾT_BÁO_GIÁ'!$N$2:$N$500,'CHI_TIẾT_BÁO_GIÁ'!$B$2:$B$500,A24))</x:f>
      </x:c>
      <x:c r="J24" s="36" t="str">
        <x:f>IF(A24="","",IF(AND(H24="ĐÃ GỬI",G24&lt;TODAY()),"HẾT HẠN",""))</x:f>
      </x:c>
      <x:c r="K24" s="39"/>
      <x:c r="L24" s="39"/>
      <x:c r="M24" s="39"/>
      <x:c r="N24" s="39"/>
      <x:c r="O24" s="42"/>
      <x:c r="P24" s="39"/>
      <x:c r="Q24" s="42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39"/>
      <x:c r="E25" s="39"/>
      <x:c r="F25" s="41"/>
      <x:c r="G25" s="41"/>
      <x:c r="H25" s="39"/>
      <x:c r="I25" s="35" t="str">
        <x:f>IF(A25="","",SUMIFS('CHI_TIẾT_BÁO_GIÁ'!$N$2:$N$500,'CHI_TIẾT_BÁO_GIÁ'!$B$2:$B$500,A25))</x:f>
      </x:c>
      <x:c r="J25" s="36" t="str">
        <x:f>IF(A25="","",IF(AND(H25="ĐÃ GỬI",G25&lt;TODAY()),"HẾT HẠN",""))</x:f>
      </x:c>
      <x:c r="K25" s="39"/>
      <x:c r="L25" s="39"/>
      <x:c r="M25" s="39"/>
      <x:c r="N25" s="39"/>
      <x:c r="O25" s="42"/>
      <x:c r="P25" s="39"/>
      <x:c r="Q25" s="42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39"/>
      <x:c r="E26" s="39"/>
      <x:c r="F26" s="41"/>
      <x:c r="G26" s="41"/>
      <x:c r="H26" s="39"/>
      <x:c r="I26" s="35" t="str">
        <x:f>IF(A26="","",SUMIFS('CHI_TIẾT_BÁO_GIÁ'!$N$2:$N$500,'CHI_TIẾT_BÁO_GIÁ'!$B$2:$B$500,A26))</x:f>
      </x:c>
      <x:c r="J26" s="36" t="str">
        <x:f>IF(A26="","",IF(AND(H26="ĐÃ GỬI",G26&lt;TODAY()),"HẾT HẠN",""))</x:f>
      </x:c>
      <x:c r="K26" s="39"/>
      <x:c r="L26" s="39"/>
      <x:c r="M26" s="39"/>
      <x:c r="N26" s="39"/>
      <x:c r="O26" s="42"/>
      <x:c r="P26" s="39"/>
      <x:c r="Q26" s="42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39"/>
      <x:c r="E27" s="39"/>
      <x:c r="F27" s="41"/>
      <x:c r="G27" s="41"/>
      <x:c r="H27" s="39"/>
      <x:c r="I27" s="35" t="str">
        <x:f>IF(A27="","",SUMIFS('CHI_TIẾT_BÁO_GIÁ'!$N$2:$N$500,'CHI_TIẾT_BÁO_GIÁ'!$B$2:$B$500,A27))</x:f>
      </x:c>
      <x:c r="J27" s="36" t="str">
        <x:f>IF(A27="","",IF(AND(H27="ĐÃ GỬI",G27&lt;TODAY()),"HẾT HẠN",""))</x:f>
      </x:c>
      <x:c r="K27" s="39"/>
      <x:c r="L27" s="39"/>
      <x:c r="M27" s="39"/>
      <x:c r="N27" s="39"/>
      <x:c r="O27" s="42"/>
      <x:c r="P27" s="39"/>
      <x:c r="Q27" s="42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39"/>
      <x:c r="E28" s="39"/>
      <x:c r="F28" s="41"/>
      <x:c r="G28" s="41"/>
      <x:c r="H28" s="39"/>
      <x:c r="I28" s="35" t="str">
        <x:f>IF(A28="","",SUMIFS('CHI_TIẾT_BÁO_GIÁ'!$N$2:$N$500,'CHI_TIẾT_BÁO_GIÁ'!$B$2:$B$500,A28))</x:f>
      </x:c>
      <x:c r="J28" s="36" t="str">
        <x:f>IF(A28="","",IF(AND(H28="ĐÃ GỬI",G28&lt;TODAY()),"HẾT HẠN",""))</x:f>
      </x:c>
      <x:c r="K28" s="39"/>
      <x:c r="L28" s="39"/>
      <x:c r="M28" s="39"/>
      <x:c r="N28" s="39"/>
      <x:c r="O28" s="42"/>
      <x:c r="P28" s="39"/>
      <x:c r="Q28" s="42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39"/>
      <x:c r="E29" s="39"/>
      <x:c r="F29" s="41"/>
      <x:c r="G29" s="41"/>
      <x:c r="H29" s="39"/>
      <x:c r="I29" s="35" t="str">
        <x:f>IF(A29="","",SUMIFS('CHI_TIẾT_BÁO_GIÁ'!$N$2:$N$500,'CHI_TIẾT_BÁO_GIÁ'!$B$2:$B$500,A29))</x:f>
      </x:c>
      <x:c r="J29" s="36" t="str">
        <x:f>IF(A29="","",IF(AND(H29="ĐÃ GỬI",G29&lt;TODAY()),"HẾT HẠN",""))</x:f>
      </x:c>
      <x:c r="K29" s="39"/>
      <x:c r="L29" s="39"/>
      <x:c r="M29" s="39"/>
      <x:c r="N29" s="39"/>
      <x:c r="O29" s="42"/>
      <x:c r="P29" s="39"/>
      <x:c r="Q29" s="42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39"/>
      <x:c r="E30" s="39"/>
      <x:c r="F30" s="41"/>
      <x:c r="G30" s="41"/>
      <x:c r="H30" s="39"/>
      <x:c r="I30" s="35" t="str">
        <x:f>IF(A30="","",SUMIFS('CHI_TIẾT_BÁO_GIÁ'!$N$2:$N$500,'CHI_TIẾT_BÁO_GIÁ'!$B$2:$B$500,A30))</x:f>
      </x:c>
      <x:c r="J30" s="36" t="str">
        <x:f>IF(A30="","",IF(AND(H30="ĐÃ GỬI",G30&lt;TODAY()),"HẾT HẠN",""))</x:f>
      </x:c>
      <x:c r="K30" s="39"/>
      <x:c r="L30" s="39"/>
      <x:c r="M30" s="39"/>
      <x:c r="N30" s="39"/>
      <x:c r="O30" s="42"/>
      <x:c r="P30" s="39"/>
      <x:c r="Q30" s="42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39"/>
      <x:c r="E31" s="39"/>
      <x:c r="F31" s="41"/>
      <x:c r="G31" s="41"/>
      <x:c r="H31" s="39"/>
      <x:c r="I31" s="35" t="str">
        <x:f>IF(A31="","",SUMIFS('CHI_TIẾT_BÁO_GIÁ'!$N$2:$N$500,'CHI_TIẾT_BÁO_GIÁ'!$B$2:$B$500,A31))</x:f>
      </x:c>
      <x:c r="J31" s="36" t="str">
        <x:f>IF(A31="","",IF(AND(H31="ĐÃ GỬI",G31&lt;TODAY()),"HẾT HẠN",""))</x:f>
      </x:c>
      <x:c r="K31" s="39"/>
      <x:c r="L31" s="39"/>
      <x:c r="M31" s="39"/>
      <x:c r="N31" s="39"/>
      <x:c r="O31" s="42"/>
      <x:c r="P31" s="39"/>
      <x:c r="Q31" s="42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39"/>
      <x:c r="E32" s="39"/>
      <x:c r="F32" s="41"/>
      <x:c r="G32" s="41"/>
      <x:c r="H32" s="39"/>
      <x:c r="I32" s="35" t="str">
        <x:f>IF(A32="","",SUMIFS('CHI_TIẾT_BÁO_GIÁ'!$N$2:$N$500,'CHI_TIẾT_BÁO_GIÁ'!$B$2:$B$500,A32))</x:f>
      </x:c>
      <x:c r="J32" s="36" t="str">
        <x:f>IF(A32="","",IF(AND(H32="ĐÃ GỬI",G32&lt;TODAY()),"HẾT HẠN",""))</x:f>
      </x:c>
      <x:c r="K32" s="39"/>
      <x:c r="L32" s="39"/>
      <x:c r="M32" s="39"/>
      <x:c r="N32" s="39"/>
      <x:c r="O32" s="42"/>
      <x:c r="P32" s="39"/>
      <x:c r="Q32" s="42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39"/>
      <x:c r="E33" s="39"/>
      <x:c r="F33" s="41"/>
      <x:c r="G33" s="41"/>
      <x:c r="H33" s="39"/>
      <x:c r="I33" s="35" t="str">
        <x:f>IF(A33="","",SUMIFS('CHI_TIẾT_BÁO_GIÁ'!$N$2:$N$500,'CHI_TIẾT_BÁO_GIÁ'!$B$2:$B$500,A33))</x:f>
      </x:c>
      <x:c r="J33" s="36" t="str">
        <x:f>IF(A33="","",IF(AND(H33="ĐÃ GỬI",G33&lt;TODAY()),"HẾT HẠN",""))</x:f>
      </x:c>
      <x:c r="K33" s="39"/>
      <x:c r="L33" s="39"/>
      <x:c r="M33" s="39"/>
      <x:c r="N33" s="39"/>
      <x:c r="O33" s="42"/>
      <x:c r="P33" s="39"/>
      <x:c r="Q33" s="42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39"/>
      <x:c r="E34" s="39"/>
      <x:c r="F34" s="41"/>
      <x:c r="G34" s="41"/>
      <x:c r="H34" s="39"/>
      <x:c r="I34" s="35" t="str">
        <x:f>IF(A34="","",SUMIFS('CHI_TIẾT_BÁO_GIÁ'!$N$2:$N$500,'CHI_TIẾT_BÁO_GIÁ'!$B$2:$B$500,A34))</x:f>
      </x:c>
      <x:c r="J34" s="36" t="str">
        <x:f>IF(A34="","",IF(AND(H34="ĐÃ GỬI",G34&lt;TODAY()),"HẾT HẠN",""))</x:f>
      </x:c>
      <x:c r="K34" s="39"/>
      <x:c r="L34" s="39"/>
      <x:c r="M34" s="39"/>
      <x:c r="N34" s="39"/>
      <x:c r="O34" s="42"/>
      <x:c r="P34" s="39"/>
      <x:c r="Q34" s="42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39"/>
      <x:c r="E35" s="39"/>
      <x:c r="F35" s="41"/>
      <x:c r="G35" s="41"/>
      <x:c r="H35" s="39"/>
      <x:c r="I35" s="35" t="str">
        <x:f>IF(A35="","",SUMIFS('CHI_TIẾT_BÁO_GIÁ'!$N$2:$N$500,'CHI_TIẾT_BÁO_GIÁ'!$B$2:$B$500,A35))</x:f>
      </x:c>
      <x:c r="J35" s="36" t="str">
        <x:f>IF(A35="","",IF(AND(H35="ĐÃ GỬI",G35&lt;TODAY()),"HẾT HẠN",""))</x:f>
      </x:c>
      <x:c r="K35" s="39"/>
      <x:c r="L35" s="39"/>
      <x:c r="M35" s="39"/>
      <x:c r="N35" s="39"/>
      <x:c r="O35" s="42"/>
      <x:c r="P35" s="39"/>
      <x:c r="Q35" s="42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39"/>
      <x:c r="E36" s="39"/>
      <x:c r="F36" s="41"/>
      <x:c r="G36" s="41"/>
      <x:c r="H36" s="39"/>
      <x:c r="I36" s="35" t="str">
        <x:f>IF(A36="","",SUMIFS('CHI_TIẾT_BÁO_GIÁ'!$N$2:$N$500,'CHI_TIẾT_BÁO_GIÁ'!$B$2:$B$500,A36))</x:f>
      </x:c>
      <x:c r="J36" s="36" t="str">
        <x:f>IF(A36="","",IF(AND(H36="ĐÃ GỬI",G36&lt;TODAY()),"HẾT HẠN",""))</x:f>
      </x:c>
      <x:c r="K36" s="39"/>
      <x:c r="L36" s="39"/>
      <x:c r="M36" s="39"/>
      <x:c r="N36" s="39"/>
      <x:c r="O36" s="42"/>
      <x:c r="P36" s="39"/>
      <x:c r="Q36" s="42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39"/>
      <x:c r="E37" s="39"/>
      <x:c r="F37" s="41"/>
      <x:c r="G37" s="41"/>
      <x:c r="H37" s="39"/>
      <x:c r="I37" s="35" t="str">
        <x:f>IF(A37="","",SUMIFS('CHI_TIẾT_BÁO_GIÁ'!$N$2:$N$500,'CHI_TIẾT_BÁO_GIÁ'!$B$2:$B$500,A37))</x:f>
      </x:c>
      <x:c r="J37" s="36" t="str">
        <x:f>IF(A37="","",IF(AND(H37="ĐÃ GỬI",G37&lt;TODAY()),"HẾT HẠN",""))</x:f>
      </x:c>
      <x:c r="K37" s="39"/>
      <x:c r="L37" s="39"/>
      <x:c r="M37" s="39"/>
      <x:c r="N37" s="39"/>
      <x:c r="O37" s="42"/>
      <x:c r="P37" s="39"/>
      <x:c r="Q37" s="42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39"/>
      <x:c r="E38" s="39"/>
      <x:c r="F38" s="41"/>
      <x:c r="G38" s="41"/>
      <x:c r="H38" s="39"/>
      <x:c r="I38" s="35" t="str">
        <x:f>IF(A38="","",SUMIFS('CHI_TIẾT_BÁO_GIÁ'!$N$2:$N$500,'CHI_TIẾT_BÁO_GIÁ'!$B$2:$B$500,A38))</x:f>
      </x:c>
      <x:c r="J38" s="36" t="str">
        <x:f>IF(A38="","",IF(AND(H38="ĐÃ GỬI",G38&lt;TODAY()),"HẾT HẠN",""))</x:f>
      </x:c>
      <x:c r="K38" s="39"/>
      <x:c r="L38" s="39"/>
      <x:c r="M38" s="39"/>
      <x:c r="N38" s="39"/>
      <x:c r="O38" s="42"/>
      <x:c r="P38" s="39"/>
      <x:c r="Q38" s="42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39"/>
      <x:c r="E39" s="39"/>
      <x:c r="F39" s="41"/>
      <x:c r="G39" s="41"/>
      <x:c r="H39" s="39"/>
      <x:c r="I39" s="35" t="str">
        <x:f>IF(A39="","",SUMIFS('CHI_TIẾT_BÁO_GIÁ'!$N$2:$N$500,'CHI_TIẾT_BÁO_GIÁ'!$B$2:$B$500,A39))</x:f>
      </x:c>
      <x:c r="J39" s="36" t="str">
        <x:f>IF(A39="","",IF(AND(H39="ĐÃ GỬI",G39&lt;TODAY()),"HẾT HẠN",""))</x:f>
      </x:c>
      <x:c r="K39" s="39"/>
      <x:c r="L39" s="39"/>
      <x:c r="M39" s="39"/>
      <x:c r="N39" s="39"/>
      <x:c r="O39" s="42"/>
      <x:c r="P39" s="39"/>
      <x:c r="Q39" s="42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39"/>
      <x:c r="E40" s="39"/>
      <x:c r="F40" s="41"/>
      <x:c r="G40" s="41"/>
      <x:c r="H40" s="39"/>
      <x:c r="I40" s="35" t="str">
        <x:f>IF(A40="","",SUMIFS('CHI_TIẾT_BÁO_GIÁ'!$N$2:$N$500,'CHI_TIẾT_BÁO_GIÁ'!$B$2:$B$500,A40))</x:f>
      </x:c>
      <x:c r="J40" s="36" t="str">
        <x:f>IF(A40="","",IF(AND(H40="ĐÃ GỬI",G40&lt;TODAY()),"HẾT HẠN",""))</x:f>
      </x:c>
      <x:c r="K40" s="39"/>
      <x:c r="L40" s="39"/>
      <x:c r="M40" s="39"/>
      <x:c r="N40" s="39"/>
      <x:c r="O40" s="42"/>
      <x:c r="P40" s="39"/>
      <x:c r="Q40" s="42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39"/>
      <x:c r="E41" s="39"/>
      <x:c r="F41" s="41"/>
      <x:c r="G41" s="41"/>
      <x:c r="H41" s="39"/>
      <x:c r="I41" s="35" t="str">
        <x:f>IF(A41="","",SUMIFS('CHI_TIẾT_BÁO_GIÁ'!$N$2:$N$500,'CHI_TIẾT_BÁO_GIÁ'!$B$2:$B$500,A41))</x:f>
      </x:c>
      <x:c r="J41" s="36" t="str">
        <x:f>IF(A41="","",IF(AND(H41="ĐÃ GỬI",G41&lt;TODAY()),"HẾT HẠN",""))</x:f>
      </x:c>
      <x:c r="K41" s="39"/>
      <x:c r="L41" s="39"/>
      <x:c r="M41" s="39"/>
      <x:c r="N41" s="39"/>
      <x:c r="O41" s="42"/>
      <x:c r="P41" s="39"/>
      <x:c r="Q41" s="42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39"/>
      <x:c r="E42" s="39"/>
      <x:c r="F42" s="41"/>
      <x:c r="G42" s="41"/>
      <x:c r="H42" s="39"/>
      <x:c r="I42" s="35" t="str">
        <x:f>IF(A42="","",SUMIFS('CHI_TIẾT_BÁO_GIÁ'!$N$2:$N$500,'CHI_TIẾT_BÁO_GIÁ'!$B$2:$B$500,A42))</x:f>
      </x:c>
      <x:c r="J42" s="36" t="str">
        <x:f>IF(A42="","",IF(AND(H42="ĐÃ GỬI",G42&lt;TODAY()),"HẾT HẠN",""))</x:f>
      </x:c>
      <x:c r="K42" s="39"/>
      <x:c r="L42" s="39"/>
      <x:c r="M42" s="39"/>
      <x:c r="N42" s="39"/>
      <x:c r="O42" s="42"/>
      <x:c r="P42" s="39"/>
      <x:c r="Q42" s="42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39"/>
      <x:c r="E43" s="39"/>
      <x:c r="F43" s="41"/>
      <x:c r="G43" s="41"/>
      <x:c r="H43" s="39"/>
      <x:c r="I43" s="35" t="str">
        <x:f>IF(A43="","",SUMIFS('CHI_TIẾT_BÁO_GIÁ'!$N$2:$N$500,'CHI_TIẾT_BÁO_GIÁ'!$B$2:$B$500,A43))</x:f>
      </x:c>
      <x:c r="J43" s="36" t="str">
        <x:f>IF(A43="","",IF(AND(H43="ĐÃ GỬI",G43&lt;TODAY()),"HẾT HẠN",""))</x:f>
      </x:c>
      <x:c r="K43" s="39"/>
      <x:c r="L43" s="39"/>
      <x:c r="M43" s="39"/>
      <x:c r="N43" s="39"/>
      <x:c r="O43" s="42"/>
      <x:c r="P43" s="39"/>
      <x:c r="Q43" s="42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39"/>
      <x:c r="E44" s="39"/>
      <x:c r="F44" s="41"/>
      <x:c r="G44" s="41"/>
      <x:c r="H44" s="39"/>
      <x:c r="I44" s="35" t="str">
        <x:f>IF(A44="","",SUMIFS('CHI_TIẾT_BÁO_GIÁ'!$N$2:$N$500,'CHI_TIẾT_BÁO_GIÁ'!$B$2:$B$500,A44))</x:f>
      </x:c>
      <x:c r="J44" s="36" t="str">
        <x:f>IF(A44="","",IF(AND(H44="ĐÃ GỬI",G44&lt;TODAY()),"HẾT HẠN",""))</x:f>
      </x:c>
      <x:c r="K44" s="39"/>
      <x:c r="L44" s="39"/>
      <x:c r="M44" s="39"/>
      <x:c r="N44" s="39"/>
      <x:c r="O44" s="42"/>
      <x:c r="P44" s="39"/>
      <x:c r="Q44" s="42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39"/>
      <x:c r="E45" s="39"/>
      <x:c r="F45" s="41"/>
      <x:c r="G45" s="41"/>
      <x:c r="H45" s="39"/>
      <x:c r="I45" s="35" t="str">
        <x:f>IF(A45="","",SUMIFS('CHI_TIẾT_BÁO_GIÁ'!$N$2:$N$500,'CHI_TIẾT_BÁO_GIÁ'!$B$2:$B$500,A45))</x:f>
      </x:c>
      <x:c r="J45" s="36" t="str">
        <x:f>IF(A45="","",IF(AND(H45="ĐÃ GỬI",G45&lt;TODAY()),"HẾT HẠN",""))</x:f>
      </x:c>
      <x:c r="K45" s="39"/>
      <x:c r="L45" s="39"/>
      <x:c r="M45" s="39"/>
      <x:c r="N45" s="39"/>
      <x:c r="O45" s="42"/>
      <x:c r="P45" s="39"/>
      <x:c r="Q45" s="42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39"/>
      <x:c r="E46" s="39"/>
      <x:c r="F46" s="41"/>
      <x:c r="G46" s="41"/>
      <x:c r="H46" s="39"/>
      <x:c r="I46" s="35" t="str">
        <x:f>IF(A46="","",SUMIFS('CHI_TIẾT_BÁO_GIÁ'!$N$2:$N$500,'CHI_TIẾT_BÁO_GIÁ'!$B$2:$B$500,A46))</x:f>
      </x:c>
      <x:c r="J46" s="36" t="str">
        <x:f>IF(A46="","",IF(AND(H46="ĐÃ GỬI",G46&lt;TODAY()),"HẾT HẠN",""))</x:f>
      </x:c>
      <x:c r="K46" s="39"/>
      <x:c r="L46" s="39"/>
      <x:c r="M46" s="39"/>
      <x:c r="N46" s="39"/>
      <x:c r="O46" s="42"/>
      <x:c r="P46" s="39"/>
      <x:c r="Q46" s="42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39"/>
      <x:c r="E47" s="39"/>
      <x:c r="F47" s="41"/>
      <x:c r="G47" s="41"/>
      <x:c r="H47" s="39"/>
      <x:c r="I47" s="35" t="str">
        <x:f>IF(A47="","",SUMIFS('CHI_TIẾT_BÁO_GIÁ'!$N$2:$N$500,'CHI_TIẾT_BÁO_GIÁ'!$B$2:$B$500,A47))</x:f>
      </x:c>
      <x:c r="J47" s="36" t="str">
        <x:f>IF(A47="","",IF(AND(H47="ĐÃ GỬI",G47&lt;TODAY()),"HẾT HẠN",""))</x:f>
      </x:c>
      <x:c r="K47" s="39"/>
      <x:c r="L47" s="39"/>
      <x:c r="M47" s="39"/>
      <x:c r="N47" s="39"/>
      <x:c r="O47" s="42"/>
      <x:c r="P47" s="39"/>
      <x:c r="Q47" s="42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39"/>
      <x:c r="E48" s="39"/>
      <x:c r="F48" s="41"/>
      <x:c r="G48" s="41"/>
      <x:c r="H48" s="39"/>
      <x:c r="I48" s="35" t="str">
        <x:f>IF(A48="","",SUMIFS('CHI_TIẾT_BÁO_GIÁ'!$N$2:$N$500,'CHI_TIẾT_BÁO_GIÁ'!$B$2:$B$500,A48))</x:f>
      </x:c>
      <x:c r="J48" s="36" t="str">
        <x:f>IF(A48="","",IF(AND(H48="ĐÃ GỬI",G48&lt;TODAY()),"HẾT HẠN",""))</x:f>
      </x:c>
      <x:c r="K48" s="39"/>
      <x:c r="L48" s="39"/>
      <x:c r="M48" s="39"/>
      <x:c r="N48" s="39"/>
      <x:c r="O48" s="42"/>
      <x:c r="P48" s="39"/>
      <x:c r="Q48" s="42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39"/>
      <x:c r="E49" s="39"/>
      <x:c r="F49" s="41"/>
      <x:c r="G49" s="41"/>
      <x:c r="H49" s="39"/>
      <x:c r="I49" s="35" t="str">
        <x:f>IF(A49="","",SUMIFS('CHI_TIẾT_BÁO_GIÁ'!$N$2:$N$500,'CHI_TIẾT_BÁO_GIÁ'!$B$2:$B$500,A49))</x:f>
      </x:c>
      <x:c r="J49" s="36" t="str">
        <x:f>IF(A49="","",IF(AND(H49="ĐÃ GỬI",G49&lt;TODAY()),"HẾT HẠN",""))</x:f>
      </x:c>
      <x:c r="K49" s="39"/>
      <x:c r="L49" s="39"/>
      <x:c r="M49" s="39"/>
      <x:c r="N49" s="39"/>
      <x:c r="O49" s="42"/>
      <x:c r="P49" s="39"/>
      <x:c r="Q49" s="42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39"/>
      <x:c r="E50" s="39"/>
      <x:c r="F50" s="41"/>
      <x:c r="G50" s="41"/>
      <x:c r="H50" s="39"/>
      <x:c r="I50" s="35" t="str">
        <x:f>IF(A50="","",SUMIFS('CHI_TIẾT_BÁO_GIÁ'!$N$2:$N$500,'CHI_TIẾT_BÁO_GIÁ'!$B$2:$B$500,A50))</x:f>
      </x:c>
      <x:c r="J50" s="36" t="str">
        <x:f>IF(A50="","",IF(AND(H50="ĐÃ GỬI",G50&lt;TODAY()),"HẾT HẠN",""))</x:f>
      </x:c>
      <x:c r="K50" s="39"/>
      <x:c r="L50" s="39"/>
      <x:c r="M50" s="39"/>
      <x:c r="N50" s="39"/>
      <x:c r="O50" s="42"/>
      <x:c r="P50" s="39"/>
      <x:c r="Q50" s="42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39"/>
      <x:c r="E51" s="39"/>
      <x:c r="F51" s="41"/>
      <x:c r="G51" s="41"/>
      <x:c r="H51" s="39"/>
      <x:c r="I51" s="35" t="str">
        <x:f>IF(A51="","",SUMIFS('CHI_TIẾT_BÁO_GIÁ'!$N$2:$N$500,'CHI_TIẾT_BÁO_GIÁ'!$B$2:$B$500,A51))</x:f>
      </x:c>
      <x:c r="J51" s="36" t="str">
        <x:f>IF(A51="","",IF(AND(H51="ĐÃ GỬI",G51&lt;TODAY()),"HẾT HẠN",""))</x:f>
      </x:c>
      <x:c r="K51" s="39"/>
      <x:c r="L51" s="39"/>
      <x:c r="M51" s="39"/>
      <x:c r="N51" s="39"/>
      <x:c r="O51" s="42"/>
      <x:c r="P51" s="39"/>
      <x:c r="Q51" s="42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39"/>
      <x:c r="E52" s="39"/>
      <x:c r="F52" s="41"/>
      <x:c r="G52" s="41"/>
      <x:c r="H52" s="39"/>
      <x:c r="I52" s="35" t="str">
        <x:f>IF(A52="","",SUMIFS('CHI_TIẾT_BÁO_GIÁ'!$N$2:$N$500,'CHI_TIẾT_BÁO_GIÁ'!$B$2:$B$500,A52))</x:f>
      </x:c>
      <x:c r="J52" s="36" t="str">
        <x:f>IF(A52="","",IF(AND(H52="ĐÃ GỬI",G52&lt;TODAY()),"HẾT HẠN",""))</x:f>
      </x:c>
      <x:c r="K52" s="39"/>
      <x:c r="L52" s="39"/>
      <x:c r="M52" s="39"/>
      <x:c r="N52" s="39"/>
      <x:c r="O52" s="42"/>
      <x:c r="P52" s="39"/>
      <x:c r="Q52" s="42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39"/>
      <x:c r="E53" s="39"/>
      <x:c r="F53" s="41"/>
      <x:c r="G53" s="41"/>
      <x:c r="H53" s="39"/>
      <x:c r="I53" s="35" t="str">
        <x:f>IF(A53="","",SUMIFS('CHI_TIẾT_BÁO_GIÁ'!$N$2:$N$500,'CHI_TIẾT_BÁO_GIÁ'!$B$2:$B$500,A53))</x:f>
      </x:c>
      <x:c r="J53" s="36" t="str">
        <x:f>IF(A53="","",IF(AND(H53="ĐÃ GỬI",G53&lt;TODAY()),"HẾT HẠN",""))</x:f>
      </x:c>
      <x:c r="K53" s="39"/>
      <x:c r="L53" s="39"/>
      <x:c r="M53" s="39"/>
      <x:c r="N53" s="39"/>
      <x:c r="O53" s="42"/>
      <x:c r="P53" s="39"/>
      <x:c r="Q53" s="42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39"/>
      <x:c r="E54" s="39"/>
      <x:c r="F54" s="41"/>
      <x:c r="G54" s="41"/>
      <x:c r="H54" s="39"/>
      <x:c r="I54" s="35" t="str">
        <x:f>IF(A54="","",SUMIFS('CHI_TIẾT_BÁO_GIÁ'!$N$2:$N$500,'CHI_TIẾT_BÁO_GIÁ'!$B$2:$B$500,A54))</x:f>
      </x:c>
      <x:c r="J54" s="36" t="str">
        <x:f>IF(A54="","",IF(AND(H54="ĐÃ GỬI",G54&lt;TODAY()),"HẾT HẠN",""))</x:f>
      </x:c>
      <x:c r="K54" s="39"/>
      <x:c r="L54" s="39"/>
      <x:c r="M54" s="39"/>
      <x:c r="N54" s="39"/>
      <x:c r="O54" s="42"/>
      <x:c r="P54" s="39"/>
      <x:c r="Q54" s="42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39"/>
      <x:c r="E55" s="39"/>
      <x:c r="F55" s="41"/>
      <x:c r="G55" s="41"/>
      <x:c r="H55" s="39"/>
      <x:c r="I55" s="35" t="str">
        <x:f>IF(A55="","",SUMIFS('CHI_TIẾT_BÁO_GIÁ'!$N$2:$N$500,'CHI_TIẾT_BÁO_GIÁ'!$B$2:$B$500,A55))</x:f>
      </x:c>
      <x:c r="J55" s="36" t="str">
        <x:f>IF(A55="","",IF(AND(H55="ĐÃ GỬI",G55&lt;TODAY()),"HẾT HẠN",""))</x:f>
      </x:c>
      <x:c r="K55" s="39"/>
      <x:c r="L55" s="39"/>
      <x:c r="M55" s="39"/>
      <x:c r="N55" s="39"/>
      <x:c r="O55" s="42"/>
      <x:c r="P55" s="39"/>
      <x:c r="Q55" s="42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39"/>
      <x:c r="E56" s="39"/>
      <x:c r="F56" s="41"/>
      <x:c r="G56" s="41"/>
      <x:c r="H56" s="39"/>
      <x:c r="I56" s="35" t="str">
        <x:f>IF(A56="","",SUMIFS('CHI_TIẾT_BÁO_GIÁ'!$N$2:$N$500,'CHI_TIẾT_BÁO_GIÁ'!$B$2:$B$500,A56))</x:f>
      </x:c>
      <x:c r="J56" s="36" t="str">
        <x:f>IF(A56="","",IF(AND(H56="ĐÃ GỬI",G56&lt;TODAY()),"HẾT HẠN",""))</x:f>
      </x:c>
      <x:c r="K56" s="39"/>
      <x:c r="L56" s="39"/>
      <x:c r="M56" s="39"/>
      <x:c r="N56" s="39"/>
      <x:c r="O56" s="42"/>
      <x:c r="P56" s="39"/>
      <x:c r="Q56" s="42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39"/>
      <x:c r="E57" s="39"/>
      <x:c r="F57" s="41"/>
      <x:c r="G57" s="41"/>
      <x:c r="H57" s="39"/>
      <x:c r="I57" s="35" t="str">
        <x:f>IF(A57="","",SUMIFS('CHI_TIẾT_BÁO_GIÁ'!$N$2:$N$500,'CHI_TIẾT_BÁO_GIÁ'!$B$2:$B$500,A57))</x:f>
      </x:c>
      <x:c r="J57" s="36" t="str">
        <x:f>IF(A57="","",IF(AND(H57="ĐÃ GỬI",G57&lt;TODAY()),"HẾT HẠN",""))</x:f>
      </x:c>
      <x:c r="K57" s="39"/>
      <x:c r="L57" s="39"/>
      <x:c r="M57" s="39"/>
      <x:c r="N57" s="39"/>
      <x:c r="O57" s="42"/>
      <x:c r="P57" s="39"/>
      <x:c r="Q57" s="42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39"/>
      <x:c r="E58" s="39"/>
      <x:c r="F58" s="41"/>
      <x:c r="G58" s="41"/>
      <x:c r="H58" s="39"/>
      <x:c r="I58" s="35" t="str">
        <x:f>IF(A58="","",SUMIFS('CHI_TIẾT_BÁO_GIÁ'!$N$2:$N$500,'CHI_TIẾT_BÁO_GIÁ'!$B$2:$B$500,A58))</x:f>
      </x:c>
      <x:c r="J58" s="36" t="str">
        <x:f>IF(A58="","",IF(AND(H58="ĐÃ GỬI",G58&lt;TODAY()),"HẾT HẠN",""))</x:f>
      </x:c>
      <x:c r="K58" s="39"/>
      <x:c r="L58" s="39"/>
      <x:c r="M58" s="39"/>
      <x:c r="N58" s="39"/>
      <x:c r="O58" s="42"/>
      <x:c r="P58" s="39"/>
      <x:c r="Q58" s="42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39"/>
      <x:c r="E59" s="39"/>
      <x:c r="F59" s="41"/>
      <x:c r="G59" s="41"/>
      <x:c r="H59" s="39"/>
      <x:c r="I59" s="35" t="str">
        <x:f>IF(A59="","",SUMIFS('CHI_TIẾT_BÁO_GIÁ'!$N$2:$N$500,'CHI_TIẾT_BÁO_GIÁ'!$B$2:$B$500,A59))</x:f>
      </x:c>
      <x:c r="J59" s="36" t="str">
        <x:f>IF(A59="","",IF(AND(H59="ĐÃ GỬI",G59&lt;TODAY()),"HẾT HẠN",""))</x:f>
      </x:c>
      <x:c r="K59" s="39"/>
      <x:c r="L59" s="39"/>
      <x:c r="M59" s="39"/>
      <x:c r="N59" s="39"/>
      <x:c r="O59" s="42"/>
      <x:c r="P59" s="39"/>
      <x:c r="Q59" s="42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39"/>
      <x:c r="E60" s="39"/>
      <x:c r="F60" s="41"/>
      <x:c r="G60" s="41"/>
      <x:c r="H60" s="39"/>
      <x:c r="I60" s="35" t="str">
        <x:f>IF(A60="","",SUMIFS('CHI_TIẾT_BÁO_GIÁ'!$N$2:$N$500,'CHI_TIẾT_BÁO_GIÁ'!$B$2:$B$500,A60))</x:f>
      </x:c>
      <x:c r="J60" s="36" t="str">
        <x:f>IF(A60="","",IF(AND(H60="ĐÃ GỬI",G60&lt;TODAY()),"HẾT HẠN",""))</x:f>
      </x:c>
      <x:c r="K60" s="39"/>
      <x:c r="L60" s="39"/>
      <x:c r="M60" s="39"/>
      <x:c r="N60" s="39"/>
      <x:c r="O60" s="42"/>
      <x:c r="P60" s="39"/>
      <x:c r="Q60" s="42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39"/>
      <x:c r="E61" s="39"/>
      <x:c r="F61" s="41"/>
      <x:c r="G61" s="41"/>
      <x:c r="H61" s="39"/>
      <x:c r="I61" s="35" t="str">
        <x:f>IF(A61="","",SUMIFS('CHI_TIẾT_BÁO_GIÁ'!$N$2:$N$500,'CHI_TIẾT_BÁO_GIÁ'!$B$2:$B$500,A61))</x:f>
      </x:c>
      <x:c r="J61" s="36" t="str">
        <x:f>IF(A61="","",IF(AND(H61="ĐÃ GỬI",G61&lt;TODAY()),"HẾT HẠN",""))</x:f>
      </x:c>
      <x:c r="K61" s="39"/>
      <x:c r="L61" s="39"/>
      <x:c r="M61" s="39"/>
      <x:c r="N61" s="39"/>
      <x:c r="O61" s="42"/>
      <x:c r="P61" s="39"/>
      <x:c r="Q61" s="42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39"/>
      <x:c r="E62" s="39"/>
      <x:c r="F62" s="41"/>
      <x:c r="G62" s="41"/>
      <x:c r="H62" s="39"/>
      <x:c r="I62" s="35" t="str">
        <x:f>IF(A62="","",SUMIFS('CHI_TIẾT_BÁO_GIÁ'!$N$2:$N$500,'CHI_TIẾT_BÁO_GIÁ'!$B$2:$B$500,A62))</x:f>
      </x:c>
      <x:c r="J62" s="36" t="str">
        <x:f>IF(A62="","",IF(AND(H62="ĐÃ GỬI",G62&lt;TODAY()),"HẾT HẠN",""))</x:f>
      </x:c>
      <x:c r="K62" s="39"/>
      <x:c r="L62" s="39"/>
      <x:c r="M62" s="39"/>
      <x:c r="N62" s="39"/>
      <x:c r="O62" s="42"/>
      <x:c r="P62" s="39"/>
      <x:c r="Q62" s="42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39"/>
      <x:c r="E63" s="39"/>
      <x:c r="F63" s="41"/>
      <x:c r="G63" s="41"/>
      <x:c r="H63" s="39"/>
      <x:c r="I63" s="35" t="str">
        <x:f>IF(A63="","",SUMIFS('CHI_TIẾT_BÁO_GIÁ'!$N$2:$N$500,'CHI_TIẾT_BÁO_GIÁ'!$B$2:$B$500,A63))</x:f>
      </x:c>
      <x:c r="J63" s="36" t="str">
        <x:f>IF(A63="","",IF(AND(H63="ĐÃ GỬI",G63&lt;TODAY()),"HẾT HẠN",""))</x:f>
      </x:c>
      <x:c r="K63" s="39"/>
      <x:c r="L63" s="39"/>
      <x:c r="M63" s="39"/>
      <x:c r="N63" s="39"/>
      <x:c r="O63" s="42"/>
      <x:c r="P63" s="39"/>
      <x:c r="Q63" s="42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39"/>
      <x:c r="E64" s="39"/>
      <x:c r="F64" s="41"/>
      <x:c r="G64" s="41"/>
      <x:c r="H64" s="39"/>
      <x:c r="I64" s="35" t="str">
        <x:f>IF(A64="","",SUMIFS('CHI_TIẾT_BÁO_GIÁ'!$N$2:$N$500,'CHI_TIẾT_BÁO_GIÁ'!$B$2:$B$500,A64))</x:f>
      </x:c>
      <x:c r="J64" s="36" t="str">
        <x:f>IF(A64="","",IF(AND(H64="ĐÃ GỬI",G64&lt;TODAY()),"HẾT HẠN",""))</x:f>
      </x:c>
      <x:c r="K64" s="39"/>
      <x:c r="L64" s="39"/>
      <x:c r="M64" s="39"/>
      <x:c r="N64" s="39"/>
      <x:c r="O64" s="42"/>
      <x:c r="P64" s="39"/>
      <x:c r="Q64" s="42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39"/>
      <x:c r="E65" s="39"/>
      <x:c r="F65" s="41"/>
      <x:c r="G65" s="41"/>
      <x:c r="H65" s="39"/>
      <x:c r="I65" s="35" t="str">
        <x:f>IF(A65="","",SUMIFS('CHI_TIẾT_BÁO_GIÁ'!$N$2:$N$500,'CHI_TIẾT_BÁO_GIÁ'!$B$2:$B$500,A65))</x:f>
      </x:c>
      <x:c r="J65" s="36" t="str">
        <x:f>IF(A65="","",IF(AND(H65="ĐÃ GỬI",G65&lt;TODAY()),"HẾT HẠN",""))</x:f>
      </x:c>
      <x:c r="K65" s="39"/>
      <x:c r="L65" s="39"/>
      <x:c r="M65" s="39"/>
      <x:c r="N65" s="39"/>
      <x:c r="O65" s="42"/>
      <x:c r="P65" s="39"/>
      <x:c r="Q65" s="42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39"/>
      <x:c r="E66" s="39"/>
      <x:c r="F66" s="41"/>
      <x:c r="G66" s="41"/>
      <x:c r="H66" s="39"/>
      <x:c r="I66" s="35" t="str">
        <x:f>IF(A66="","",SUMIFS('CHI_TIẾT_BÁO_GIÁ'!$N$2:$N$500,'CHI_TIẾT_BÁO_GIÁ'!$B$2:$B$500,A66))</x:f>
      </x:c>
      <x:c r="J66" s="36" t="str">
        <x:f>IF(A66="","",IF(AND(H66="ĐÃ GỬI",G66&lt;TODAY()),"HẾT HẠN",""))</x:f>
      </x:c>
      <x:c r="K66" s="39"/>
      <x:c r="L66" s="39"/>
      <x:c r="M66" s="39"/>
      <x:c r="N66" s="39"/>
      <x:c r="O66" s="42"/>
      <x:c r="P66" s="39"/>
      <x:c r="Q66" s="42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39"/>
      <x:c r="E67" s="39"/>
      <x:c r="F67" s="41"/>
      <x:c r="G67" s="41"/>
      <x:c r="H67" s="39"/>
      <x:c r="I67" s="35" t="str">
        <x:f>IF(A67="","",SUMIFS('CHI_TIẾT_BÁO_GIÁ'!$N$2:$N$500,'CHI_TIẾT_BÁO_GIÁ'!$B$2:$B$500,A67))</x:f>
      </x:c>
      <x:c r="J67" s="36" t="str">
        <x:f>IF(A67="","",IF(AND(H67="ĐÃ GỬI",G67&lt;TODAY()),"HẾT HẠN",""))</x:f>
      </x:c>
      <x:c r="K67" s="39"/>
      <x:c r="L67" s="39"/>
      <x:c r="M67" s="39"/>
      <x:c r="N67" s="39"/>
      <x:c r="O67" s="42"/>
      <x:c r="P67" s="39"/>
      <x:c r="Q67" s="42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39"/>
      <x:c r="E68" s="39"/>
      <x:c r="F68" s="41"/>
      <x:c r="G68" s="41"/>
      <x:c r="H68" s="39"/>
      <x:c r="I68" s="35" t="str">
        <x:f>IF(A68="","",SUMIFS('CHI_TIẾT_BÁO_GIÁ'!$N$2:$N$500,'CHI_TIẾT_BÁO_GIÁ'!$B$2:$B$500,A68))</x:f>
      </x:c>
      <x:c r="J68" s="36" t="str">
        <x:f>IF(A68="","",IF(AND(H68="ĐÃ GỬI",G68&lt;TODAY()),"HẾT HẠN",""))</x:f>
      </x:c>
      <x:c r="K68" s="39"/>
      <x:c r="L68" s="39"/>
      <x:c r="M68" s="39"/>
      <x:c r="N68" s="39"/>
      <x:c r="O68" s="42"/>
      <x:c r="P68" s="39"/>
      <x:c r="Q68" s="42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39"/>
      <x:c r="E69" s="39"/>
      <x:c r="F69" s="41"/>
      <x:c r="G69" s="41"/>
      <x:c r="H69" s="39"/>
      <x:c r="I69" s="35" t="str">
        <x:f>IF(A69="","",SUMIFS('CHI_TIẾT_BÁO_GIÁ'!$N$2:$N$500,'CHI_TIẾT_BÁO_GIÁ'!$B$2:$B$500,A69))</x:f>
      </x:c>
      <x:c r="J69" s="36" t="str">
        <x:f>IF(A69="","",IF(AND(H69="ĐÃ GỬI",G69&lt;TODAY()),"HẾT HẠN",""))</x:f>
      </x:c>
      <x:c r="K69" s="39"/>
      <x:c r="L69" s="39"/>
      <x:c r="M69" s="39"/>
      <x:c r="N69" s="39"/>
      <x:c r="O69" s="42"/>
      <x:c r="P69" s="39"/>
      <x:c r="Q69" s="42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39"/>
      <x:c r="E70" s="39"/>
      <x:c r="F70" s="41"/>
      <x:c r="G70" s="41"/>
      <x:c r="H70" s="39"/>
      <x:c r="I70" s="35" t="str">
        <x:f>IF(A70="","",SUMIFS('CHI_TIẾT_BÁO_GIÁ'!$N$2:$N$500,'CHI_TIẾT_BÁO_GIÁ'!$B$2:$B$500,A70))</x:f>
      </x:c>
      <x:c r="J70" s="36" t="str">
        <x:f>IF(A70="","",IF(AND(H70="ĐÃ GỬI",G70&lt;TODAY()),"HẾT HẠN",""))</x:f>
      </x:c>
      <x:c r="K70" s="39"/>
      <x:c r="L70" s="39"/>
      <x:c r="M70" s="39"/>
      <x:c r="N70" s="39"/>
      <x:c r="O70" s="42"/>
      <x:c r="P70" s="39"/>
      <x:c r="Q70" s="42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39"/>
      <x:c r="E71" s="39"/>
      <x:c r="F71" s="41"/>
      <x:c r="G71" s="41"/>
      <x:c r="H71" s="39"/>
      <x:c r="I71" s="35" t="str">
        <x:f>IF(A71="","",SUMIFS('CHI_TIẾT_BÁO_GIÁ'!$N$2:$N$500,'CHI_TIẾT_BÁO_GIÁ'!$B$2:$B$500,A71))</x:f>
      </x:c>
      <x:c r="J71" s="36" t="str">
        <x:f>IF(A71="","",IF(AND(H71="ĐÃ GỬI",G71&lt;TODAY()),"HẾT HẠN",""))</x:f>
      </x:c>
      <x:c r="K71" s="39"/>
      <x:c r="L71" s="39"/>
      <x:c r="M71" s="39"/>
      <x:c r="N71" s="39"/>
      <x:c r="O71" s="42"/>
      <x:c r="P71" s="39"/>
      <x:c r="Q71" s="42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39"/>
      <x:c r="E72" s="39"/>
      <x:c r="F72" s="41"/>
      <x:c r="G72" s="41"/>
      <x:c r="H72" s="39"/>
      <x:c r="I72" s="35" t="str">
        <x:f>IF(A72="","",SUMIFS('CHI_TIẾT_BÁO_GIÁ'!$N$2:$N$500,'CHI_TIẾT_BÁO_GIÁ'!$B$2:$B$500,A72))</x:f>
      </x:c>
      <x:c r="J72" s="36" t="str">
        <x:f>IF(A72="","",IF(AND(H72="ĐÃ GỬI",G72&lt;TODAY()),"HẾT HẠN",""))</x:f>
      </x:c>
      <x:c r="K72" s="39"/>
      <x:c r="L72" s="39"/>
      <x:c r="M72" s="39"/>
      <x:c r="N72" s="39"/>
      <x:c r="O72" s="42"/>
      <x:c r="P72" s="39"/>
      <x:c r="Q72" s="42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39"/>
      <x:c r="E73" s="39"/>
      <x:c r="F73" s="41"/>
      <x:c r="G73" s="41"/>
      <x:c r="H73" s="39"/>
      <x:c r="I73" s="35" t="str">
        <x:f>IF(A73="","",SUMIFS('CHI_TIẾT_BÁO_GIÁ'!$N$2:$N$500,'CHI_TIẾT_BÁO_GIÁ'!$B$2:$B$500,A73))</x:f>
      </x:c>
      <x:c r="J73" s="36" t="str">
        <x:f>IF(A73="","",IF(AND(H73="ĐÃ GỬI",G73&lt;TODAY()),"HẾT HẠN",""))</x:f>
      </x:c>
      <x:c r="K73" s="39"/>
      <x:c r="L73" s="39"/>
      <x:c r="M73" s="39"/>
      <x:c r="N73" s="39"/>
      <x:c r="O73" s="42"/>
      <x:c r="P73" s="39"/>
      <x:c r="Q73" s="42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39"/>
      <x:c r="E74" s="39"/>
      <x:c r="F74" s="41"/>
      <x:c r="G74" s="41"/>
      <x:c r="H74" s="39"/>
      <x:c r="I74" s="35" t="str">
        <x:f>IF(A74="","",SUMIFS('CHI_TIẾT_BÁO_GIÁ'!$N$2:$N$500,'CHI_TIẾT_BÁO_GIÁ'!$B$2:$B$500,A74))</x:f>
      </x:c>
      <x:c r="J74" s="36" t="str">
        <x:f>IF(A74="","",IF(AND(H74="ĐÃ GỬI",G74&lt;TODAY()),"HẾT HẠN",""))</x:f>
      </x:c>
      <x:c r="K74" s="39"/>
      <x:c r="L74" s="39"/>
      <x:c r="M74" s="39"/>
      <x:c r="N74" s="39"/>
      <x:c r="O74" s="42"/>
      <x:c r="P74" s="39"/>
      <x:c r="Q74" s="42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39"/>
      <x:c r="E75" s="39"/>
      <x:c r="F75" s="41"/>
      <x:c r="G75" s="41"/>
      <x:c r="H75" s="39"/>
      <x:c r="I75" s="35" t="str">
        <x:f>IF(A75="","",SUMIFS('CHI_TIẾT_BÁO_GIÁ'!$N$2:$N$500,'CHI_TIẾT_BÁO_GIÁ'!$B$2:$B$500,A75))</x:f>
      </x:c>
      <x:c r="J75" s="36" t="str">
        <x:f>IF(A75="","",IF(AND(H75="ĐÃ GỬI",G75&lt;TODAY()),"HẾT HẠN",""))</x:f>
      </x:c>
      <x:c r="K75" s="39"/>
      <x:c r="L75" s="39"/>
      <x:c r="M75" s="39"/>
      <x:c r="N75" s="39"/>
      <x:c r="O75" s="42"/>
      <x:c r="P75" s="39"/>
      <x:c r="Q75" s="42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39"/>
      <x:c r="E76" s="39"/>
      <x:c r="F76" s="41"/>
      <x:c r="G76" s="41"/>
      <x:c r="H76" s="39"/>
      <x:c r="I76" s="35" t="str">
        <x:f>IF(A76="","",SUMIFS('CHI_TIẾT_BÁO_GIÁ'!$N$2:$N$500,'CHI_TIẾT_BÁO_GIÁ'!$B$2:$B$500,A76))</x:f>
      </x:c>
      <x:c r="J76" s="36" t="str">
        <x:f>IF(A76="","",IF(AND(H76="ĐÃ GỬI",G76&lt;TODAY()),"HẾT HẠN",""))</x:f>
      </x:c>
      <x:c r="K76" s="39"/>
      <x:c r="L76" s="39"/>
      <x:c r="M76" s="39"/>
      <x:c r="N76" s="39"/>
      <x:c r="O76" s="42"/>
      <x:c r="P76" s="39"/>
      <x:c r="Q76" s="42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39"/>
      <x:c r="E77" s="39"/>
      <x:c r="F77" s="41"/>
      <x:c r="G77" s="41"/>
      <x:c r="H77" s="39"/>
      <x:c r="I77" s="35" t="str">
        <x:f>IF(A77="","",SUMIFS('CHI_TIẾT_BÁO_GIÁ'!$N$2:$N$500,'CHI_TIẾT_BÁO_GIÁ'!$B$2:$B$500,A77))</x:f>
      </x:c>
      <x:c r="J77" s="36" t="str">
        <x:f>IF(A77="","",IF(AND(H77="ĐÃ GỬI",G77&lt;TODAY()),"HẾT HẠN",""))</x:f>
      </x:c>
      <x:c r="K77" s="39"/>
      <x:c r="L77" s="39"/>
      <x:c r="M77" s="39"/>
      <x:c r="N77" s="39"/>
      <x:c r="O77" s="42"/>
      <x:c r="P77" s="39"/>
      <x:c r="Q77" s="42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39"/>
      <x:c r="E78" s="39"/>
      <x:c r="F78" s="41"/>
      <x:c r="G78" s="41"/>
      <x:c r="H78" s="39"/>
      <x:c r="I78" s="35" t="str">
        <x:f>IF(A78="","",SUMIFS('CHI_TIẾT_BÁO_GIÁ'!$N$2:$N$500,'CHI_TIẾT_BÁO_GIÁ'!$B$2:$B$500,A78))</x:f>
      </x:c>
      <x:c r="J78" s="36" t="str">
        <x:f>IF(A78="","",IF(AND(H78="ĐÃ GỬI",G78&lt;TODAY()),"HẾT HẠN",""))</x:f>
      </x:c>
      <x:c r="K78" s="39"/>
      <x:c r="L78" s="39"/>
      <x:c r="M78" s="39"/>
      <x:c r="N78" s="39"/>
      <x:c r="O78" s="42"/>
      <x:c r="P78" s="39"/>
      <x:c r="Q78" s="42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39"/>
      <x:c r="E79" s="39"/>
      <x:c r="F79" s="41"/>
      <x:c r="G79" s="41"/>
      <x:c r="H79" s="39"/>
      <x:c r="I79" s="35" t="str">
        <x:f>IF(A79="","",SUMIFS('CHI_TIẾT_BÁO_GIÁ'!$N$2:$N$500,'CHI_TIẾT_BÁO_GIÁ'!$B$2:$B$500,A79))</x:f>
      </x:c>
      <x:c r="J79" s="36" t="str">
        <x:f>IF(A79="","",IF(AND(H79="ĐÃ GỬI",G79&lt;TODAY()),"HẾT HẠN",""))</x:f>
      </x:c>
      <x:c r="K79" s="39"/>
      <x:c r="L79" s="39"/>
      <x:c r="M79" s="39"/>
      <x:c r="N79" s="39"/>
      <x:c r="O79" s="42"/>
      <x:c r="P79" s="39"/>
      <x:c r="Q79" s="42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39"/>
      <x:c r="E80" s="39"/>
      <x:c r="F80" s="41"/>
      <x:c r="G80" s="41"/>
      <x:c r="H80" s="39"/>
      <x:c r="I80" s="35" t="str">
        <x:f>IF(A80="","",SUMIFS('CHI_TIẾT_BÁO_GIÁ'!$N$2:$N$500,'CHI_TIẾT_BÁO_GIÁ'!$B$2:$B$500,A80))</x:f>
      </x:c>
      <x:c r="J80" s="36" t="str">
        <x:f>IF(A80="","",IF(AND(H80="ĐÃ GỬI",G80&lt;TODAY()),"HẾT HẠN",""))</x:f>
      </x:c>
      <x:c r="K80" s="39"/>
      <x:c r="L80" s="39"/>
      <x:c r="M80" s="39"/>
      <x:c r="N80" s="39"/>
      <x:c r="O80" s="42"/>
      <x:c r="P80" s="39"/>
      <x:c r="Q80" s="42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39"/>
      <x:c r="E81" s="39"/>
      <x:c r="F81" s="41"/>
      <x:c r="G81" s="41"/>
      <x:c r="H81" s="39"/>
      <x:c r="I81" s="35" t="str">
        <x:f>IF(A81="","",SUMIFS('CHI_TIẾT_BÁO_GIÁ'!$N$2:$N$500,'CHI_TIẾT_BÁO_GIÁ'!$B$2:$B$500,A81))</x:f>
      </x:c>
      <x:c r="J81" s="36" t="str">
        <x:f>IF(A81="","",IF(AND(H81="ĐÃ GỬI",G81&lt;TODAY()),"HẾT HẠN",""))</x:f>
      </x:c>
      <x:c r="K81" s="39"/>
      <x:c r="L81" s="39"/>
      <x:c r="M81" s="39"/>
      <x:c r="N81" s="39"/>
      <x:c r="O81" s="42"/>
      <x:c r="P81" s="39"/>
      <x:c r="Q81" s="42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39"/>
      <x:c r="E82" s="39"/>
      <x:c r="F82" s="41"/>
      <x:c r="G82" s="41"/>
      <x:c r="H82" s="39"/>
      <x:c r="I82" s="35" t="str">
        <x:f>IF(A82="","",SUMIFS('CHI_TIẾT_BÁO_GIÁ'!$N$2:$N$500,'CHI_TIẾT_BÁO_GIÁ'!$B$2:$B$500,A82))</x:f>
      </x:c>
      <x:c r="J82" s="36" t="str">
        <x:f>IF(A82="","",IF(AND(H82="ĐÃ GỬI",G82&lt;TODAY()),"HẾT HẠN",""))</x:f>
      </x:c>
      <x:c r="K82" s="39"/>
      <x:c r="L82" s="39"/>
      <x:c r="M82" s="39"/>
      <x:c r="N82" s="39"/>
      <x:c r="O82" s="42"/>
      <x:c r="P82" s="39"/>
      <x:c r="Q82" s="42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39"/>
      <x:c r="E83" s="39"/>
      <x:c r="F83" s="41"/>
      <x:c r="G83" s="41"/>
      <x:c r="H83" s="39"/>
      <x:c r="I83" s="35" t="str">
        <x:f>IF(A83="","",SUMIFS('CHI_TIẾT_BÁO_GIÁ'!$N$2:$N$500,'CHI_TIẾT_BÁO_GIÁ'!$B$2:$B$500,A83))</x:f>
      </x:c>
      <x:c r="J83" s="36" t="str">
        <x:f>IF(A83="","",IF(AND(H83="ĐÃ GỬI",G83&lt;TODAY()),"HẾT HẠN",""))</x:f>
      </x:c>
      <x:c r="K83" s="39"/>
      <x:c r="L83" s="39"/>
      <x:c r="M83" s="39"/>
      <x:c r="N83" s="39"/>
      <x:c r="O83" s="42"/>
      <x:c r="P83" s="39"/>
      <x:c r="Q83" s="42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39"/>
      <x:c r="E84" s="39"/>
      <x:c r="F84" s="41"/>
      <x:c r="G84" s="41"/>
      <x:c r="H84" s="39"/>
      <x:c r="I84" s="35" t="str">
        <x:f>IF(A84="","",SUMIFS('CHI_TIẾT_BÁO_GIÁ'!$N$2:$N$500,'CHI_TIẾT_BÁO_GIÁ'!$B$2:$B$500,A84))</x:f>
      </x:c>
      <x:c r="J84" s="36" t="str">
        <x:f>IF(A84="","",IF(AND(H84="ĐÃ GỬI",G84&lt;TODAY()),"HẾT HẠN",""))</x:f>
      </x:c>
      <x:c r="K84" s="39"/>
      <x:c r="L84" s="39"/>
      <x:c r="M84" s="39"/>
      <x:c r="N84" s="39"/>
      <x:c r="O84" s="42"/>
      <x:c r="P84" s="39"/>
      <x:c r="Q84" s="42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39"/>
      <x:c r="E85" s="39"/>
      <x:c r="F85" s="41"/>
      <x:c r="G85" s="41"/>
      <x:c r="H85" s="39"/>
      <x:c r="I85" s="35" t="str">
        <x:f>IF(A85="","",SUMIFS('CHI_TIẾT_BÁO_GIÁ'!$N$2:$N$500,'CHI_TIẾT_BÁO_GIÁ'!$B$2:$B$500,A85))</x:f>
      </x:c>
      <x:c r="J85" s="36" t="str">
        <x:f>IF(A85="","",IF(AND(H85="ĐÃ GỬI",G85&lt;TODAY()),"HẾT HẠN",""))</x:f>
      </x:c>
      <x:c r="K85" s="39"/>
      <x:c r="L85" s="39"/>
      <x:c r="M85" s="39"/>
      <x:c r="N85" s="39"/>
      <x:c r="O85" s="42"/>
      <x:c r="P85" s="39"/>
      <x:c r="Q85" s="42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39"/>
      <x:c r="E86" s="39"/>
      <x:c r="F86" s="41"/>
      <x:c r="G86" s="41"/>
      <x:c r="H86" s="39"/>
      <x:c r="I86" s="35" t="str">
        <x:f>IF(A86="","",SUMIFS('CHI_TIẾT_BÁO_GIÁ'!$N$2:$N$500,'CHI_TIẾT_BÁO_GIÁ'!$B$2:$B$500,A86))</x:f>
      </x:c>
      <x:c r="J86" s="36" t="str">
        <x:f>IF(A86="","",IF(AND(H86="ĐÃ GỬI",G86&lt;TODAY()),"HẾT HẠN",""))</x:f>
      </x:c>
      <x:c r="K86" s="39"/>
      <x:c r="L86" s="39"/>
      <x:c r="M86" s="39"/>
      <x:c r="N86" s="39"/>
      <x:c r="O86" s="42"/>
      <x:c r="P86" s="39"/>
      <x:c r="Q86" s="42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39"/>
      <x:c r="E87" s="39"/>
      <x:c r="F87" s="41"/>
      <x:c r="G87" s="41"/>
      <x:c r="H87" s="39"/>
      <x:c r="I87" s="35" t="str">
        <x:f>IF(A87="","",SUMIFS('CHI_TIẾT_BÁO_GIÁ'!$N$2:$N$500,'CHI_TIẾT_BÁO_GIÁ'!$B$2:$B$500,A87))</x:f>
      </x:c>
      <x:c r="J87" s="36" t="str">
        <x:f>IF(A87="","",IF(AND(H87="ĐÃ GỬI",G87&lt;TODAY()),"HẾT HẠN",""))</x:f>
      </x:c>
      <x:c r="K87" s="39"/>
      <x:c r="L87" s="39"/>
      <x:c r="M87" s="39"/>
      <x:c r="N87" s="39"/>
      <x:c r="O87" s="42"/>
      <x:c r="P87" s="39"/>
      <x:c r="Q87" s="42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39"/>
      <x:c r="E88" s="39"/>
      <x:c r="F88" s="41"/>
      <x:c r="G88" s="41"/>
      <x:c r="H88" s="39"/>
      <x:c r="I88" s="35" t="str">
        <x:f>IF(A88="","",SUMIFS('CHI_TIẾT_BÁO_GIÁ'!$N$2:$N$500,'CHI_TIẾT_BÁO_GIÁ'!$B$2:$B$500,A88))</x:f>
      </x:c>
      <x:c r="J88" s="36" t="str">
        <x:f>IF(A88="","",IF(AND(H88="ĐÃ GỬI",G88&lt;TODAY()),"HẾT HẠN",""))</x:f>
      </x:c>
      <x:c r="K88" s="39"/>
      <x:c r="L88" s="39"/>
      <x:c r="M88" s="39"/>
      <x:c r="N88" s="39"/>
      <x:c r="O88" s="42"/>
      <x:c r="P88" s="39"/>
      <x:c r="Q88" s="42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39"/>
      <x:c r="E89" s="39"/>
      <x:c r="F89" s="41"/>
      <x:c r="G89" s="41"/>
      <x:c r="H89" s="39"/>
      <x:c r="I89" s="35" t="str">
        <x:f>IF(A89="","",SUMIFS('CHI_TIẾT_BÁO_GIÁ'!$N$2:$N$500,'CHI_TIẾT_BÁO_GIÁ'!$B$2:$B$500,A89))</x:f>
      </x:c>
      <x:c r="J89" s="36" t="str">
        <x:f>IF(A89="","",IF(AND(H89="ĐÃ GỬI",G89&lt;TODAY()),"HẾT HẠN",""))</x:f>
      </x:c>
      <x:c r="K89" s="39"/>
      <x:c r="L89" s="39"/>
      <x:c r="M89" s="39"/>
      <x:c r="N89" s="39"/>
      <x:c r="O89" s="42"/>
      <x:c r="P89" s="39"/>
      <x:c r="Q89" s="42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39"/>
      <x:c r="E90" s="39"/>
      <x:c r="F90" s="41"/>
      <x:c r="G90" s="41"/>
      <x:c r="H90" s="39"/>
      <x:c r="I90" s="35" t="str">
        <x:f>IF(A90="","",SUMIFS('CHI_TIẾT_BÁO_GIÁ'!$N$2:$N$500,'CHI_TIẾT_BÁO_GIÁ'!$B$2:$B$500,A90))</x:f>
      </x:c>
      <x:c r="J90" s="36" t="str">
        <x:f>IF(A90="","",IF(AND(H90="ĐÃ GỬI",G90&lt;TODAY()),"HẾT HẠN",""))</x:f>
      </x:c>
      <x:c r="K90" s="39"/>
      <x:c r="L90" s="39"/>
      <x:c r="M90" s="39"/>
      <x:c r="N90" s="39"/>
      <x:c r="O90" s="42"/>
      <x:c r="P90" s="39"/>
      <x:c r="Q90" s="42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39"/>
      <x:c r="E91" s="39"/>
      <x:c r="F91" s="41"/>
      <x:c r="G91" s="41"/>
      <x:c r="H91" s="39"/>
      <x:c r="I91" s="35" t="str">
        <x:f>IF(A91="","",SUMIFS('CHI_TIẾT_BÁO_GIÁ'!$N$2:$N$500,'CHI_TIẾT_BÁO_GIÁ'!$B$2:$B$500,A91))</x:f>
      </x:c>
      <x:c r="J91" s="36" t="str">
        <x:f>IF(A91="","",IF(AND(H91="ĐÃ GỬI",G91&lt;TODAY()),"HẾT HẠN",""))</x:f>
      </x:c>
      <x:c r="K91" s="39"/>
      <x:c r="L91" s="39"/>
      <x:c r="M91" s="39"/>
      <x:c r="N91" s="39"/>
      <x:c r="O91" s="42"/>
      <x:c r="P91" s="39"/>
      <x:c r="Q91" s="42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39"/>
      <x:c r="E92" s="39"/>
      <x:c r="F92" s="41"/>
      <x:c r="G92" s="41"/>
      <x:c r="H92" s="39"/>
      <x:c r="I92" s="35" t="str">
        <x:f>IF(A92="","",SUMIFS('CHI_TIẾT_BÁO_GIÁ'!$N$2:$N$500,'CHI_TIẾT_BÁO_GIÁ'!$B$2:$B$500,A92))</x:f>
      </x:c>
      <x:c r="J92" s="36" t="str">
        <x:f>IF(A92="","",IF(AND(H92="ĐÃ GỬI",G92&lt;TODAY()),"HẾT HẠN",""))</x:f>
      </x:c>
      <x:c r="K92" s="39"/>
      <x:c r="L92" s="39"/>
      <x:c r="M92" s="39"/>
      <x:c r="N92" s="39"/>
      <x:c r="O92" s="42"/>
      <x:c r="P92" s="39"/>
      <x:c r="Q92" s="42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39"/>
      <x:c r="E93" s="39"/>
      <x:c r="F93" s="41"/>
      <x:c r="G93" s="41"/>
      <x:c r="H93" s="39"/>
      <x:c r="I93" s="35" t="str">
        <x:f>IF(A93="","",SUMIFS('CHI_TIẾT_BÁO_GIÁ'!$N$2:$N$500,'CHI_TIẾT_BÁO_GIÁ'!$B$2:$B$500,A93))</x:f>
      </x:c>
      <x:c r="J93" s="36" t="str">
        <x:f>IF(A93="","",IF(AND(H93="ĐÃ GỬI",G93&lt;TODAY()),"HẾT HẠN",""))</x:f>
      </x:c>
      <x:c r="K93" s="39"/>
      <x:c r="L93" s="39"/>
      <x:c r="M93" s="39"/>
      <x:c r="N93" s="39"/>
      <x:c r="O93" s="42"/>
      <x:c r="P93" s="39"/>
      <x:c r="Q93" s="42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39"/>
      <x:c r="E94" s="39"/>
      <x:c r="F94" s="41"/>
      <x:c r="G94" s="41"/>
      <x:c r="H94" s="39"/>
      <x:c r="I94" s="35" t="str">
        <x:f>IF(A94="","",SUMIFS('CHI_TIẾT_BÁO_GIÁ'!$N$2:$N$500,'CHI_TIẾT_BÁO_GIÁ'!$B$2:$B$500,A94))</x:f>
      </x:c>
      <x:c r="J94" s="36" t="str">
        <x:f>IF(A94="","",IF(AND(H94="ĐÃ GỬI",G94&lt;TODAY()),"HẾT HẠN",""))</x:f>
      </x:c>
      <x:c r="K94" s="39"/>
      <x:c r="L94" s="39"/>
      <x:c r="M94" s="39"/>
      <x:c r="N94" s="39"/>
      <x:c r="O94" s="42"/>
      <x:c r="P94" s="39"/>
      <x:c r="Q94" s="42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39"/>
      <x:c r="E95" s="39"/>
      <x:c r="F95" s="41"/>
      <x:c r="G95" s="41"/>
      <x:c r="H95" s="39"/>
      <x:c r="I95" s="35" t="str">
        <x:f>IF(A95="","",SUMIFS('CHI_TIẾT_BÁO_GIÁ'!$N$2:$N$500,'CHI_TIẾT_BÁO_GIÁ'!$B$2:$B$500,A95))</x:f>
      </x:c>
      <x:c r="J95" s="36" t="str">
        <x:f>IF(A95="","",IF(AND(H95="ĐÃ GỬI",G95&lt;TODAY()),"HẾT HẠN",""))</x:f>
      </x:c>
      <x:c r="K95" s="39"/>
      <x:c r="L95" s="39"/>
      <x:c r="M95" s="39"/>
      <x:c r="N95" s="39"/>
      <x:c r="O95" s="42"/>
      <x:c r="P95" s="39"/>
      <x:c r="Q95" s="42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39"/>
      <x:c r="E96" s="39"/>
      <x:c r="F96" s="41"/>
      <x:c r="G96" s="41"/>
      <x:c r="H96" s="39"/>
      <x:c r="I96" s="35" t="str">
        <x:f>IF(A96="","",SUMIFS('CHI_TIẾT_BÁO_GIÁ'!$N$2:$N$500,'CHI_TIẾT_BÁO_GIÁ'!$B$2:$B$500,A96))</x:f>
      </x:c>
      <x:c r="J96" s="36" t="str">
        <x:f>IF(A96="","",IF(AND(H96="ĐÃ GỬI",G96&lt;TODAY()),"HẾT HẠN",""))</x:f>
      </x:c>
      <x:c r="K96" s="39"/>
      <x:c r="L96" s="39"/>
      <x:c r="M96" s="39"/>
      <x:c r="N96" s="39"/>
      <x:c r="O96" s="42"/>
      <x:c r="P96" s="39"/>
      <x:c r="Q96" s="42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39"/>
      <x:c r="E97" s="39"/>
      <x:c r="F97" s="41"/>
      <x:c r="G97" s="41"/>
      <x:c r="H97" s="39"/>
      <x:c r="I97" s="35" t="str">
        <x:f>IF(A97="","",SUMIFS('CHI_TIẾT_BÁO_GIÁ'!$N$2:$N$500,'CHI_TIẾT_BÁO_GIÁ'!$B$2:$B$500,A97))</x:f>
      </x:c>
      <x:c r="J97" s="36" t="str">
        <x:f>IF(A97="","",IF(AND(H97="ĐÃ GỬI",G97&lt;TODAY()),"HẾT HẠN",""))</x:f>
      </x:c>
      <x:c r="K97" s="39"/>
      <x:c r="L97" s="39"/>
      <x:c r="M97" s="39"/>
      <x:c r="N97" s="39"/>
      <x:c r="O97" s="42"/>
      <x:c r="P97" s="39"/>
      <x:c r="Q97" s="42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39"/>
      <x:c r="E98" s="39"/>
      <x:c r="F98" s="41"/>
      <x:c r="G98" s="41"/>
      <x:c r="H98" s="39"/>
      <x:c r="I98" s="35" t="str">
        <x:f>IF(A98="","",SUMIFS('CHI_TIẾT_BÁO_GIÁ'!$N$2:$N$500,'CHI_TIẾT_BÁO_GIÁ'!$B$2:$B$500,A98))</x:f>
      </x:c>
      <x:c r="J98" s="36" t="str">
        <x:f>IF(A98="","",IF(AND(H98="ĐÃ GỬI",G98&lt;TODAY()),"HẾT HẠN",""))</x:f>
      </x:c>
      <x:c r="K98" s="39"/>
      <x:c r="L98" s="39"/>
      <x:c r="M98" s="39"/>
      <x:c r="N98" s="39"/>
      <x:c r="O98" s="42"/>
      <x:c r="P98" s="39"/>
      <x:c r="Q98" s="42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39"/>
      <x:c r="E99" s="39"/>
      <x:c r="F99" s="41"/>
      <x:c r="G99" s="41"/>
      <x:c r="H99" s="39"/>
      <x:c r="I99" s="35" t="str">
        <x:f>IF(A99="","",SUMIFS('CHI_TIẾT_BÁO_GIÁ'!$N$2:$N$500,'CHI_TIẾT_BÁO_GIÁ'!$B$2:$B$500,A99))</x:f>
      </x:c>
      <x:c r="J99" s="36" t="str">
        <x:f>IF(A99="","",IF(AND(H99="ĐÃ GỬI",G99&lt;TODAY()),"HẾT HẠN",""))</x:f>
      </x:c>
      <x:c r="K99" s="39"/>
      <x:c r="L99" s="39"/>
      <x:c r="M99" s="39"/>
      <x:c r="N99" s="39"/>
      <x:c r="O99" s="42"/>
      <x:c r="P99" s="39"/>
      <x:c r="Q99" s="42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39"/>
      <x:c r="E100" s="39"/>
      <x:c r="F100" s="41"/>
      <x:c r="G100" s="41"/>
      <x:c r="H100" s="39"/>
      <x:c r="I100" s="35" t="str">
        <x:f>IF(A100="","",SUMIFS('CHI_TIẾT_BÁO_GIÁ'!$N$2:$N$500,'CHI_TIẾT_BÁO_GIÁ'!$B$2:$B$500,A100))</x:f>
      </x:c>
      <x:c r="J100" s="36" t="str">
        <x:f>IF(A100="","",IF(AND(H100="ĐÃ GỬI",G100&lt;TODAY()),"HẾT HẠN",""))</x:f>
      </x:c>
      <x:c r="K100" s="39"/>
      <x:c r="L100" s="39"/>
      <x:c r="M100" s="39"/>
      <x:c r="N100" s="39"/>
      <x:c r="O100" s="42"/>
      <x:c r="P100" s="39"/>
      <x:c r="Q100" s="42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39"/>
      <x:c r="E101" s="39"/>
      <x:c r="F101" s="41"/>
      <x:c r="G101" s="41"/>
      <x:c r="H101" s="39"/>
      <x:c r="I101" s="35" t="str">
        <x:f>IF(A101="","",SUMIFS('CHI_TIẾT_BÁO_GIÁ'!$N$2:$N$500,'CHI_TIẾT_BÁO_GIÁ'!$B$2:$B$500,A101))</x:f>
      </x:c>
      <x:c r="J101" s="36" t="str">
        <x:f>IF(A101="","",IF(AND(H101="ĐÃ GỬI",G101&lt;TODAY()),"HẾT HẠN",""))</x:f>
      </x:c>
      <x:c r="K101" s="39"/>
      <x:c r="L101" s="39"/>
      <x:c r="M101" s="39"/>
      <x:c r="N101" s="39"/>
      <x:c r="O101" s="42"/>
      <x:c r="P101" s="39"/>
      <x:c r="Q101" s="42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39"/>
      <x:c r="E102" s="39"/>
      <x:c r="F102" s="41"/>
      <x:c r="G102" s="41"/>
      <x:c r="H102" s="39"/>
      <x:c r="I102" s="35" t="str">
        <x:f>IF(A102="","",SUMIFS('CHI_TIẾT_BÁO_GIÁ'!$N$2:$N$500,'CHI_TIẾT_BÁO_GIÁ'!$B$2:$B$500,A102))</x:f>
      </x:c>
      <x:c r="J102" s="36" t="str">
        <x:f>IF(A102="","",IF(AND(H102="ĐÃ GỬI",G102&lt;TODAY()),"HẾT HẠN",""))</x:f>
      </x:c>
      <x:c r="K102" s="39"/>
      <x:c r="L102" s="39"/>
      <x:c r="M102" s="39"/>
      <x:c r="N102" s="39"/>
      <x:c r="O102" s="42"/>
      <x:c r="P102" s="39"/>
      <x:c r="Q102" s="42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39"/>
      <x:c r="E103" s="39"/>
      <x:c r="F103" s="41"/>
      <x:c r="G103" s="41"/>
      <x:c r="H103" s="39"/>
      <x:c r="I103" s="35" t="str">
        <x:f>IF(A103="","",SUMIFS('CHI_TIẾT_BÁO_GIÁ'!$N$2:$N$500,'CHI_TIẾT_BÁO_GIÁ'!$B$2:$B$500,A103))</x:f>
      </x:c>
      <x:c r="J103" s="36" t="str">
        <x:f>IF(A103="","",IF(AND(H103="ĐÃ GỬI",G103&lt;TODAY()),"HẾT HẠN",""))</x:f>
      </x:c>
      <x:c r="K103" s="39"/>
      <x:c r="L103" s="39"/>
      <x:c r="M103" s="39"/>
      <x:c r="N103" s="39"/>
      <x:c r="O103" s="42"/>
      <x:c r="P103" s="39"/>
      <x:c r="Q103" s="42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39"/>
      <x:c r="E104" s="39"/>
      <x:c r="F104" s="41"/>
      <x:c r="G104" s="41"/>
      <x:c r="H104" s="39"/>
      <x:c r="I104" s="35" t="str">
        <x:f>IF(A104="","",SUMIFS('CHI_TIẾT_BÁO_GIÁ'!$N$2:$N$500,'CHI_TIẾT_BÁO_GIÁ'!$B$2:$B$500,A104))</x:f>
      </x:c>
      <x:c r="J104" s="36" t="str">
        <x:f>IF(A104="","",IF(AND(H104="ĐÃ GỬI",G104&lt;TODAY()),"HẾT HẠN",""))</x:f>
      </x:c>
      <x:c r="K104" s="39"/>
      <x:c r="L104" s="39"/>
      <x:c r="M104" s="39"/>
      <x:c r="N104" s="39"/>
      <x:c r="O104" s="42"/>
      <x:c r="P104" s="39"/>
      <x:c r="Q104" s="42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39"/>
      <x:c r="E105" s="39"/>
      <x:c r="F105" s="41"/>
      <x:c r="G105" s="41"/>
      <x:c r="H105" s="39"/>
      <x:c r="I105" s="35" t="str">
        <x:f>IF(A105="","",SUMIFS('CHI_TIẾT_BÁO_GIÁ'!$N$2:$N$500,'CHI_TIẾT_BÁO_GIÁ'!$B$2:$B$500,A105))</x:f>
      </x:c>
      <x:c r="J105" s="36" t="str">
        <x:f>IF(A105="","",IF(AND(H105="ĐÃ GỬI",G105&lt;TODAY()),"HẾT HẠN",""))</x:f>
      </x:c>
      <x:c r="K105" s="39"/>
      <x:c r="L105" s="39"/>
      <x:c r="M105" s="39"/>
      <x:c r="N105" s="39"/>
      <x:c r="O105" s="42"/>
      <x:c r="P105" s="39"/>
      <x:c r="Q105" s="42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39"/>
      <x:c r="E106" s="39"/>
      <x:c r="F106" s="41"/>
      <x:c r="G106" s="41"/>
      <x:c r="H106" s="39"/>
      <x:c r="I106" s="35" t="str">
        <x:f>IF(A106="","",SUMIFS('CHI_TIẾT_BÁO_GIÁ'!$N$2:$N$500,'CHI_TIẾT_BÁO_GIÁ'!$B$2:$B$500,A106))</x:f>
      </x:c>
      <x:c r="J106" s="36" t="str">
        <x:f>IF(A106="","",IF(AND(H106="ĐÃ GỬI",G106&lt;TODAY()),"HẾT HẠN",""))</x:f>
      </x:c>
      <x:c r="K106" s="39"/>
      <x:c r="L106" s="39"/>
      <x:c r="M106" s="39"/>
      <x:c r="N106" s="39"/>
      <x:c r="O106" s="42"/>
      <x:c r="P106" s="39"/>
      <x:c r="Q106" s="42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39"/>
      <x:c r="E107" s="39"/>
      <x:c r="F107" s="41"/>
      <x:c r="G107" s="41"/>
      <x:c r="H107" s="39"/>
      <x:c r="I107" s="35" t="str">
        <x:f>IF(A107="","",SUMIFS('CHI_TIẾT_BÁO_GIÁ'!$N$2:$N$500,'CHI_TIẾT_BÁO_GIÁ'!$B$2:$B$500,A107))</x:f>
      </x:c>
      <x:c r="J107" s="36" t="str">
        <x:f>IF(A107="","",IF(AND(H107="ĐÃ GỬI",G107&lt;TODAY()),"HẾT HẠN",""))</x:f>
      </x:c>
      <x:c r="K107" s="39"/>
      <x:c r="L107" s="39"/>
      <x:c r="M107" s="39"/>
      <x:c r="N107" s="39"/>
      <x:c r="O107" s="42"/>
      <x:c r="P107" s="39"/>
      <x:c r="Q107" s="42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39"/>
      <x:c r="E108" s="39"/>
      <x:c r="F108" s="41"/>
      <x:c r="G108" s="41"/>
      <x:c r="H108" s="39"/>
      <x:c r="I108" s="35" t="str">
        <x:f>IF(A108="","",SUMIFS('CHI_TIẾT_BÁO_GIÁ'!$N$2:$N$500,'CHI_TIẾT_BÁO_GIÁ'!$B$2:$B$500,A108))</x:f>
      </x:c>
      <x:c r="J108" s="36" t="str">
        <x:f>IF(A108="","",IF(AND(H108="ĐÃ GỬI",G108&lt;TODAY()),"HẾT HẠN",""))</x:f>
      </x:c>
      <x:c r="K108" s="39"/>
      <x:c r="L108" s="39"/>
      <x:c r="M108" s="39"/>
      <x:c r="N108" s="39"/>
      <x:c r="O108" s="42"/>
      <x:c r="P108" s="39"/>
      <x:c r="Q108" s="42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39"/>
      <x:c r="E109" s="39"/>
      <x:c r="F109" s="41"/>
      <x:c r="G109" s="41"/>
      <x:c r="H109" s="39"/>
      <x:c r="I109" s="35" t="str">
        <x:f>IF(A109="","",SUMIFS('CHI_TIẾT_BÁO_GIÁ'!$N$2:$N$500,'CHI_TIẾT_BÁO_GIÁ'!$B$2:$B$500,A109))</x:f>
      </x:c>
      <x:c r="J109" s="36" t="str">
        <x:f>IF(A109="","",IF(AND(H109="ĐÃ GỬI",G109&lt;TODAY()),"HẾT HẠN",""))</x:f>
      </x:c>
      <x:c r="K109" s="39"/>
      <x:c r="L109" s="39"/>
      <x:c r="M109" s="39"/>
      <x:c r="N109" s="39"/>
      <x:c r="O109" s="42"/>
      <x:c r="P109" s="39"/>
      <x:c r="Q109" s="42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39"/>
      <x:c r="E110" s="39"/>
      <x:c r="F110" s="41"/>
      <x:c r="G110" s="41"/>
      <x:c r="H110" s="39"/>
      <x:c r="I110" s="35" t="str">
        <x:f>IF(A110="","",SUMIFS('CHI_TIẾT_BÁO_GIÁ'!$N$2:$N$500,'CHI_TIẾT_BÁO_GIÁ'!$B$2:$B$500,A110))</x:f>
      </x:c>
      <x:c r="J110" s="36" t="str">
        <x:f>IF(A110="","",IF(AND(H110="ĐÃ GỬI",G110&lt;TODAY()),"HẾT HẠN",""))</x:f>
      </x:c>
      <x:c r="K110" s="39"/>
      <x:c r="L110" s="39"/>
      <x:c r="M110" s="39"/>
      <x:c r="N110" s="39"/>
      <x:c r="O110" s="42"/>
      <x:c r="P110" s="39"/>
      <x:c r="Q110" s="42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39"/>
      <x:c r="E111" s="39"/>
      <x:c r="F111" s="41"/>
      <x:c r="G111" s="41"/>
      <x:c r="H111" s="39"/>
      <x:c r="I111" s="35" t="str">
        <x:f>IF(A111="","",SUMIFS('CHI_TIẾT_BÁO_GIÁ'!$N$2:$N$500,'CHI_TIẾT_BÁO_GIÁ'!$B$2:$B$500,A111))</x:f>
      </x:c>
      <x:c r="J111" s="36" t="str">
        <x:f>IF(A111="","",IF(AND(H111="ĐÃ GỬI",G111&lt;TODAY()),"HẾT HẠN",""))</x:f>
      </x:c>
      <x:c r="K111" s="39"/>
      <x:c r="L111" s="39"/>
      <x:c r="M111" s="39"/>
      <x:c r="N111" s="39"/>
      <x:c r="O111" s="42"/>
      <x:c r="P111" s="39"/>
      <x:c r="Q111" s="42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39"/>
      <x:c r="E112" s="39"/>
      <x:c r="F112" s="41"/>
      <x:c r="G112" s="41"/>
      <x:c r="H112" s="39"/>
      <x:c r="I112" s="35" t="str">
        <x:f>IF(A112="","",SUMIFS('CHI_TIẾT_BÁO_GIÁ'!$N$2:$N$500,'CHI_TIẾT_BÁO_GIÁ'!$B$2:$B$500,A112))</x:f>
      </x:c>
      <x:c r="J112" s="36" t="str">
        <x:f>IF(A112="","",IF(AND(H112="ĐÃ GỬI",G112&lt;TODAY()),"HẾT HẠN",""))</x:f>
      </x:c>
      <x:c r="K112" s="39"/>
      <x:c r="L112" s="39"/>
      <x:c r="M112" s="39"/>
      <x:c r="N112" s="39"/>
      <x:c r="O112" s="42"/>
      <x:c r="P112" s="39"/>
      <x:c r="Q112" s="42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39"/>
      <x:c r="E113" s="39"/>
      <x:c r="F113" s="41"/>
      <x:c r="G113" s="41"/>
      <x:c r="H113" s="39"/>
      <x:c r="I113" s="35" t="str">
        <x:f>IF(A113="","",SUMIFS('CHI_TIẾT_BÁO_GIÁ'!$N$2:$N$500,'CHI_TIẾT_BÁO_GIÁ'!$B$2:$B$500,A113))</x:f>
      </x:c>
      <x:c r="J113" s="36" t="str">
        <x:f>IF(A113="","",IF(AND(H113="ĐÃ GỬI",G113&lt;TODAY()),"HẾT HẠN",""))</x:f>
      </x:c>
      <x:c r="K113" s="39"/>
      <x:c r="L113" s="39"/>
      <x:c r="M113" s="39"/>
      <x:c r="N113" s="39"/>
      <x:c r="O113" s="42"/>
      <x:c r="P113" s="39"/>
      <x:c r="Q113" s="42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39"/>
      <x:c r="E114" s="39"/>
      <x:c r="F114" s="41"/>
      <x:c r="G114" s="41"/>
      <x:c r="H114" s="39"/>
      <x:c r="I114" s="35" t="str">
        <x:f>IF(A114="","",SUMIFS('CHI_TIẾT_BÁO_GIÁ'!$N$2:$N$500,'CHI_TIẾT_BÁO_GIÁ'!$B$2:$B$500,A114))</x:f>
      </x:c>
      <x:c r="J114" s="36" t="str">
        <x:f>IF(A114="","",IF(AND(H114="ĐÃ GỬI",G114&lt;TODAY()),"HẾT HẠN",""))</x:f>
      </x:c>
      <x:c r="K114" s="39"/>
      <x:c r="L114" s="39"/>
      <x:c r="M114" s="39"/>
      <x:c r="N114" s="39"/>
      <x:c r="O114" s="42"/>
      <x:c r="P114" s="39"/>
      <x:c r="Q114" s="42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39"/>
      <x:c r="E115" s="39"/>
      <x:c r="F115" s="41"/>
      <x:c r="G115" s="41"/>
      <x:c r="H115" s="39"/>
      <x:c r="I115" s="35" t="str">
        <x:f>IF(A115="","",SUMIFS('CHI_TIẾT_BÁO_GIÁ'!$N$2:$N$500,'CHI_TIẾT_BÁO_GIÁ'!$B$2:$B$500,A115))</x:f>
      </x:c>
      <x:c r="J115" s="36" t="str">
        <x:f>IF(A115="","",IF(AND(H115="ĐÃ GỬI",G115&lt;TODAY()),"HẾT HẠN",""))</x:f>
      </x:c>
      <x:c r="K115" s="39"/>
      <x:c r="L115" s="39"/>
      <x:c r="M115" s="39"/>
      <x:c r="N115" s="39"/>
      <x:c r="O115" s="42"/>
      <x:c r="P115" s="39"/>
      <x:c r="Q115" s="42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39"/>
      <x:c r="E116" s="39"/>
      <x:c r="F116" s="41"/>
      <x:c r="G116" s="41"/>
      <x:c r="H116" s="39"/>
      <x:c r="I116" s="35" t="str">
        <x:f>IF(A116="","",SUMIFS('CHI_TIẾT_BÁO_GIÁ'!$N$2:$N$500,'CHI_TIẾT_BÁO_GIÁ'!$B$2:$B$500,A116))</x:f>
      </x:c>
      <x:c r="J116" s="36" t="str">
        <x:f>IF(A116="","",IF(AND(H116="ĐÃ GỬI",G116&lt;TODAY()),"HẾT HẠN",""))</x:f>
      </x:c>
      <x:c r="K116" s="39"/>
      <x:c r="L116" s="39"/>
      <x:c r="M116" s="39"/>
      <x:c r="N116" s="39"/>
      <x:c r="O116" s="42"/>
      <x:c r="P116" s="39"/>
      <x:c r="Q116" s="42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39"/>
      <x:c r="E117" s="39"/>
      <x:c r="F117" s="41"/>
      <x:c r="G117" s="41"/>
      <x:c r="H117" s="39"/>
      <x:c r="I117" s="35" t="str">
        <x:f>IF(A117="","",SUMIFS('CHI_TIẾT_BÁO_GIÁ'!$N$2:$N$500,'CHI_TIẾT_BÁO_GIÁ'!$B$2:$B$500,A117))</x:f>
      </x:c>
      <x:c r="J117" s="36" t="str">
        <x:f>IF(A117="","",IF(AND(H117="ĐÃ GỬI",G117&lt;TODAY()),"HẾT HẠN",""))</x:f>
      </x:c>
      <x:c r="K117" s="39"/>
      <x:c r="L117" s="39"/>
      <x:c r="M117" s="39"/>
      <x:c r="N117" s="39"/>
      <x:c r="O117" s="42"/>
      <x:c r="P117" s="39"/>
      <x:c r="Q117" s="42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39"/>
      <x:c r="E118" s="39"/>
      <x:c r="F118" s="41"/>
      <x:c r="G118" s="41"/>
      <x:c r="H118" s="39"/>
      <x:c r="I118" s="35" t="str">
        <x:f>IF(A118="","",SUMIFS('CHI_TIẾT_BÁO_GIÁ'!$N$2:$N$500,'CHI_TIẾT_BÁO_GIÁ'!$B$2:$B$500,A118))</x:f>
      </x:c>
      <x:c r="J118" s="36" t="str">
        <x:f>IF(A118="","",IF(AND(H118="ĐÃ GỬI",G118&lt;TODAY()),"HẾT HẠN",""))</x:f>
      </x:c>
      <x:c r="K118" s="39"/>
      <x:c r="L118" s="39"/>
      <x:c r="M118" s="39"/>
      <x:c r="N118" s="39"/>
      <x:c r="O118" s="42"/>
      <x:c r="P118" s="39"/>
      <x:c r="Q118" s="42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39"/>
      <x:c r="E119" s="39"/>
      <x:c r="F119" s="41"/>
      <x:c r="G119" s="41"/>
      <x:c r="H119" s="39"/>
      <x:c r="I119" s="35" t="str">
        <x:f>IF(A119="","",SUMIFS('CHI_TIẾT_BÁO_GIÁ'!$N$2:$N$500,'CHI_TIẾT_BÁO_GIÁ'!$B$2:$B$500,A119))</x:f>
      </x:c>
      <x:c r="J119" s="36" t="str">
        <x:f>IF(A119="","",IF(AND(H119="ĐÃ GỬI",G119&lt;TODAY()),"HẾT HẠN",""))</x:f>
      </x:c>
      <x:c r="K119" s="39"/>
      <x:c r="L119" s="39"/>
      <x:c r="M119" s="39"/>
      <x:c r="N119" s="39"/>
      <x:c r="O119" s="42"/>
      <x:c r="P119" s="39"/>
      <x:c r="Q119" s="42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39"/>
      <x:c r="E120" s="39"/>
      <x:c r="F120" s="41"/>
      <x:c r="G120" s="41"/>
      <x:c r="H120" s="39"/>
      <x:c r="I120" s="35" t="str">
        <x:f>IF(A120="","",SUMIFS('CHI_TIẾT_BÁO_GIÁ'!$N$2:$N$500,'CHI_TIẾT_BÁO_GIÁ'!$B$2:$B$500,A120))</x:f>
      </x:c>
      <x:c r="J120" s="36" t="str">
        <x:f>IF(A120="","",IF(AND(H120="ĐÃ GỬI",G120&lt;TODAY()),"HẾT HẠN",""))</x:f>
      </x:c>
      <x:c r="K120" s="39"/>
      <x:c r="L120" s="39"/>
      <x:c r="M120" s="39"/>
      <x:c r="N120" s="39"/>
      <x:c r="O120" s="42"/>
      <x:c r="P120" s="39"/>
      <x:c r="Q120" s="42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39"/>
      <x:c r="E121" s="39"/>
      <x:c r="F121" s="41"/>
      <x:c r="G121" s="41"/>
      <x:c r="H121" s="39"/>
      <x:c r="I121" s="35" t="str">
        <x:f>IF(A121="","",SUMIFS('CHI_TIẾT_BÁO_GIÁ'!$N$2:$N$500,'CHI_TIẾT_BÁO_GIÁ'!$B$2:$B$500,A121))</x:f>
      </x:c>
      <x:c r="J121" s="36" t="str">
        <x:f>IF(A121="","",IF(AND(H121="ĐÃ GỬI",G121&lt;TODAY()),"HẾT HẠN",""))</x:f>
      </x:c>
      <x:c r="K121" s="39"/>
      <x:c r="L121" s="39"/>
      <x:c r="M121" s="39"/>
      <x:c r="N121" s="39"/>
      <x:c r="O121" s="42"/>
      <x:c r="P121" s="39"/>
      <x:c r="Q121" s="42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39"/>
      <x:c r="E122" s="39"/>
      <x:c r="F122" s="41"/>
      <x:c r="G122" s="41"/>
      <x:c r="H122" s="39"/>
      <x:c r="I122" s="35" t="str">
        <x:f>IF(A122="","",SUMIFS('CHI_TIẾT_BÁO_GIÁ'!$N$2:$N$500,'CHI_TIẾT_BÁO_GIÁ'!$B$2:$B$500,A122))</x:f>
      </x:c>
      <x:c r="J122" s="36" t="str">
        <x:f>IF(A122="","",IF(AND(H122="ĐÃ GỬI",G122&lt;TODAY()),"HẾT HẠN",""))</x:f>
      </x:c>
      <x:c r="K122" s="39"/>
      <x:c r="L122" s="39"/>
      <x:c r="M122" s="39"/>
      <x:c r="N122" s="39"/>
      <x:c r="O122" s="42"/>
      <x:c r="P122" s="39"/>
      <x:c r="Q122" s="42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39"/>
      <x:c r="E123" s="39"/>
      <x:c r="F123" s="41"/>
      <x:c r="G123" s="41"/>
      <x:c r="H123" s="39"/>
      <x:c r="I123" s="35" t="str">
        <x:f>IF(A123="","",SUMIFS('CHI_TIẾT_BÁO_GIÁ'!$N$2:$N$500,'CHI_TIẾT_BÁO_GIÁ'!$B$2:$B$500,A123))</x:f>
      </x:c>
      <x:c r="J123" s="36" t="str">
        <x:f>IF(A123="","",IF(AND(H123="ĐÃ GỬI",G123&lt;TODAY()),"HẾT HẠN",""))</x:f>
      </x:c>
      <x:c r="K123" s="39"/>
      <x:c r="L123" s="39"/>
      <x:c r="M123" s="39"/>
      <x:c r="N123" s="39"/>
      <x:c r="O123" s="42"/>
      <x:c r="P123" s="39"/>
      <x:c r="Q123" s="42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39"/>
      <x:c r="E124" s="39"/>
      <x:c r="F124" s="41"/>
      <x:c r="G124" s="41"/>
      <x:c r="H124" s="39"/>
      <x:c r="I124" s="35" t="str">
        <x:f>IF(A124="","",SUMIFS('CHI_TIẾT_BÁO_GIÁ'!$N$2:$N$500,'CHI_TIẾT_BÁO_GIÁ'!$B$2:$B$500,A124))</x:f>
      </x:c>
      <x:c r="J124" s="36" t="str">
        <x:f>IF(A124="","",IF(AND(H124="ĐÃ GỬI",G124&lt;TODAY()),"HẾT HẠN",""))</x:f>
      </x:c>
      <x:c r="K124" s="39"/>
      <x:c r="L124" s="39"/>
      <x:c r="M124" s="39"/>
      <x:c r="N124" s="39"/>
      <x:c r="O124" s="42"/>
      <x:c r="P124" s="39"/>
      <x:c r="Q124" s="42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39"/>
      <x:c r="E125" s="39"/>
      <x:c r="F125" s="41"/>
      <x:c r="G125" s="41"/>
      <x:c r="H125" s="39"/>
      <x:c r="I125" s="35" t="str">
        <x:f>IF(A125="","",SUMIFS('CHI_TIẾT_BÁO_GIÁ'!$N$2:$N$500,'CHI_TIẾT_BÁO_GIÁ'!$B$2:$B$500,A125))</x:f>
      </x:c>
      <x:c r="J125" s="36" t="str">
        <x:f>IF(A125="","",IF(AND(H125="ĐÃ GỬI",G125&lt;TODAY()),"HẾT HẠN",""))</x:f>
      </x:c>
      <x:c r="K125" s="39"/>
      <x:c r="L125" s="39"/>
      <x:c r="M125" s="39"/>
      <x:c r="N125" s="39"/>
      <x:c r="O125" s="42"/>
      <x:c r="P125" s="39"/>
      <x:c r="Q125" s="42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39"/>
      <x:c r="E126" s="39"/>
      <x:c r="F126" s="41"/>
      <x:c r="G126" s="41"/>
      <x:c r="H126" s="39"/>
      <x:c r="I126" s="35" t="str">
        <x:f>IF(A126="","",SUMIFS('CHI_TIẾT_BÁO_GIÁ'!$N$2:$N$500,'CHI_TIẾT_BÁO_GIÁ'!$B$2:$B$500,A126))</x:f>
      </x:c>
      <x:c r="J126" s="36" t="str">
        <x:f>IF(A126="","",IF(AND(H126="ĐÃ GỬI",G126&lt;TODAY()),"HẾT HẠN",""))</x:f>
      </x:c>
      <x:c r="K126" s="39"/>
      <x:c r="L126" s="39"/>
      <x:c r="M126" s="39"/>
      <x:c r="N126" s="39"/>
      <x:c r="O126" s="42"/>
      <x:c r="P126" s="39"/>
      <x:c r="Q126" s="42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39"/>
      <x:c r="E127" s="39"/>
      <x:c r="F127" s="41"/>
      <x:c r="G127" s="41"/>
      <x:c r="H127" s="39"/>
      <x:c r="I127" s="35" t="str">
        <x:f>IF(A127="","",SUMIFS('CHI_TIẾT_BÁO_GIÁ'!$N$2:$N$500,'CHI_TIẾT_BÁO_GIÁ'!$B$2:$B$500,A127))</x:f>
      </x:c>
      <x:c r="J127" s="36" t="str">
        <x:f>IF(A127="","",IF(AND(H127="ĐÃ GỬI",G127&lt;TODAY()),"HẾT HẠN",""))</x:f>
      </x:c>
      <x:c r="K127" s="39"/>
      <x:c r="L127" s="39"/>
      <x:c r="M127" s="39"/>
      <x:c r="N127" s="39"/>
      <x:c r="O127" s="42"/>
      <x:c r="P127" s="39"/>
      <x:c r="Q127" s="42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39"/>
      <x:c r="E128" s="39"/>
      <x:c r="F128" s="41"/>
      <x:c r="G128" s="41"/>
      <x:c r="H128" s="39"/>
      <x:c r="I128" s="35" t="str">
        <x:f>IF(A128="","",SUMIFS('CHI_TIẾT_BÁO_GIÁ'!$N$2:$N$500,'CHI_TIẾT_BÁO_GIÁ'!$B$2:$B$500,A128))</x:f>
      </x:c>
      <x:c r="J128" s="36" t="str">
        <x:f>IF(A128="","",IF(AND(H128="ĐÃ GỬI",G128&lt;TODAY()),"HẾT HẠN",""))</x:f>
      </x:c>
      <x:c r="K128" s="39"/>
      <x:c r="L128" s="39"/>
      <x:c r="M128" s="39"/>
      <x:c r="N128" s="39"/>
      <x:c r="O128" s="42"/>
      <x:c r="P128" s="39"/>
      <x:c r="Q128" s="42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39"/>
      <x:c r="E129" s="39"/>
      <x:c r="F129" s="41"/>
      <x:c r="G129" s="41"/>
      <x:c r="H129" s="39"/>
      <x:c r="I129" s="35" t="str">
        <x:f>IF(A129="","",SUMIFS('CHI_TIẾT_BÁO_GIÁ'!$N$2:$N$500,'CHI_TIẾT_BÁO_GIÁ'!$B$2:$B$500,A129))</x:f>
      </x:c>
      <x:c r="J129" s="36" t="str">
        <x:f>IF(A129="","",IF(AND(H129="ĐÃ GỬI",G129&lt;TODAY()),"HẾT HẠN",""))</x:f>
      </x:c>
      <x:c r="K129" s="39"/>
      <x:c r="L129" s="39"/>
      <x:c r="M129" s="39"/>
      <x:c r="N129" s="39"/>
      <x:c r="O129" s="42"/>
      <x:c r="P129" s="39"/>
      <x:c r="Q129" s="42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39"/>
      <x:c r="E130" s="39"/>
      <x:c r="F130" s="41"/>
      <x:c r="G130" s="41"/>
      <x:c r="H130" s="39"/>
      <x:c r="I130" s="35" t="str">
        <x:f>IF(A130="","",SUMIFS('CHI_TIẾT_BÁO_GIÁ'!$N$2:$N$500,'CHI_TIẾT_BÁO_GIÁ'!$B$2:$B$500,A130))</x:f>
      </x:c>
      <x:c r="J130" s="36" t="str">
        <x:f>IF(A130="","",IF(AND(H130="ĐÃ GỬI",G130&lt;TODAY()),"HẾT HẠN",""))</x:f>
      </x:c>
      <x:c r="K130" s="39"/>
      <x:c r="L130" s="39"/>
      <x:c r="M130" s="39"/>
      <x:c r="N130" s="39"/>
      <x:c r="O130" s="42"/>
      <x:c r="P130" s="39"/>
      <x:c r="Q130" s="42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39"/>
      <x:c r="E131" s="39"/>
      <x:c r="F131" s="41"/>
      <x:c r="G131" s="41"/>
      <x:c r="H131" s="39"/>
      <x:c r="I131" s="35" t="str">
        <x:f>IF(A131="","",SUMIFS('CHI_TIẾT_BÁO_GIÁ'!$N$2:$N$500,'CHI_TIẾT_BÁO_GIÁ'!$B$2:$B$500,A131))</x:f>
      </x:c>
      <x:c r="J131" s="36" t="str">
        <x:f>IF(A131="","",IF(AND(H131="ĐÃ GỬI",G131&lt;TODAY()),"HẾT HẠN",""))</x:f>
      </x:c>
      <x:c r="K131" s="39"/>
      <x:c r="L131" s="39"/>
      <x:c r="M131" s="39"/>
      <x:c r="N131" s="39"/>
      <x:c r="O131" s="42"/>
      <x:c r="P131" s="39"/>
      <x:c r="Q131" s="42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39"/>
      <x:c r="E132" s="39"/>
      <x:c r="F132" s="41"/>
      <x:c r="G132" s="41"/>
      <x:c r="H132" s="39"/>
      <x:c r="I132" s="35" t="str">
        <x:f>IF(A132="","",SUMIFS('CHI_TIẾT_BÁO_GIÁ'!$N$2:$N$500,'CHI_TIẾT_BÁO_GIÁ'!$B$2:$B$500,A132))</x:f>
      </x:c>
      <x:c r="J132" s="36" t="str">
        <x:f>IF(A132="","",IF(AND(H132="ĐÃ GỬI",G132&lt;TODAY()),"HẾT HẠN",""))</x:f>
      </x:c>
      <x:c r="K132" s="39"/>
      <x:c r="L132" s="39"/>
      <x:c r="M132" s="39"/>
      <x:c r="N132" s="39"/>
      <x:c r="O132" s="42"/>
      <x:c r="P132" s="39"/>
      <x:c r="Q132" s="42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39"/>
      <x:c r="E133" s="39"/>
      <x:c r="F133" s="41"/>
      <x:c r="G133" s="41"/>
      <x:c r="H133" s="39"/>
      <x:c r="I133" s="35" t="str">
        <x:f>IF(A133="","",SUMIFS('CHI_TIẾT_BÁO_GIÁ'!$N$2:$N$500,'CHI_TIẾT_BÁO_GIÁ'!$B$2:$B$500,A133))</x:f>
      </x:c>
      <x:c r="J133" s="36" t="str">
        <x:f>IF(A133="","",IF(AND(H133="ĐÃ GỬI",G133&lt;TODAY()),"HẾT HẠN",""))</x:f>
      </x:c>
      <x:c r="K133" s="39"/>
      <x:c r="L133" s="39"/>
      <x:c r="M133" s="39"/>
      <x:c r="N133" s="39"/>
      <x:c r="O133" s="42"/>
      <x:c r="P133" s="39"/>
      <x:c r="Q133" s="42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39"/>
      <x:c r="E134" s="39"/>
      <x:c r="F134" s="41"/>
      <x:c r="G134" s="41"/>
      <x:c r="H134" s="39"/>
      <x:c r="I134" s="35" t="str">
        <x:f>IF(A134="","",SUMIFS('CHI_TIẾT_BÁO_GIÁ'!$N$2:$N$500,'CHI_TIẾT_BÁO_GIÁ'!$B$2:$B$500,A134))</x:f>
      </x:c>
      <x:c r="J134" s="36" t="str">
        <x:f>IF(A134="","",IF(AND(H134="ĐÃ GỬI",G134&lt;TODAY()),"HẾT HẠN",""))</x:f>
      </x:c>
      <x:c r="K134" s="39"/>
      <x:c r="L134" s="39"/>
      <x:c r="M134" s="39"/>
      <x:c r="N134" s="39"/>
      <x:c r="O134" s="42"/>
      <x:c r="P134" s="39"/>
      <x:c r="Q134" s="42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39"/>
      <x:c r="E135" s="39"/>
      <x:c r="F135" s="41"/>
      <x:c r="G135" s="41"/>
      <x:c r="H135" s="39"/>
      <x:c r="I135" s="35" t="str">
        <x:f>IF(A135="","",SUMIFS('CHI_TIẾT_BÁO_GIÁ'!$N$2:$N$500,'CHI_TIẾT_BÁO_GIÁ'!$B$2:$B$500,A135))</x:f>
      </x:c>
      <x:c r="J135" s="36" t="str">
        <x:f>IF(A135="","",IF(AND(H135="ĐÃ GỬI",G135&lt;TODAY()),"HẾT HẠN",""))</x:f>
      </x:c>
      <x:c r="K135" s="39"/>
      <x:c r="L135" s="39"/>
      <x:c r="M135" s="39"/>
      <x:c r="N135" s="39"/>
      <x:c r="O135" s="42"/>
      <x:c r="P135" s="39"/>
      <x:c r="Q135" s="42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39"/>
      <x:c r="E136" s="39"/>
      <x:c r="F136" s="41"/>
      <x:c r="G136" s="41"/>
      <x:c r="H136" s="39"/>
      <x:c r="I136" s="35" t="str">
        <x:f>IF(A136="","",SUMIFS('CHI_TIẾT_BÁO_GIÁ'!$N$2:$N$500,'CHI_TIẾT_BÁO_GIÁ'!$B$2:$B$500,A136))</x:f>
      </x:c>
      <x:c r="J136" s="36" t="str">
        <x:f>IF(A136="","",IF(AND(H136="ĐÃ GỬI",G136&lt;TODAY()),"HẾT HẠN",""))</x:f>
      </x:c>
      <x:c r="K136" s="39"/>
      <x:c r="L136" s="39"/>
      <x:c r="M136" s="39"/>
      <x:c r="N136" s="39"/>
      <x:c r="O136" s="42"/>
      <x:c r="P136" s="39"/>
      <x:c r="Q136" s="42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39"/>
      <x:c r="E137" s="39"/>
      <x:c r="F137" s="41"/>
      <x:c r="G137" s="41"/>
      <x:c r="H137" s="39"/>
      <x:c r="I137" s="35" t="str">
        <x:f>IF(A137="","",SUMIFS('CHI_TIẾT_BÁO_GIÁ'!$N$2:$N$500,'CHI_TIẾT_BÁO_GIÁ'!$B$2:$B$500,A137))</x:f>
      </x:c>
      <x:c r="J137" s="36" t="str">
        <x:f>IF(A137="","",IF(AND(H137="ĐÃ GỬI",G137&lt;TODAY()),"HẾT HẠN",""))</x:f>
      </x:c>
      <x:c r="K137" s="39"/>
      <x:c r="L137" s="39"/>
      <x:c r="M137" s="39"/>
      <x:c r="N137" s="39"/>
      <x:c r="O137" s="42"/>
      <x:c r="P137" s="39"/>
      <x:c r="Q137" s="42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39"/>
      <x:c r="E138" s="39"/>
      <x:c r="F138" s="41"/>
      <x:c r="G138" s="41"/>
      <x:c r="H138" s="39"/>
      <x:c r="I138" s="35" t="str">
        <x:f>IF(A138="","",SUMIFS('CHI_TIẾT_BÁO_GIÁ'!$N$2:$N$500,'CHI_TIẾT_BÁO_GIÁ'!$B$2:$B$500,A138))</x:f>
      </x:c>
      <x:c r="J138" s="36" t="str">
        <x:f>IF(A138="","",IF(AND(H138="ĐÃ GỬI",G138&lt;TODAY()),"HẾT HẠN",""))</x:f>
      </x:c>
      <x:c r="K138" s="39"/>
      <x:c r="L138" s="39"/>
      <x:c r="M138" s="39"/>
      <x:c r="N138" s="39"/>
      <x:c r="O138" s="42"/>
      <x:c r="P138" s="39"/>
      <x:c r="Q138" s="42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39"/>
      <x:c r="E139" s="39"/>
      <x:c r="F139" s="41"/>
      <x:c r="G139" s="41"/>
      <x:c r="H139" s="39"/>
      <x:c r="I139" s="35" t="str">
        <x:f>IF(A139="","",SUMIFS('CHI_TIẾT_BÁO_GIÁ'!$N$2:$N$500,'CHI_TIẾT_BÁO_GIÁ'!$B$2:$B$500,A139))</x:f>
      </x:c>
      <x:c r="J139" s="36" t="str">
        <x:f>IF(A139="","",IF(AND(H139="ĐÃ GỬI",G139&lt;TODAY()),"HẾT HẠN",""))</x:f>
      </x:c>
      <x:c r="K139" s="39"/>
      <x:c r="L139" s="39"/>
      <x:c r="M139" s="39"/>
      <x:c r="N139" s="39"/>
      <x:c r="O139" s="42"/>
      <x:c r="P139" s="39"/>
      <x:c r="Q139" s="42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39"/>
      <x:c r="E140" s="39"/>
      <x:c r="F140" s="41"/>
      <x:c r="G140" s="41"/>
      <x:c r="H140" s="39"/>
      <x:c r="I140" s="35" t="str">
        <x:f>IF(A140="","",SUMIFS('CHI_TIẾT_BÁO_GIÁ'!$N$2:$N$500,'CHI_TIẾT_BÁO_GIÁ'!$B$2:$B$500,A140))</x:f>
      </x:c>
      <x:c r="J140" s="36" t="str">
        <x:f>IF(A140="","",IF(AND(H140="ĐÃ GỬI",G140&lt;TODAY()),"HẾT HẠN",""))</x:f>
      </x:c>
      <x:c r="K140" s="39"/>
      <x:c r="L140" s="39"/>
      <x:c r="M140" s="39"/>
      <x:c r="N140" s="39"/>
      <x:c r="O140" s="42"/>
      <x:c r="P140" s="39"/>
      <x:c r="Q140" s="42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39"/>
      <x:c r="E141" s="39"/>
      <x:c r="F141" s="41"/>
      <x:c r="G141" s="41"/>
      <x:c r="H141" s="39"/>
      <x:c r="I141" s="35" t="str">
        <x:f>IF(A141="","",SUMIFS('CHI_TIẾT_BÁO_GIÁ'!$N$2:$N$500,'CHI_TIẾT_BÁO_GIÁ'!$B$2:$B$500,A141))</x:f>
      </x:c>
      <x:c r="J141" s="36" t="str">
        <x:f>IF(A141="","",IF(AND(H141="ĐÃ GỬI",G141&lt;TODAY()),"HẾT HẠN",""))</x:f>
      </x:c>
      <x:c r="K141" s="39"/>
      <x:c r="L141" s="39"/>
      <x:c r="M141" s="39"/>
      <x:c r="N141" s="39"/>
      <x:c r="O141" s="42"/>
      <x:c r="P141" s="39"/>
      <x:c r="Q141" s="42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39"/>
      <x:c r="E142" s="39"/>
      <x:c r="F142" s="41"/>
      <x:c r="G142" s="41"/>
      <x:c r="H142" s="39"/>
      <x:c r="I142" s="35" t="str">
        <x:f>IF(A142="","",SUMIFS('CHI_TIẾT_BÁO_GIÁ'!$N$2:$N$500,'CHI_TIẾT_BÁO_GIÁ'!$B$2:$B$500,A142))</x:f>
      </x:c>
      <x:c r="J142" s="36" t="str">
        <x:f>IF(A142="","",IF(AND(H142="ĐÃ GỬI",G142&lt;TODAY()),"HẾT HẠN",""))</x:f>
      </x:c>
      <x:c r="K142" s="39"/>
      <x:c r="L142" s="39"/>
      <x:c r="M142" s="39"/>
      <x:c r="N142" s="39"/>
      <x:c r="O142" s="42"/>
      <x:c r="P142" s="39"/>
      <x:c r="Q142" s="42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39"/>
      <x:c r="E143" s="39"/>
      <x:c r="F143" s="41"/>
      <x:c r="G143" s="41"/>
      <x:c r="H143" s="39"/>
      <x:c r="I143" s="35" t="str">
        <x:f>IF(A143="","",SUMIFS('CHI_TIẾT_BÁO_GIÁ'!$N$2:$N$500,'CHI_TIẾT_BÁO_GIÁ'!$B$2:$B$500,A143))</x:f>
      </x:c>
      <x:c r="J143" s="36" t="str">
        <x:f>IF(A143="","",IF(AND(H143="ĐÃ GỬI",G143&lt;TODAY()),"HẾT HẠN",""))</x:f>
      </x:c>
      <x:c r="K143" s="39"/>
      <x:c r="L143" s="39"/>
      <x:c r="M143" s="39"/>
      <x:c r="N143" s="39"/>
      <x:c r="O143" s="42"/>
      <x:c r="P143" s="39"/>
      <x:c r="Q143" s="42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39"/>
      <x:c r="E144" s="39"/>
      <x:c r="F144" s="41"/>
      <x:c r="G144" s="41"/>
      <x:c r="H144" s="39"/>
      <x:c r="I144" s="35" t="str">
        <x:f>IF(A144="","",SUMIFS('CHI_TIẾT_BÁO_GIÁ'!$N$2:$N$500,'CHI_TIẾT_BÁO_GIÁ'!$B$2:$B$500,A144))</x:f>
      </x:c>
      <x:c r="J144" s="36" t="str">
        <x:f>IF(A144="","",IF(AND(H144="ĐÃ GỬI",G144&lt;TODAY()),"HẾT HẠN",""))</x:f>
      </x:c>
      <x:c r="K144" s="39"/>
      <x:c r="L144" s="39"/>
      <x:c r="M144" s="39"/>
      <x:c r="N144" s="39"/>
      <x:c r="O144" s="42"/>
      <x:c r="P144" s="39"/>
      <x:c r="Q144" s="42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39"/>
      <x:c r="E145" s="39"/>
      <x:c r="F145" s="41"/>
      <x:c r="G145" s="41"/>
      <x:c r="H145" s="39"/>
      <x:c r="I145" s="35" t="str">
        <x:f>IF(A145="","",SUMIFS('CHI_TIẾT_BÁO_GIÁ'!$N$2:$N$500,'CHI_TIẾT_BÁO_GIÁ'!$B$2:$B$500,A145))</x:f>
      </x:c>
      <x:c r="J145" s="36" t="str">
        <x:f>IF(A145="","",IF(AND(H145="ĐÃ GỬI",G145&lt;TODAY()),"HẾT HẠN",""))</x:f>
      </x:c>
      <x:c r="K145" s="39"/>
      <x:c r="L145" s="39"/>
      <x:c r="M145" s="39"/>
      <x:c r="N145" s="39"/>
      <x:c r="O145" s="42"/>
      <x:c r="P145" s="39"/>
      <x:c r="Q145" s="42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39"/>
      <x:c r="E146" s="39"/>
      <x:c r="F146" s="41"/>
      <x:c r="G146" s="41"/>
      <x:c r="H146" s="39"/>
      <x:c r="I146" s="35" t="str">
        <x:f>IF(A146="","",SUMIFS('CHI_TIẾT_BÁO_GIÁ'!$N$2:$N$500,'CHI_TIẾT_BÁO_GIÁ'!$B$2:$B$500,A146))</x:f>
      </x:c>
      <x:c r="J146" s="36" t="str">
        <x:f>IF(A146="","",IF(AND(H146="ĐÃ GỬI",G146&lt;TODAY()),"HẾT HẠN",""))</x:f>
      </x:c>
      <x:c r="K146" s="39"/>
      <x:c r="L146" s="39"/>
      <x:c r="M146" s="39"/>
      <x:c r="N146" s="39"/>
      <x:c r="O146" s="42"/>
      <x:c r="P146" s="39"/>
      <x:c r="Q146" s="42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39"/>
      <x:c r="E147" s="39"/>
      <x:c r="F147" s="41"/>
      <x:c r="G147" s="41"/>
      <x:c r="H147" s="39"/>
      <x:c r="I147" s="35" t="str">
        <x:f>IF(A147="","",SUMIFS('CHI_TIẾT_BÁO_GIÁ'!$N$2:$N$500,'CHI_TIẾT_BÁO_GIÁ'!$B$2:$B$500,A147))</x:f>
      </x:c>
      <x:c r="J147" s="36" t="str">
        <x:f>IF(A147="","",IF(AND(H147="ĐÃ GỬI",G147&lt;TODAY()),"HẾT HẠN",""))</x:f>
      </x:c>
      <x:c r="K147" s="39"/>
      <x:c r="L147" s="39"/>
      <x:c r="M147" s="39"/>
      <x:c r="N147" s="39"/>
      <x:c r="O147" s="42"/>
      <x:c r="P147" s="39"/>
      <x:c r="Q147" s="42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39"/>
      <x:c r="E148" s="39"/>
      <x:c r="F148" s="41"/>
      <x:c r="G148" s="41"/>
      <x:c r="H148" s="39"/>
      <x:c r="I148" s="35" t="str">
        <x:f>IF(A148="","",SUMIFS('CHI_TIẾT_BÁO_GIÁ'!$N$2:$N$500,'CHI_TIẾT_BÁO_GIÁ'!$B$2:$B$500,A148))</x:f>
      </x:c>
      <x:c r="J148" s="36" t="str">
        <x:f>IF(A148="","",IF(AND(H148="ĐÃ GỬI",G148&lt;TODAY()),"HẾT HẠN",""))</x:f>
      </x:c>
      <x:c r="K148" s="39"/>
      <x:c r="L148" s="39"/>
      <x:c r="M148" s="39"/>
      <x:c r="N148" s="39"/>
      <x:c r="O148" s="42"/>
      <x:c r="P148" s="39"/>
      <x:c r="Q148" s="42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39"/>
      <x:c r="E149" s="39"/>
      <x:c r="F149" s="41"/>
      <x:c r="G149" s="41"/>
      <x:c r="H149" s="39"/>
      <x:c r="I149" s="35" t="str">
        <x:f>IF(A149="","",SUMIFS('CHI_TIẾT_BÁO_GIÁ'!$N$2:$N$500,'CHI_TIẾT_BÁO_GIÁ'!$B$2:$B$500,A149))</x:f>
      </x:c>
      <x:c r="J149" s="36" t="str">
        <x:f>IF(A149="","",IF(AND(H149="ĐÃ GỬI",G149&lt;TODAY()),"HẾT HẠN",""))</x:f>
      </x:c>
      <x:c r="K149" s="39"/>
      <x:c r="L149" s="39"/>
      <x:c r="M149" s="39"/>
      <x:c r="N149" s="39"/>
      <x:c r="O149" s="42"/>
      <x:c r="P149" s="39"/>
      <x:c r="Q149" s="42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39"/>
      <x:c r="E150" s="39"/>
      <x:c r="F150" s="41"/>
      <x:c r="G150" s="41"/>
      <x:c r="H150" s="39"/>
      <x:c r="I150" s="35" t="str">
        <x:f>IF(A150="","",SUMIFS('CHI_TIẾT_BÁO_GIÁ'!$N$2:$N$500,'CHI_TIẾT_BÁO_GIÁ'!$B$2:$B$500,A150))</x:f>
      </x:c>
      <x:c r="J150" s="36" t="str">
        <x:f>IF(A150="","",IF(AND(H150="ĐÃ GỬI",G150&lt;TODAY()),"HẾT HẠN",""))</x:f>
      </x:c>
      <x:c r="K150" s="39"/>
      <x:c r="L150" s="39"/>
      <x:c r="M150" s="39"/>
      <x:c r="N150" s="39"/>
      <x:c r="O150" s="42"/>
      <x:c r="P150" s="39"/>
      <x:c r="Q150" s="42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39"/>
      <x:c r="E151" s="39"/>
      <x:c r="F151" s="41"/>
      <x:c r="G151" s="41"/>
      <x:c r="H151" s="39"/>
      <x:c r="I151" s="35" t="str">
        <x:f>IF(A151="","",SUMIFS('CHI_TIẾT_BÁO_GIÁ'!$N$2:$N$500,'CHI_TIẾT_BÁO_GIÁ'!$B$2:$B$500,A151))</x:f>
      </x:c>
      <x:c r="J151" s="36" t="str">
        <x:f>IF(A151="","",IF(AND(H151="ĐÃ GỬI",G151&lt;TODAY()),"HẾT HẠN",""))</x:f>
      </x:c>
      <x:c r="K151" s="39"/>
      <x:c r="L151" s="39"/>
      <x:c r="M151" s="39"/>
      <x:c r="N151" s="39"/>
      <x:c r="O151" s="42"/>
      <x:c r="P151" s="39"/>
      <x:c r="Q151" s="42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39"/>
      <x:c r="E152" s="39"/>
      <x:c r="F152" s="41"/>
      <x:c r="G152" s="41"/>
      <x:c r="H152" s="39"/>
      <x:c r="I152" s="35" t="str">
        <x:f>IF(A152="","",SUMIFS('CHI_TIẾT_BÁO_GIÁ'!$N$2:$N$500,'CHI_TIẾT_BÁO_GIÁ'!$B$2:$B$500,A152))</x:f>
      </x:c>
      <x:c r="J152" s="36" t="str">
        <x:f>IF(A152="","",IF(AND(H152="ĐÃ GỬI",G152&lt;TODAY()),"HẾT HẠN",""))</x:f>
      </x:c>
      <x:c r="K152" s="39"/>
      <x:c r="L152" s="39"/>
      <x:c r="M152" s="39"/>
      <x:c r="N152" s="39"/>
      <x:c r="O152" s="42"/>
      <x:c r="P152" s="39"/>
      <x:c r="Q152" s="42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39"/>
      <x:c r="E153" s="39"/>
      <x:c r="F153" s="41"/>
      <x:c r="G153" s="41"/>
      <x:c r="H153" s="39"/>
      <x:c r="I153" s="35" t="str">
        <x:f>IF(A153="","",SUMIFS('CHI_TIẾT_BÁO_GIÁ'!$N$2:$N$500,'CHI_TIẾT_BÁO_GIÁ'!$B$2:$B$500,A153))</x:f>
      </x:c>
      <x:c r="J153" s="36" t="str">
        <x:f>IF(A153="","",IF(AND(H153="ĐÃ GỬI",G153&lt;TODAY()),"HẾT HẠN",""))</x:f>
      </x:c>
      <x:c r="K153" s="39"/>
      <x:c r="L153" s="39"/>
      <x:c r="M153" s="39"/>
      <x:c r="N153" s="39"/>
      <x:c r="O153" s="42"/>
      <x:c r="P153" s="39"/>
      <x:c r="Q153" s="42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39"/>
      <x:c r="E154" s="39"/>
      <x:c r="F154" s="41"/>
      <x:c r="G154" s="41"/>
      <x:c r="H154" s="39"/>
      <x:c r="I154" s="35" t="str">
        <x:f>IF(A154="","",SUMIFS('CHI_TIẾT_BÁO_GIÁ'!$N$2:$N$500,'CHI_TIẾT_BÁO_GIÁ'!$B$2:$B$500,A154))</x:f>
      </x:c>
      <x:c r="J154" s="36" t="str">
        <x:f>IF(A154="","",IF(AND(H154="ĐÃ GỬI",G154&lt;TODAY()),"HẾT HẠN",""))</x:f>
      </x:c>
      <x:c r="K154" s="39"/>
      <x:c r="L154" s="39"/>
      <x:c r="M154" s="39"/>
      <x:c r="N154" s="39"/>
      <x:c r="O154" s="42"/>
      <x:c r="P154" s="39"/>
      <x:c r="Q154" s="42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39"/>
      <x:c r="E155" s="39"/>
      <x:c r="F155" s="41"/>
      <x:c r="G155" s="41"/>
      <x:c r="H155" s="39"/>
      <x:c r="I155" s="35" t="str">
        <x:f>IF(A155="","",SUMIFS('CHI_TIẾT_BÁO_GIÁ'!$N$2:$N$500,'CHI_TIẾT_BÁO_GIÁ'!$B$2:$B$500,A155))</x:f>
      </x:c>
      <x:c r="J155" s="36" t="str">
        <x:f>IF(A155="","",IF(AND(H155="ĐÃ GỬI",G155&lt;TODAY()),"HẾT HẠN",""))</x:f>
      </x:c>
      <x:c r="K155" s="39"/>
      <x:c r="L155" s="39"/>
      <x:c r="M155" s="39"/>
      <x:c r="N155" s="39"/>
      <x:c r="O155" s="42"/>
      <x:c r="P155" s="39"/>
      <x:c r="Q155" s="42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39"/>
      <x:c r="E156" s="39"/>
      <x:c r="F156" s="41"/>
      <x:c r="G156" s="41"/>
      <x:c r="H156" s="39"/>
      <x:c r="I156" s="35" t="str">
        <x:f>IF(A156="","",SUMIFS('CHI_TIẾT_BÁO_GIÁ'!$N$2:$N$500,'CHI_TIẾT_BÁO_GIÁ'!$B$2:$B$500,A156))</x:f>
      </x:c>
      <x:c r="J156" s="36" t="str">
        <x:f>IF(A156="","",IF(AND(H156="ĐÃ GỬI",G156&lt;TODAY()),"HẾT HẠN",""))</x:f>
      </x:c>
      <x:c r="K156" s="39"/>
      <x:c r="L156" s="39"/>
      <x:c r="M156" s="39"/>
      <x:c r="N156" s="39"/>
      <x:c r="O156" s="42"/>
      <x:c r="P156" s="39"/>
      <x:c r="Q156" s="42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39"/>
      <x:c r="E157" s="39"/>
      <x:c r="F157" s="41"/>
      <x:c r="G157" s="41"/>
      <x:c r="H157" s="39"/>
      <x:c r="I157" s="35" t="str">
        <x:f>IF(A157="","",SUMIFS('CHI_TIẾT_BÁO_GIÁ'!$N$2:$N$500,'CHI_TIẾT_BÁO_GIÁ'!$B$2:$B$500,A157))</x:f>
      </x:c>
      <x:c r="J157" s="36" t="str">
        <x:f>IF(A157="","",IF(AND(H157="ĐÃ GỬI",G157&lt;TODAY()),"HẾT HẠN",""))</x:f>
      </x:c>
      <x:c r="K157" s="39"/>
      <x:c r="L157" s="39"/>
      <x:c r="M157" s="39"/>
      <x:c r="N157" s="39"/>
      <x:c r="O157" s="42"/>
      <x:c r="P157" s="39"/>
      <x:c r="Q157" s="42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39"/>
      <x:c r="E158" s="39"/>
      <x:c r="F158" s="41"/>
      <x:c r="G158" s="41"/>
      <x:c r="H158" s="39"/>
      <x:c r="I158" s="35" t="str">
        <x:f>IF(A158="","",SUMIFS('CHI_TIẾT_BÁO_GIÁ'!$N$2:$N$500,'CHI_TIẾT_BÁO_GIÁ'!$B$2:$B$500,A158))</x:f>
      </x:c>
      <x:c r="J158" s="36" t="str">
        <x:f>IF(A158="","",IF(AND(H158="ĐÃ GỬI",G158&lt;TODAY()),"HẾT HẠN",""))</x:f>
      </x:c>
      <x:c r="K158" s="39"/>
      <x:c r="L158" s="39"/>
      <x:c r="M158" s="39"/>
      <x:c r="N158" s="39"/>
      <x:c r="O158" s="42"/>
      <x:c r="P158" s="39"/>
      <x:c r="Q158" s="42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39"/>
      <x:c r="E159" s="39"/>
      <x:c r="F159" s="41"/>
      <x:c r="G159" s="41"/>
      <x:c r="H159" s="39"/>
      <x:c r="I159" s="35" t="str">
        <x:f>IF(A159="","",SUMIFS('CHI_TIẾT_BÁO_GIÁ'!$N$2:$N$500,'CHI_TIẾT_BÁO_GIÁ'!$B$2:$B$500,A159))</x:f>
      </x:c>
      <x:c r="J159" s="36" t="str">
        <x:f>IF(A159="","",IF(AND(H159="ĐÃ GỬI",G159&lt;TODAY()),"HẾT HẠN",""))</x:f>
      </x:c>
      <x:c r="K159" s="39"/>
      <x:c r="L159" s="39"/>
      <x:c r="M159" s="39"/>
      <x:c r="N159" s="39"/>
      <x:c r="O159" s="42"/>
      <x:c r="P159" s="39"/>
      <x:c r="Q159" s="42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39"/>
      <x:c r="E160" s="39"/>
      <x:c r="F160" s="41"/>
      <x:c r="G160" s="41"/>
      <x:c r="H160" s="39"/>
      <x:c r="I160" s="35" t="str">
        <x:f>IF(A160="","",SUMIFS('CHI_TIẾT_BÁO_GIÁ'!$N$2:$N$500,'CHI_TIẾT_BÁO_GIÁ'!$B$2:$B$500,A160))</x:f>
      </x:c>
      <x:c r="J160" s="36" t="str">
        <x:f>IF(A160="","",IF(AND(H160="ĐÃ GỬI",G160&lt;TODAY()),"HẾT HẠN",""))</x:f>
      </x:c>
      <x:c r="K160" s="39"/>
      <x:c r="L160" s="39"/>
      <x:c r="M160" s="39"/>
      <x:c r="N160" s="39"/>
      <x:c r="O160" s="42"/>
      <x:c r="P160" s="39"/>
      <x:c r="Q160" s="42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39"/>
      <x:c r="E161" s="39"/>
      <x:c r="F161" s="41"/>
      <x:c r="G161" s="41"/>
      <x:c r="H161" s="39"/>
      <x:c r="I161" s="35" t="str">
        <x:f>IF(A161="","",SUMIFS('CHI_TIẾT_BÁO_GIÁ'!$N$2:$N$500,'CHI_TIẾT_BÁO_GIÁ'!$B$2:$B$500,A161))</x:f>
      </x:c>
      <x:c r="J161" s="36" t="str">
        <x:f>IF(A161="","",IF(AND(H161="ĐÃ GỬI",G161&lt;TODAY()),"HẾT HẠN",""))</x:f>
      </x:c>
      <x:c r="K161" s="39"/>
      <x:c r="L161" s="39"/>
      <x:c r="M161" s="39"/>
      <x:c r="N161" s="39"/>
      <x:c r="O161" s="42"/>
      <x:c r="P161" s="39"/>
      <x:c r="Q161" s="42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39"/>
      <x:c r="E162" s="39"/>
      <x:c r="F162" s="41"/>
      <x:c r="G162" s="41"/>
      <x:c r="H162" s="39"/>
      <x:c r="I162" s="35" t="str">
        <x:f>IF(A162="","",SUMIFS('CHI_TIẾT_BÁO_GIÁ'!$N$2:$N$500,'CHI_TIẾT_BÁO_GIÁ'!$B$2:$B$500,A162))</x:f>
      </x:c>
      <x:c r="J162" s="36" t="str">
        <x:f>IF(A162="","",IF(AND(H162="ĐÃ GỬI",G162&lt;TODAY()),"HẾT HẠN",""))</x:f>
      </x:c>
      <x:c r="K162" s="39"/>
      <x:c r="L162" s="39"/>
      <x:c r="M162" s="39"/>
      <x:c r="N162" s="39"/>
      <x:c r="O162" s="42"/>
      <x:c r="P162" s="39"/>
      <x:c r="Q162" s="42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39"/>
      <x:c r="E163" s="39"/>
      <x:c r="F163" s="41"/>
      <x:c r="G163" s="41"/>
      <x:c r="H163" s="39"/>
      <x:c r="I163" s="35" t="str">
        <x:f>IF(A163="","",SUMIFS('CHI_TIẾT_BÁO_GIÁ'!$N$2:$N$500,'CHI_TIẾT_BÁO_GIÁ'!$B$2:$B$500,A163))</x:f>
      </x:c>
      <x:c r="J163" s="36" t="str">
        <x:f>IF(A163="","",IF(AND(H163="ĐÃ GỬI",G163&lt;TODAY()),"HẾT HẠN",""))</x:f>
      </x:c>
      <x:c r="K163" s="39"/>
      <x:c r="L163" s="39"/>
      <x:c r="M163" s="39"/>
      <x:c r="N163" s="39"/>
      <x:c r="O163" s="42"/>
      <x:c r="P163" s="39"/>
      <x:c r="Q163" s="42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39"/>
      <x:c r="E164" s="39"/>
      <x:c r="F164" s="41"/>
      <x:c r="G164" s="41"/>
      <x:c r="H164" s="39"/>
      <x:c r="I164" s="35" t="str">
        <x:f>IF(A164="","",SUMIFS('CHI_TIẾT_BÁO_GIÁ'!$N$2:$N$500,'CHI_TIẾT_BÁO_GIÁ'!$B$2:$B$500,A164))</x:f>
      </x:c>
      <x:c r="J164" s="36" t="str">
        <x:f>IF(A164="","",IF(AND(H164="ĐÃ GỬI",G164&lt;TODAY()),"HẾT HẠN",""))</x:f>
      </x:c>
      <x:c r="K164" s="39"/>
      <x:c r="L164" s="39"/>
      <x:c r="M164" s="39"/>
      <x:c r="N164" s="39"/>
      <x:c r="O164" s="42"/>
      <x:c r="P164" s="39"/>
      <x:c r="Q164" s="42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39"/>
      <x:c r="E165" s="39"/>
      <x:c r="F165" s="41"/>
      <x:c r="G165" s="41"/>
      <x:c r="H165" s="39"/>
      <x:c r="I165" s="35" t="str">
        <x:f>IF(A165="","",SUMIFS('CHI_TIẾT_BÁO_GIÁ'!$N$2:$N$500,'CHI_TIẾT_BÁO_GIÁ'!$B$2:$B$500,A165))</x:f>
      </x:c>
      <x:c r="J165" s="36" t="str">
        <x:f>IF(A165="","",IF(AND(H165="ĐÃ GỬI",G165&lt;TODAY()),"HẾT HẠN",""))</x:f>
      </x:c>
      <x:c r="K165" s="39"/>
      <x:c r="L165" s="39"/>
      <x:c r="M165" s="39"/>
      <x:c r="N165" s="39"/>
      <x:c r="O165" s="42"/>
      <x:c r="P165" s="39"/>
      <x:c r="Q165" s="42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39"/>
      <x:c r="E166" s="39"/>
      <x:c r="F166" s="41"/>
      <x:c r="G166" s="41"/>
      <x:c r="H166" s="39"/>
      <x:c r="I166" s="35" t="str">
        <x:f>IF(A166="","",SUMIFS('CHI_TIẾT_BÁO_GIÁ'!$N$2:$N$500,'CHI_TIẾT_BÁO_GIÁ'!$B$2:$B$500,A166))</x:f>
      </x:c>
      <x:c r="J166" s="36" t="str">
        <x:f>IF(A166="","",IF(AND(H166="ĐÃ GỬI",G166&lt;TODAY()),"HẾT HẠN",""))</x:f>
      </x:c>
      <x:c r="K166" s="39"/>
      <x:c r="L166" s="39"/>
      <x:c r="M166" s="39"/>
      <x:c r="N166" s="39"/>
      <x:c r="O166" s="42"/>
      <x:c r="P166" s="39"/>
      <x:c r="Q166" s="42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39"/>
      <x:c r="E167" s="39"/>
      <x:c r="F167" s="41"/>
      <x:c r="G167" s="41"/>
      <x:c r="H167" s="39"/>
      <x:c r="I167" s="35" t="str">
        <x:f>IF(A167="","",SUMIFS('CHI_TIẾT_BÁO_GIÁ'!$N$2:$N$500,'CHI_TIẾT_BÁO_GIÁ'!$B$2:$B$500,A167))</x:f>
      </x:c>
      <x:c r="J167" s="36" t="str">
        <x:f>IF(A167="","",IF(AND(H167="ĐÃ GỬI",G167&lt;TODAY()),"HẾT HẠN",""))</x:f>
      </x:c>
      <x:c r="K167" s="39"/>
      <x:c r="L167" s="39"/>
      <x:c r="M167" s="39"/>
      <x:c r="N167" s="39"/>
      <x:c r="O167" s="42"/>
      <x:c r="P167" s="39"/>
      <x:c r="Q167" s="42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39"/>
      <x:c r="E168" s="39"/>
      <x:c r="F168" s="41"/>
      <x:c r="G168" s="41"/>
      <x:c r="H168" s="39"/>
      <x:c r="I168" s="35" t="str">
        <x:f>IF(A168="","",SUMIFS('CHI_TIẾT_BÁO_GIÁ'!$N$2:$N$500,'CHI_TIẾT_BÁO_GIÁ'!$B$2:$B$500,A168))</x:f>
      </x:c>
      <x:c r="J168" s="36" t="str">
        <x:f>IF(A168="","",IF(AND(H168="ĐÃ GỬI",G168&lt;TODAY()),"HẾT HẠN",""))</x:f>
      </x:c>
      <x:c r="K168" s="39"/>
      <x:c r="L168" s="39"/>
      <x:c r="M168" s="39"/>
      <x:c r="N168" s="39"/>
      <x:c r="O168" s="42"/>
      <x:c r="P168" s="39"/>
      <x:c r="Q168" s="42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39"/>
      <x:c r="E169" s="39"/>
      <x:c r="F169" s="41"/>
      <x:c r="G169" s="41"/>
      <x:c r="H169" s="39"/>
      <x:c r="I169" s="35" t="str">
        <x:f>IF(A169="","",SUMIFS('CHI_TIẾT_BÁO_GIÁ'!$N$2:$N$500,'CHI_TIẾT_BÁO_GIÁ'!$B$2:$B$500,A169))</x:f>
      </x:c>
      <x:c r="J169" s="36" t="str">
        <x:f>IF(A169="","",IF(AND(H169="ĐÃ GỬI",G169&lt;TODAY()),"HẾT HẠN",""))</x:f>
      </x:c>
      <x:c r="K169" s="39"/>
      <x:c r="L169" s="39"/>
      <x:c r="M169" s="39"/>
      <x:c r="N169" s="39"/>
      <x:c r="O169" s="42"/>
      <x:c r="P169" s="39"/>
      <x:c r="Q169" s="42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39"/>
      <x:c r="E170" s="39"/>
      <x:c r="F170" s="41"/>
      <x:c r="G170" s="41"/>
      <x:c r="H170" s="39"/>
      <x:c r="I170" s="35" t="str">
        <x:f>IF(A170="","",SUMIFS('CHI_TIẾT_BÁO_GIÁ'!$N$2:$N$500,'CHI_TIẾT_BÁO_GIÁ'!$B$2:$B$500,A170))</x:f>
      </x:c>
      <x:c r="J170" s="36" t="str">
        <x:f>IF(A170="","",IF(AND(H170="ĐÃ GỬI",G170&lt;TODAY()),"HẾT HẠN",""))</x:f>
      </x:c>
      <x:c r="K170" s="39"/>
      <x:c r="L170" s="39"/>
      <x:c r="M170" s="39"/>
      <x:c r="N170" s="39"/>
      <x:c r="O170" s="42"/>
      <x:c r="P170" s="39"/>
      <x:c r="Q170" s="42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39"/>
      <x:c r="E171" s="39"/>
      <x:c r="F171" s="41"/>
      <x:c r="G171" s="41"/>
      <x:c r="H171" s="39"/>
      <x:c r="I171" s="35" t="str">
        <x:f>IF(A171="","",SUMIFS('CHI_TIẾT_BÁO_GIÁ'!$N$2:$N$500,'CHI_TIẾT_BÁO_GIÁ'!$B$2:$B$500,A171))</x:f>
      </x:c>
      <x:c r="J171" s="36" t="str">
        <x:f>IF(A171="","",IF(AND(H171="ĐÃ GỬI",G171&lt;TODAY()),"HẾT HẠN",""))</x:f>
      </x:c>
      <x:c r="K171" s="39"/>
      <x:c r="L171" s="39"/>
      <x:c r="M171" s="39"/>
      <x:c r="N171" s="39"/>
      <x:c r="O171" s="42"/>
      <x:c r="P171" s="39"/>
      <x:c r="Q171" s="42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39"/>
      <x:c r="E172" s="39"/>
      <x:c r="F172" s="41"/>
      <x:c r="G172" s="41"/>
      <x:c r="H172" s="39"/>
      <x:c r="I172" s="35" t="str">
        <x:f>IF(A172="","",SUMIFS('CHI_TIẾT_BÁO_GIÁ'!$N$2:$N$500,'CHI_TIẾT_BÁO_GIÁ'!$B$2:$B$500,A172))</x:f>
      </x:c>
      <x:c r="J172" s="36" t="str">
        <x:f>IF(A172="","",IF(AND(H172="ĐÃ GỬI",G172&lt;TODAY()),"HẾT HẠN",""))</x:f>
      </x:c>
      <x:c r="K172" s="39"/>
      <x:c r="L172" s="39"/>
      <x:c r="M172" s="39"/>
      <x:c r="N172" s="39"/>
      <x:c r="O172" s="42"/>
      <x:c r="P172" s="39"/>
      <x:c r="Q172" s="42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39"/>
      <x:c r="E173" s="39"/>
      <x:c r="F173" s="41"/>
      <x:c r="G173" s="41"/>
      <x:c r="H173" s="39"/>
      <x:c r="I173" s="35" t="str">
        <x:f>IF(A173="","",SUMIFS('CHI_TIẾT_BÁO_GIÁ'!$N$2:$N$500,'CHI_TIẾT_BÁO_GIÁ'!$B$2:$B$500,A173))</x:f>
      </x:c>
      <x:c r="J173" s="36" t="str">
        <x:f>IF(A173="","",IF(AND(H173="ĐÃ GỬI",G173&lt;TODAY()),"HẾT HẠN",""))</x:f>
      </x:c>
      <x:c r="K173" s="39"/>
      <x:c r="L173" s="39"/>
      <x:c r="M173" s="39"/>
      <x:c r="N173" s="39"/>
      <x:c r="O173" s="42"/>
      <x:c r="P173" s="39"/>
      <x:c r="Q173" s="42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39"/>
      <x:c r="E174" s="39"/>
      <x:c r="F174" s="41"/>
      <x:c r="G174" s="41"/>
      <x:c r="H174" s="39"/>
      <x:c r="I174" s="35" t="str">
        <x:f>IF(A174="","",SUMIFS('CHI_TIẾT_BÁO_GIÁ'!$N$2:$N$500,'CHI_TIẾT_BÁO_GIÁ'!$B$2:$B$500,A174))</x:f>
      </x:c>
      <x:c r="J174" s="36" t="str">
        <x:f>IF(A174="","",IF(AND(H174="ĐÃ GỬI",G174&lt;TODAY()),"HẾT HẠN",""))</x:f>
      </x:c>
      <x:c r="K174" s="39"/>
      <x:c r="L174" s="39"/>
      <x:c r="M174" s="39"/>
      <x:c r="N174" s="39"/>
      <x:c r="O174" s="42"/>
      <x:c r="P174" s="39"/>
      <x:c r="Q174" s="42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39"/>
      <x:c r="E175" s="39"/>
      <x:c r="F175" s="41"/>
      <x:c r="G175" s="41"/>
      <x:c r="H175" s="39"/>
      <x:c r="I175" s="35" t="str">
        <x:f>IF(A175="","",SUMIFS('CHI_TIẾT_BÁO_GIÁ'!$N$2:$N$500,'CHI_TIẾT_BÁO_GIÁ'!$B$2:$B$500,A175))</x:f>
      </x:c>
      <x:c r="J175" s="36" t="str">
        <x:f>IF(A175="","",IF(AND(H175="ĐÃ GỬI",G175&lt;TODAY()),"HẾT HẠN",""))</x:f>
      </x:c>
      <x:c r="K175" s="39"/>
      <x:c r="L175" s="39"/>
      <x:c r="M175" s="39"/>
      <x:c r="N175" s="39"/>
      <x:c r="O175" s="42"/>
      <x:c r="P175" s="39"/>
      <x:c r="Q175" s="42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39"/>
      <x:c r="E176" s="39"/>
      <x:c r="F176" s="41"/>
      <x:c r="G176" s="41"/>
      <x:c r="H176" s="39"/>
      <x:c r="I176" s="35" t="str">
        <x:f>IF(A176="","",SUMIFS('CHI_TIẾT_BÁO_GIÁ'!$N$2:$N$500,'CHI_TIẾT_BÁO_GIÁ'!$B$2:$B$500,A176))</x:f>
      </x:c>
      <x:c r="J176" s="36" t="str">
        <x:f>IF(A176="","",IF(AND(H176="ĐÃ GỬI",G176&lt;TODAY()),"HẾT HẠN",""))</x:f>
      </x:c>
      <x:c r="K176" s="39"/>
      <x:c r="L176" s="39"/>
      <x:c r="M176" s="39"/>
      <x:c r="N176" s="39"/>
      <x:c r="O176" s="42"/>
      <x:c r="P176" s="39"/>
      <x:c r="Q176" s="42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39"/>
      <x:c r="E177" s="39"/>
      <x:c r="F177" s="41"/>
      <x:c r="G177" s="41"/>
      <x:c r="H177" s="39"/>
      <x:c r="I177" s="35" t="str">
        <x:f>IF(A177="","",SUMIFS('CHI_TIẾT_BÁO_GIÁ'!$N$2:$N$500,'CHI_TIẾT_BÁO_GIÁ'!$B$2:$B$500,A177))</x:f>
      </x:c>
      <x:c r="J177" s="36" t="str">
        <x:f>IF(A177="","",IF(AND(H177="ĐÃ GỬI",G177&lt;TODAY()),"HẾT HẠN",""))</x:f>
      </x:c>
      <x:c r="K177" s="39"/>
      <x:c r="L177" s="39"/>
      <x:c r="M177" s="39"/>
      <x:c r="N177" s="39"/>
      <x:c r="O177" s="42"/>
      <x:c r="P177" s="39"/>
      <x:c r="Q177" s="42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39"/>
      <x:c r="E178" s="39"/>
      <x:c r="F178" s="41"/>
      <x:c r="G178" s="41"/>
      <x:c r="H178" s="39"/>
      <x:c r="I178" s="35" t="str">
        <x:f>IF(A178="","",SUMIFS('CHI_TIẾT_BÁO_GIÁ'!$N$2:$N$500,'CHI_TIẾT_BÁO_GIÁ'!$B$2:$B$500,A178))</x:f>
      </x:c>
      <x:c r="J178" s="36" t="str">
        <x:f>IF(A178="","",IF(AND(H178="ĐÃ GỬI",G178&lt;TODAY()),"HẾT HẠN",""))</x:f>
      </x:c>
      <x:c r="K178" s="39"/>
      <x:c r="L178" s="39"/>
      <x:c r="M178" s="39"/>
      <x:c r="N178" s="39"/>
      <x:c r="O178" s="42"/>
      <x:c r="P178" s="39"/>
      <x:c r="Q178" s="42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39"/>
      <x:c r="E179" s="39"/>
      <x:c r="F179" s="41"/>
      <x:c r="G179" s="41"/>
      <x:c r="H179" s="39"/>
      <x:c r="I179" s="35" t="str">
        <x:f>IF(A179="","",SUMIFS('CHI_TIẾT_BÁO_GIÁ'!$N$2:$N$500,'CHI_TIẾT_BÁO_GIÁ'!$B$2:$B$500,A179))</x:f>
      </x:c>
      <x:c r="J179" s="36" t="str">
        <x:f>IF(A179="","",IF(AND(H179="ĐÃ GỬI",G179&lt;TODAY()),"HẾT HẠN",""))</x:f>
      </x:c>
      <x:c r="K179" s="39"/>
      <x:c r="L179" s="39"/>
      <x:c r="M179" s="39"/>
      <x:c r="N179" s="39"/>
      <x:c r="O179" s="42"/>
      <x:c r="P179" s="39"/>
      <x:c r="Q179" s="42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39"/>
      <x:c r="E180" s="39"/>
      <x:c r="F180" s="41"/>
      <x:c r="G180" s="41"/>
      <x:c r="H180" s="39"/>
      <x:c r="I180" s="35" t="str">
        <x:f>IF(A180="","",SUMIFS('CHI_TIẾT_BÁO_GIÁ'!$N$2:$N$500,'CHI_TIẾT_BÁO_GIÁ'!$B$2:$B$500,A180))</x:f>
      </x:c>
      <x:c r="J180" s="36" t="str">
        <x:f>IF(A180="","",IF(AND(H180="ĐÃ GỬI",G180&lt;TODAY()),"HẾT HẠN",""))</x:f>
      </x:c>
      <x:c r="K180" s="39"/>
      <x:c r="L180" s="39"/>
      <x:c r="M180" s="39"/>
      <x:c r="N180" s="39"/>
      <x:c r="O180" s="42"/>
      <x:c r="P180" s="39"/>
      <x:c r="Q180" s="42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39"/>
      <x:c r="E181" s="39"/>
      <x:c r="F181" s="41"/>
      <x:c r="G181" s="41"/>
      <x:c r="H181" s="39"/>
      <x:c r="I181" s="35" t="str">
        <x:f>IF(A181="","",SUMIFS('CHI_TIẾT_BÁO_GIÁ'!$N$2:$N$500,'CHI_TIẾT_BÁO_GIÁ'!$B$2:$B$500,A181))</x:f>
      </x:c>
      <x:c r="J181" s="36" t="str">
        <x:f>IF(A181="","",IF(AND(H181="ĐÃ GỬI",G181&lt;TODAY()),"HẾT HẠN",""))</x:f>
      </x:c>
      <x:c r="K181" s="39"/>
      <x:c r="L181" s="39"/>
      <x:c r="M181" s="39"/>
      <x:c r="N181" s="39"/>
      <x:c r="O181" s="42"/>
      <x:c r="P181" s="39"/>
      <x:c r="Q181" s="42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39"/>
      <x:c r="E182" s="39"/>
      <x:c r="F182" s="41"/>
      <x:c r="G182" s="41"/>
      <x:c r="H182" s="39"/>
      <x:c r="I182" s="35" t="str">
        <x:f>IF(A182="","",SUMIFS('CHI_TIẾT_BÁO_GIÁ'!$N$2:$N$500,'CHI_TIẾT_BÁO_GIÁ'!$B$2:$B$500,A182))</x:f>
      </x:c>
      <x:c r="J182" s="36" t="str">
        <x:f>IF(A182="","",IF(AND(H182="ĐÃ GỬI",G182&lt;TODAY()),"HẾT HẠN",""))</x:f>
      </x:c>
      <x:c r="K182" s="39"/>
      <x:c r="L182" s="39"/>
      <x:c r="M182" s="39"/>
      <x:c r="N182" s="39"/>
      <x:c r="O182" s="42"/>
      <x:c r="P182" s="39"/>
      <x:c r="Q182" s="42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39"/>
      <x:c r="E183" s="39"/>
      <x:c r="F183" s="41"/>
      <x:c r="G183" s="41"/>
      <x:c r="H183" s="39"/>
      <x:c r="I183" s="35" t="str">
        <x:f>IF(A183="","",SUMIFS('CHI_TIẾT_BÁO_GIÁ'!$N$2:$N$500,'CHI_TIẾT_BÁO_GIÁ'!$B$2:$B$500,A183))</x:f>
      </x:c>
      <x:c r="J183" s="36" t="str">
        <x:f>IF(A183="","",IF(AND(H183="ĐÃ GỬI",G183&lt;TODAY()),"HẾT HẠN",""))</x:f>
      </x:c>
      <x:c r="K183" s="39"/>
      <x:c r="L183" s="39"/>
      <x:c r="M183" s="39"/>
      <x:c r="N183" s="39"/>
      <x:c r="O183" s="42"/>
      <x:c r="P183" s="39"/>
      <x:c r="Q183" s="42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39"/>
      <x:c r="E184" s="39"/>
      <x:c r="F184" s="41"/>
      <x:c r="G184" s="41"/>
      <x:c r="H184" s="39"/>
      <x:c r="I184" s="35" t="str">
        <x:f>IF(A184="","",SUMIFS('CHI_TIẾT_BÁO_GIÁ'!$N$2:$N$500,'CHI_TIẾT_BÁO_GIÁ'!$B$2:$B$500,A184))</x:f>
      </x:c>
      <x:c r="J184" s="36" t="str">
        <x:f>IF(A184="","",IF(AND(H184="ĐÃ GỬI",G184&lt;TODAY()),"HẾT HẠN",""))</x:f>
      </x:c>
      <x:c r="K184" s="39"/>
      <x:c r="L184" s="39"/>
      <x:c r="M184" s="39"/>
      <x:c r="N184" s="39"/>
      <x:c r="O184" s="42"/>
      <x:c r="P184" s="39"/>
      <x:c r="Q184" s="42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39"/>
      <x:c r="E185" s="39"/>
      <x:c r="F185" s="41"/>
      <x:c r="G185" s="41"/>
      <x:c r="H185" s="39"/>
      <x:c r="I185" s="35" t="str">
        <x:f>IF(A185="","",SUMIFS('CHI_TIẾT_BÁO_GIÁ'!$N$2:$N$500,'CHI_TIẾT_BÁO_GIÁ'!$B$2:$B$500,A185))</x:f>
      </x:c>
      <x:c r="J185" s="36" t="str">
        <x:f>IF(A185="","",IF(AND(H185="ĐÃ GỬI",G185&lt;TODAY()),"HẾT HẠN",""))</x:f>
      </x:c>
      <x:c r="K185" s="39"/>
      <x:c r="L185" s="39"/>
      <x:c r="M185" s="39"/>
      <x:c r="N185" s="39"/>
      <x:c r="O185" s="42"/>
      <x:c r="P185" s="39"/>
      <x:c r="Q185" s="42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39"/>
      <x:c r="E186" s="39"/>
      <x:c r="F186" s="41"/>
      <x:c r="G186" s="41"/>
      <x:c r="H186" s="39"/>
      <x:c r="I186" s="35" t="str">
        <x:f>IF(A186="","",SUMIFS('CHI_TIẾT_BÁO_GIÁ'!$N$2:$N$500,'CHI_TIẾT_BÁO_GIÁ'!$B$2:$B$500,A186))</x:f>
      </x:c>
      <x:c r="J186" s="36" t="str">
        <x:f>IF(A186="","",IF(AND(H186="ĐÃ GỬI",G186&lt;TODAY()),"HẾT HẠN",""))</x:f>
      </x:c>
      <x:c r="K186" s="39"/>
      <x:c r="L186" s="39"/>
      <x:c r="M186" s="39"/>
      <x:c r="N186" s="39"/>
      <x:c r="O186" s="42"/>
      <x:c r="P186" s="39"/>
      <x:c r="Q186" s="42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39"/>
      <x:c r="E187" s="39"/>
      <x:c r="F187" s="41"/>
      <x:c r="G187" s="41"/>
      <x:c r="H187" s="39"/>
      <x:c r="I187" s="35" t="str">
        <x:f>IF(A187="","",SUMIFS('CHI_TIẾT_BÁO_GIÁ'!$N$2:$N$500,'CHI_TIẾT_BÁO_GIÁ'!$B$2:$B$500,A187))</x:f>
      </x:c>
      <x:c r="J187" s="36" t="str">
        <x:f>IF(A187="","",IF(AND(H187="ĐÃ GỬI",G187&lt;TODAY()),"HẾT HẠN",""))</x:f>
      </x:c>
      <x:c r="K187" s="39"/>
      <x:c r="L187" s="39"/>
      <x:c r="M187" s="39"/>
      <x:c r="N187" s="39"/>
      <x:c r="O187" s="42"/>
      <x:c r="P187" s="39"/>
      <x:c r="Q187" s="42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39"/>
      <x:c r="E188" s="39"/>
      <x:c r="F188" s="41"/>
      <x:c r="G188" s="41"/>
      <x:c r="H188" s="39"/>
      <x:c r="I188" s="35" t="str">
        <x:f>IF(A188="","",SUMIFS('CHI_TIẾT_BÁO_GIÁ'!$N$2:$N$500,'CHI_TIẾT_BÁO_GIÁ'!$B$2:$B$500,A188))</x:f>
      </x:c>
      <x:c r="J188" s="36" t="str">
        <x:f>IF(A188="","",IF(AND(H188="ĐÃ GỬI",G188&lt;TODAY()),"HẾT HẠN",""))</x:f>
      </x:c>
      <x:c r="K188" s="39"/>
      <x:c r="L188" s="39"/>
      <x:c r="M188" s="39"/>
      <x:c r="N188" s="39"/>
      <x:c r="O188" s="42"/>
      <x:c r="P188" s="39"/>
      <x:c r="Q188" s="42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39"/>
      <x:c r="E189" s="39"/>
      <x:c r="F189" s="41"/>
      <x:c r="G189" s="41"/>
      <x:c r="H189" s="39"/>
      <x:c r="I189" s="35" t="str">
        <x:f>IF(A189="","",SUMIFS('CHI_TIẾT_BÁO_GIÁ'!$N$2:$N$500,'CHI_TIẾT_BÁO_GIÁ'!$B$2:$B$500,A189))</x:f>
      </x:c>
      <x:c r="J189" s="36" t="str">
        <x:f>IF(A189="","",IF(AND(H189="ĐÃ GỬI",G189&lt;TODAY()),"HẾT HẠN",""))</x:f>
      </x:c>
      <x:c r="K189" s="39"/>
      <x:c r="L189" s="39"/>
      <x:c r="M189" s="39"/>
      <x:c r="N189" s="39"/>
      <x:c r="O189" s="42"/>
      <x:c r="P189" s="39"/>
      <x:c r="Q189" s="42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39"/>
      <x:c r="E190" s="39"/>
      <x:c r="F190" s="41"/>
      <x:c r="G190" s="41"/>
      <x:c r="H190" s="39"/>
      <x:c r="I190" s="35" t="str">
        <x:f>IF(A190="","",SUMIFS('CHI_TIẾT_BÁO_GIÁ'!$N$2:$N$500,'CHI_TIẾT_BÁO_GIÁ'!$B$2:$B$500,A190))</x:f>
      </x:c>
      <x:c r="J190" s="36" t="str">
        <x:f>IF(A190="","",IF(AND(H190="ĐÃ GỬI",G190&lt;TODAY()),"HẾT HẠN",""))</x:f>
      </x:c>
      <x:c r="K190" s="39"/>
      <x:c r="L190" s="39"/>
      <x:c r="M190" s="39"/>
      <x:c r="N190" s="39"/>
      <x:c r="O190" s="42"/>
      <x:c r="P190" s="39"/>
      <x:c r="Q190" s="42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39"/>
      <x:c r="E191" s="39"/>
      <x:c r="F191" s="41"/>
      <x:c r="G191" s="41"/>
      <x:c r="H191" s="39"/>
      <x:c r="I191" s="35" t="str">
        <x:f>IF(A191="","",SUMIFS('CHI_TIẾT_BÁO_GIÁ'!$N$2:$N$500,'CHI_TIẾT_BÁO_GIÁ'!$B$2:$B$500,A191))</x:f>
      </x:c>
      <x:c r="J191" s="36" t="str">
        <x:f>IF(A191="","",IF(AND(H191="ĐÃ GỬI",G191&lt;TODAY()),"HẾT HẠN",""))</x:f>
      </x:c>
      <x:c r="K191" s="39"/>
      <x:c r="L191" s="39"/>
      <x:c r="M191" s="39"/>
      <x:c r="N191" s="39"/>
      <x:c r="O191" s="42"/>
      <x:c r="P191" s="39"/>
      <x:c r="Q191" s="42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39"/>
      <x:c r="E192" s="39"/>
      <x:c r="F192" s="41"/>
      <x:c r="G192" s="41"/>
      <x:c r="H192" s="39"/>
      <x:c r="I192" s="35" t="str">
        <x:f>IF(A192="","",SUMIFS('CHI_TIẾT_BÁO_GIÁ'!$N$2:$N$500,'CHI_TIẾT_BÁO_GIÁ'!$B$2:$B$500,A192))</x:f>
      </x:c>
      <x:c r="J192" s="36" t="str">
        <x:f>IF(A192="","",IF(AND(H192="ĐÃ GỬI",G192&lt;TODAY()),"HẾT HẠN",""))</x:f>
      </x:c>
      <x:c r="K192" s="39"/>
      <x:c r="L192" s="39"/>
      <x:c r="M192" s="39"/>
      <x:c r="N192" s="39"/>
      <x:c r="O192" s="42"/>
      <x:c r="P192" s="39"/>
      <x:c r="Q192" s="42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39"/>
      <x:c r="E193" s="39"/>
      <x:c r="F193" s="41"/>
      <x:c r="G193" s="41"/>
      <x:c r="H193" s="39"/>
      <x:c r="I193" s="35" t="str">
        <x:f>IF(A193="","",SUMIFS('CHI_TIẾT_BÁO_GIÁ'!$N$2:$N$500,'CHI_TIẾT_BÁO_GIÁ'!$B$2:$B$500,A193))</x:f>
      </x:c>
      <x:c r="J193" s="36" t="str">
        <x:f>IF(A193="","",IF(AND(H193="ĐÃ GỬI",G193&lt;TODAY()),"HẾT HẠN",""))</x:f>
      </x:c>
      <x:c r="K193" s="39"/>
      <x:c r="L193" s="39"/>
      <x:c r="M193" s="39"/>
      <x:c r="N193" s="39"/>
      <x:c r="O193" s="42"/>
      <x:c r="P193" s="39"/>
      <x:c r="Q193" s="42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39"/>
      <x:c r="E194" s="39"/>
      <x:c r="F194" s="41"/>
      <x:c r="G194" s="41"/>
      <x:c r="H194" s="39"/>
      <x:c r="I194" s="35" t="str">
        <x:f>IF(A194="","",SUMIFS('CHI_TIẾT_BÁO_GIÁ'!$N$2:$N$500,'CHI_TIẾT_BÁO_GIÁ'!$B$2:$B$500,A194))</x:f>
      </x:c>
      <x:c r="J194" s="36" t="str">
        <x:f>IF(A194="","",IF(AND(H194="ĐÃ GỬI",G194&lt;TODAY()),"HẾT HẠN",""))</x:f>
      </x:c>
      <x:c r="K194" s="39"/>
      <x:c r="L194" s="39"/>
      <x:c r="M194" s="39"/>
      <x:c r="N194" s="39"/>
      <x:c r="O194" s="42"/>
      <x:c r="P194" s="39"/>
      <x:c r="Q194" s="42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39"/>
      <x:c r="E195" s="39"/>
      <x:c r="F195" s="41"/>
      <x:c r="G195" s="41"/>
      <x:c r="H195" s="39"/>
      <x:c r="I195" s="35" t="str">
        <x:f>IF(A195="","",SUMIFS('CHI_TIẾT_BÁO_GIÁ'!$N$2:$N$500,'CHI_TIẾT_BÁO_GIÁ'!$B$2:$B$500,A195))</x:f>
      </x:c>
      <x:c r="J195" s="36" t="str">
        <x:f>IF(A195="","",IF(AND(H195="ĐÃ GỬI",G195&lt;TODAY()),"HẾT HẠN",""))</x:f>
      </x:c>
      <x:c r="K195" s="39"/>
      <x:c r="L195" s="39"/>
      <x:c r="M195" s="39"/>
      <x:c r="N195" s="39"/>
      <x:c r="O195" s="42"/>
      <x:c r="P195" s="39"/>
      <x:c r="Q195" s="42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39"/>
      <x:c r="E196" s="39"/>
      <x:c r="F196" s="41"/>
      <x:c r="G196" s="41"/>
      <x:c r="H196" s="39"/>
      <x:c r="I196" s="35" t="str">
        <x:f>IF(A196="","",SUMIFS('CHI_TIẾT_BÁO_GIÁ'!$N$2:$N$500,'CHI_TIẾT_BÁO_GIÁ'!$B$2:$B$500,A196))</x:f>
      </x:c>
      <x:c r="J196" s="36" t="str">
        <x:f>IF(A196="","",IF(AND(H196="ĐÃ GỬI",G196&lt;TODAY()),"HẾT HẠN",""))</x:f>
      </x:c>
      <x:c r="K196" s="39"/>
      <x:c r="L196" s="39"/>
      <x:c r="M196" s="39"/>
      <x:c r="N196" s="39"/>
      <x:c r="O196" s="42"/>
      <x:c r="P196" s="39"/>
      <x:c r="Q196" s="42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39"/>
      <x:c r="E197" s="39"/>
      <x:c r="F197" s="41"/>
      <x:c r="G197" s="41"/>
      <x:c r="H197" s="39"/>
      <x:c r="I197" s="35" t="str">
        <x:f>IF(A197="","",SUMIFS('CHI_TIẾT_BÁO_GIÁ'!$N$2:$N$500,'CHI_TIẾT_BÁO_GIÁ'!$B$2:$B$500,A197))</x:f>
      </x:c>
      <x:c r="J197" s="36" t="str">
        <x:f>IF(A197="","",IF(AND(H197="ĐÃ GỬI",G197&lt;TODAY()),"HẾT HẠN",""))</x:f>
      </x:c>
      <x:c r="K197" s="39"/>
      <x:c r="L197" s="39"/>
      <x:c r="M197" s="39"/>
      <x:c r="N197" s="39"/>
      <x:c r="O197" s="42"/>
      <x:c r="P197" s="39"/>
      <x:c r="Q197" s="42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39"/>
      <x:c r="E198" s="39"/>
      <x:c r="F198" s="41"/>
      <x:c r="G198" s="41"/>
      <x:c r="H198" s="39"/>
      <x:c r="I198" s="35" t="str">
        <x:f>IF(A198="","",SUMIFS('CHI_TIẾT_BÁO_GIÁ'!$N$2:$N$500,'CHI_TIẾT_BÁO_GIÁ'!$B$2:$B$500,A198))</x:f>
      </x:c>
      <x:c r="J198" s="36" t="str">
        <x:f>IF(A198="","",IF(AND(H198="ĐÃ GỬI",G198&lt;TODAY()),"HẾT HẠN",""))</x:f>
      </x:c>
      <x:c r="K198" s="39"/>
      <x:c r="L198" s="39"/>
      <x:c r="M198" s="39"/>
      <x:c r="N198" s="39"/>
      <x:c r="O198" s="42"/>
      <x:c r="P198" s="39"/>
      <x:c r="Q198" s="42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39"/>
      <x:c r="E199" s="39"/>
      <x:c r="F199" s="41"/>
      <x:c r="G199" s="41"/>
      <x:c r="H199" s="39"/>
      <x:c r="I199" s="35" t="str">
        <x:f>IF(A199="","",SUMIFS('CHI_TIẾT_BÁO_GIÁ'!$N$2:$N$500,'CHI_TIẾT_BÁO_GIÁ'!$B$2:$B$500,A199))</x:f>
      </x:c>
      <x:c r="J199" s="36" t="str">
        <x:f>IF(A199="","",IF(AND(H199="ĐÃ GỬI",G199&lt;TODAY()),"HẾT HẠN",""))</x:f>
      </x:c>
      <x:c r="K199" s="39"/>
      <x:c r="L199" s="39"/>
      <x:c r="M199" s="39"/>
      <x:c r="N199" s="39"/>
      <x:c r="O199" s="42"/>
      <x:c r="P199" s="39"/>
      <x:c r="Q199" s="42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39"/>
      <x:c r="E200" s="39"/>
      <x:c r="F200" s="41"/>
      <x:c r="G200" s="41"/>
      <x:c r="H200" s="39"/>
      <x:c r="I200" s="35" t="str">
        <x:f>IF(A200="","",SUMIFS('CHI_TIẾT_BÁO_GIÁ'!$N$2:$N$500,'CHI_TIẾT_BÁO_GIÁ'!$B$2:$B$500,A200))</x:f>
      </x:c>
      <x:c r="J200" s="36" t="str">
        <x:f>IF(A200="","",IF(AND(H200="ĐÃ GỬI",G200&lt;TODAY()),"HẾT HẠN",""))</x:f>
      </x:c>
      <x:c r="K200" s="39"/>
      <x:c r="L200" s="39"/>
      <x:c r="M200" s="39"/>
      <x:c r="N200" s="39"/>
      <x:c r="O200" s="42"/>
      <x:c r="P200" s="39"/>
      <x:c r="Q200" s="42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39"/>
      <x:c r="E201" s="39"/>
      <x:c r="F201" s="41"/>
      <x:c r="G201" s="41"/>
      <x:c r="H201" s="39"/>
      <x:c r="I201" s="35" t="str">
        <x:f>IF(A201="","",SUMIFS('CHI_TIẾT_BÁO_GIÁ'!$N$2:$N$500,'CHI_TIẾT_BÁO_GIÁ'!$B$2:$B$500,A201))</x:f>
      </x:c>
      <x:c r="J201" s="36" t="str">
        <x:f>IF(A201="","",IF(AND(H201="ĐÃ GỬI",G201&lt;TODAY()),"HẾT HẠN",""))</x:f>
      </x:c>
      <x:c r="K201" s="39"/>
      <x:c r="L201" s="39"/>
      <x:c r="M201" s="39"/>
      <x:c r="N201" s="39"/>
      <x:c r="O201" s="42"/>
      <x:c r="P201" s="39"/>
      <x:c r="Q201" s="42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39"/>
      <x:c r="E202" s="39"/>
      <x:c r="F202" s="41"/>
      <x:c r="G202" s="41"/>
      <x:c r="H202" s="39"/>
      <x:c r="I202" s="35" t="str">
        <x:f>IF(A202="","",SUMIFS('CHI_TIẾT_BÁO_GIÁ'!$N$2:$N$500,'CHI_TIẾT_BÁO_GIÁ'!$B$2:$B$500,A202))</x:f>
      </x:c>
      <x:c r="J202" s="36" t="str">
        <x:f>IF(A202="","",IF(AND(H202="ĐÃ GỬI",G202&lt;TODAY()),"HẾT HẠN",""))</x:f>
      </x:c>
      <x:c r="K202" s="39"/>
      <x:c r="L202" s="39"/>
      <x:c r="M202" s="39"/>
      <x:c r="N202" s="39"/>
      <x:c r="O202" s="42"/>
      <x:c r="P202" s="39"/>
      <x:c r="Q202" s="42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39"/>
      <x:c r="E203" s="39"/>
      <x:c r="F203" s="41"/>
      <x:c r="G203" s="41"/>
      <x:c r="H203" s="39"/>
      <x:c r="I203" s="35" t="str">
        <x:f>IF(A203="","",SUMIFS('CHI_TIẾT_BÁO_GIÁ'!$N$2:$N$500,'CHI_TIẾT_BÁO_GIÁ'!$B$2:$B$500,A203))</x:f>
      </x:c>
      <x:c r="J203" s="36" t="str">
        <x:f>IF(A203="","",IF(AND(H203="ĐÃ GỬI",G203&lt;TODAY()),"HẾT HẠN",""))</x:f>
      </x:c>
      <x:c r="K203" s="39"/>
      <x:c r="L203" s="39"/>
      <x:c r="M203" s="39"/>
      <x:c r="N203" s="39"/>
      <x:c r="O203" s="42"/>
      <x:c r="P203" s="39"/>
      <x:c r="Q203" s="42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39"/>
      <x:c r="E204" s="39"/>
      <x:c r="F204" s="41"/>
      <x:c r="G204" s="41"/>
      <x:c r="H204" s="39"/>
      <x:c r="I204" s="35" t="str">
        <x:f>IF(A204="","",SUMIFS('CHI_TIẾT_BÁO_GIÁ'!$N$2:$N$500,'CHI_TIẾT_BÁO_GIÁ'!$B$2:$B$500,A204))</x:f>
      </x:c>
      <x:c r="J204" s="36" t="str">
        <x:f>IF(A204="","",IF(AND(H204="ĐÃ GỬI",G204&lt;TODAY()),"HẾT HẠN",""))</x:f>
      </x:c>
      <x:c r="K204" s="39"/>
      <x:c r="L204" s="39"/>
      <x:c r="M204" s="39"/>
      <x:c r="N204" s="39"/>
      <x:c r="O204" s="42"/>
      <x:c r="P204" s="39"/>
      <x:c r="Q204" s="42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39"/>
      <x:c r="E205" s="39"/>
      <x:c r="F205" s="41"/>
      <x:c r="G205" s="41"/>
      <x:c r="H205" s="39"/>
      <x:c r="I205" s="35" t="str">
        <x:f>IF(A205="","",SUMIFS('CHI_TIẾT_BÁO_GIÁ'!$N$2:$N$500,'CHI_TIẾT_BÁO_GIÁ'!$B$2:$B$500,A205))</x:f>
      </x:c>
      <x:c r="J205" s="36" t="str">
        <x:f>IF(A205="","",IF(AND(H205="ĐÃ GỬI",G205&lt;TODAY()),"HẾT HẠN",""))</x:f>
      </x:c>
      <x:c r="K205" s="39"/>
      <x:c r="L205" s="39"/>
      <x:c r="M205" s="39"/>
      <x:c r="N205" s="39"/>
      <x:c r="O205" s="42"/>
      <x:c r="P205" s="39"/>
      <x:c r="Q205" s="42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39"/>
      <x:c r="E206" s="39"/>
      <x:c r="F206" s="41"/>
      <x:c r="G206" s="41"/>
      <x:c r="H206" s="39"/>
      <x:c r="I206" s="35" t="str">
        <x:f>IF(A206="","",SUMIFS('CHI_TIẾT_BÁO_GIÁ'!$N$2:$N$500,'CHI_TIẾT_BÁO_GIÁ'!$B$2:$B$500,A206))</x:f>
      </x:c>
      <x:c r="J206" s="36" t="str">
        <x:f>IF(A206="","",IF(AND(H206="ĐÃ GỬI",G206&lt;TODAY()),"HẾT HẠN",""))</x:f>
      </x:c>
      <x:c r="K206" s="39"/>
      <x:c r="L206" s="39"/>
      <x:c r="M206" s="39"/>
      <x:c r="N206" s="39"/>
      <x:c r="O206" s="42"/>
      <x:c r="P206" s="39"/>
      <x:c r="Q206" s="42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39"/>
      <x:c r="E207" s="39"/>
      <x:c r="F207" s="41"/>
      <x:c r="G207" s="41"/>
      <x:c r="H207" s="39"/>
      <x:c r="I207" s="35" t="str">
        <x:f>IF(A207="","",SUMIFS('CHI_TIẾT_BÁO_GIÁ'!$N$2:$N$500,'CHI_TIẾT_BÁO_GIÁ'!$B$2:$B$500,A207))</x:f>
      </x:c>
      <x:c r="J207" s="36" t="str">
        <x:f>IF(A207="","",IF(AND(H207="ĐÃ GỬI",G207&lt;TODAY()),"HẾT HẠN",""))</x:f>
      </x:c>
      <x:c r="K207" s="39"/>
      <x:c r="L207" s="39"/>
      <x:c r="M207" s="39"/>
      <x:c r="N207" s="39"/>
      <x:c r="O207" s="42"/>
      <x:c r="P207" s="39"/>
      <x:c r="Q207" s="42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39"/>
      <x:c r="E208" s="39"/>
      <x:c r="F208" s="41"/>
      <x:c r="G208" s="41"/>
      <x:c r="H208" s="39"/>
      <x:c r="I208" s="35" t="str">
        <x:f>IF(A208="","",SUMIFS('CHI_TIẾT_BÁO_GIÁ'!$N$2:$N$500,'CHI_TIẾT_BÁO_GIÁ'!$B$2:$B$500,A208))</x:f>
      </x:c>
      <x:c r="J208" s="36" t="str">
        <x:f>IF(A208="","",IF(AND(H208="ĐÃ GỬI",G208&lt;TODAY()),"HẾT HẠN",""))</x:f>
      </x:c>
      <x:c r="K208" s="39"/>
      <x:c r="L208" s="39"/>
      <x:c r="M208" s="39"/>
      <x:c r="N208" s="39"/>
      <x:c r="O208" s="42"/>
      <x:c r="P208" s="39"/>
      <x:c r="Q208" s="42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39"/>
      <x:c r="E209" s="39"/>
      <x:c r="F209" s="41"/>
      <x:c r="G209" s="41"/>
      <x:c r="H209" s="39"/>
      <x:c r="I209" s="35" t="str">
        <x:f>IF(A209="","",SUMIFS('CHI_TIẾT_BÁO_GIÁ'!$N$2:$N$500,'CHI_TIẾT_BÁO_GIÁ'!$B$2:$B$500,A209))</x:f>
      </x:c>
      <x:c r="J209" s="36" t="str">
        <x:f>IF(A209="","",IF(AND(H209="ĐÃ GỬI",G209&lt;TODAY()),"HẾT HẠN",""))</x:f>
      </x:c>
      <x:c r="K209" s="39"/>
      <x:c r="L209" s="39"/>
      <x:c r="M209" s="39"/>
      <x:c r="N209" s="39"/>
      <x:c r="O209" s="42"/>
      <x:c r="P209" s="39"/>
      <x:c r="Q209" s="42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39"/>
      <x:c r="E210" s="39"/>
      <x:c r="F210" s="41"/>
      <x:c r="G210" s="41"/>
      <x:c r="H210" s="39"/>
      <x:c r="I210" s="35" t="str">
        <x:f>IF(A210="","",SUMIFS('CHI_TIẾT_BÁO_GIÁ'!$N$2:$N$500,'CHI_TIẾT_BÁO_GIÁ'!$B$2:$B$500,A210))</x:f>
      </x:c>
      <x:c r="J210" s="36" t="str">
        <x:f>IF(A210="","",IF(AND(H210="ĐÃ GỬI",G210&lt;TODAY()),"HẾT HẠN",""))</x:f>
      </x:c>
      <x:c r="K210" s="39"/>
      <x:c r="L210" s="39"/>
      <x:c r="M210" s="39"/>
      <x:c r="N210" s="39"/>
      <x:c r="O210" s="42"/>
      <x:c r="P210" s="39"/>
      <x:c r="Q210" s="42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39"/>
      <x:c r="E211" s="39"/>
      <x:c r="F211" s="41"/>
      <x:c r="G211" s="41"/>
      <x:c r="H211" s="39"/>
      <x:c r="I211" s="35" t="str">
        <x:f>IF(A211="","",SUMIFS('CHI_TIẾT_BÁO_GIÁ'!$N$2:$N$500,'CHI_TIẾT_BÁO_GIÁ'!$B$2:$B$500,A211))</x:f>
      </x:c>
      <x:c r="J211" s="36" t="str">
        <x:f>IF(A211="","",IF(AND(H211="ĐÃ GỬI",G211&lt;TODAY()),"HẾT HẠN",""))</x:f>
      </x:c>
      <x:c r="K211" s="39"/>
      <x:c r="L211" s="39"/>
      <x:c r="M211" s="39"/>
      <x:c r="N211" s="39"/>
      <x:c r="O211" s="42"/>
      <x:c r="P211" s="39"/>
      <x:c r="Q211" s="42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39"/>
      <x:c r="E212" s="39"/>
      <x:c r="F212" s="41"/>
      <x:c r="G212" s="41"/>
      <x:c r="H212" s="39"/>
      <x:c r="I212" s="35" t="str">
        <x:f>IF(A212="","",SUMIFS('CHI_TIẾT_BÁO_GIÁ'!$N$2:$N$500,'CHI_TIẾT_BÁO_GIÁ'!$B$2:$B$500,A212))</x:f>
      </x:c>
      <x:c r="J212" s="36" t="str">
        <x:f>IF(A212="","",IF(AND(H212="ĐÃ GỬI",G212&lt;TODAY()),"HẾT HẠN",""))</x:f>
      </x:c>
      <x:c r="K212" s="39"/>
      <x:c r="L212" s="39"/>
      <x:c r="M212" s="39"/>
      <x:c r="N212" s="39"/>
      <x:c r="O212" s="42"/>
      <x:c r="P212" s="39"/>
      <x:c r="Q212" s="42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39"/>
      <x:c r="E213" s="39"/>
      <x:c r="F213" s="41"/>
      <x:c r="G213" s="41"/>
      <x:c r="H213" s="39"/>
      <x:c r="I213" s="35" t="str">
        <x:f>IF(A213="","",SUMIFS('CHI_TIẾT_BÁO_GIÁ'!$N$2:$N$500,'CHI_TIẾT_BÁO_GIÁ'!$B$2:$B$500,A213))</x:f>
      </x:c>
      <x:c r="J213" s="36" t="str">
        <x:f>IF(A213="","",IF(AND(H213="ĐÃ GỬI",G213&lt;TODAY()),"HẾT HẠN",""))</x:f>
      </x:c>
      <x:c r="K213" s="39"/>
      <x:c r="L213" s="39"/>
      <x:c r="M213" s="39"/>
      <x:c r="N213" s="39"/>
      <x:c r="O213" s="42"/>
      <x:c r="P213" s="39"/>
      <x:c r="Q213" s="42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39"/>
      <x:c r="E214" s="39"/>
      <x:c r="F214" s="41"/>
      <x:c r="G214" s="41"/>
      <x:c r="H214" s="39"/>
      <x:c r="I214" s="35" t="str">
        <x:f>IF(A214="","",SUMIFS('CHI_TIẾT_BÁO_GIÁ'!$N$2:$N$500,'CHI_TIẾT_BÁO_GIÁ'!$B$2:$B$500,A214))</x:f>
      </x:c>
      <x:c r="J214" s="36" t="str">
        <x:f>IF(A214="","",IF(AND(H214="ĐÃ GỬI",G214&lt;TODAY()),"HẾT HẠN",""))</x:f>
      </x:c>
      <x:c r="K214" s="39"/>
      <x:c r="L214" s="39"/>
      <x:c r="M214" s="39"/>
      <x:c r="N214" s="39"/>
      <x:c r="O214" s="42"/>
      <x:c r="P214" s="39"/>
      <x:c r="Q214" s="42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39"/>
      <x:c r="E215" s="39"/>
      <x:c r="F215" s="41"/>
      <x:c r="G215" s="41"/>
      <x:c r="H215" s="39"/>
      <x:c r="I215" s="35" t="str">
        <x:f>IF(A215="","",SUMIFS('CHI_TIẾT_BÁO_GIÁ'!$N$2:$N$500,'CHI_TIẾT_BÁO_GIÁ'!$B$2:$B$500,A215))</x:f>
      </x:c>
      <x:c r="J215" s="36" t="str">
        <x:f>IF(A215="","",IF(AND(H215="ĐÃ GỬI",G215&lt;TODAY()),"HẾT HẠN",""))</x:f>
      </x:c>
      <x:c r="K215" s="39"/>
      <x:c r="L215" s="39"/>
      <x:c r="M215" s="39"/>
      <x:c r="N215" s="39"/>
      <x:c r="O215" s="42"/>
      <x:c r="P215" s="39"/>
      <x:c r="Q215" s="42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39"/>
      <x:c r="E216" s="39"/>
      <x:c r="F216" s="41"/>
      <x:c r="G216" s="41"/>
      <x:c r="H216" s="39"/>
      <x:c r="I216" s="35" t="str">
        <x:f>IF(A216="","",SUMIFS('CHI_TIẾT_BÁO_GIÁ'!$N$2:$N$500,'CHI_TIẾT_BÁO_GIÁ'!$B$2:$B$500,A216))</x:f>
      </x:c>
      <x:c r="J216" s="36" t="str">
        <x:f>IF(A216="","",IF(AND(H216="ĐÃ GỬI",G216&lt;TODAY()),"HẾT HẠN",""))</x:f>
      </x:c>
      <x:c r="K216" s="39"/>
      <x:c r="L216" s="39"/>
      <x:c r="M216" s="39"/>
      <x:c r="N216" s="39"/>
      <x:c r="O216" s="42"/>
      <x:c r="P216" s="39"/>
      <x:c r="Q216" s="42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39"/>
      <x:c r="E217" s="39"/>
      <x:c r="F217" s="41"/>
      <x:c r="G217" s="41"/>
      <x:c r="H217" s="39"/>
      <x:c r="I217" s="35" t="str">
        <x:f>IF(A217="","",SUMIFS('CHI_TIẾT_BÁO_GIÁ'!$N$2:$N$500,'CHI_TIẾT_BÁO_GIÁ'!$B$2:$B$500,A217))</x:f>
      </x:c>
      <x:c r="J217" s="36" t="str">
        <x:f>IF(A217="","",IF(AND(H217="ĐÃ GỬI",G217&lt;TODAY()),"HẾT HẠN",""))</x:f>
      </x:c>
      <x:c r="K217" s="39"/>
      <x:c r="L217" s="39"/>
      <x:c r="M217" s="39"/>
      <x:c r="N217" s="39"/>
      <x:c r="O217" s="42"/>
      <x:c r="P217" s="39"/>
      <x:c r="Q217" s="42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39"/>
      <x:c r="E218" s="39"/>
      <x:c r="F218" s="41"/>
      <x:c r="G218" s="41"/>
      <x:c r="H218" s="39"/>
      <x:c r="I218" s="35" t="str">
        <x:f>IF(A218="","",SUMIFS('CHI_TIẾT_BÁO_GIÁ'!$N$2:$N$500,'CHI_TIẾT_BÁO_GIÁ'!$B$2:$B$500,A218))</x:f>
      </x:c>
      <x:c r="J218" s="36" t="str">
        <x:f>IF(A218="","",IF(AND(H218="ĐÃ GỬI",G218&lt;TODAY()),"HẾT HẠN",""))</x:f>
      </x:c>
      <x:c r="K218" s="39"/>
      <x:c r="L218" s="39"/>
      <x:c r="M218" s="39"/>
      <x:c r="N218" s="39"/>
      <x:c r="O218" s="42"/>
      <x:c r="P218" s="39"/>
      <x:c r="Q218" s="42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39"/>
      <x:c r="E219" s="39"/>
      <x:c r="F219" s="41"/>
      <x:c r="G219" s="41"/>
      <x:c r="H219" s="39"/>
      <x:c r="I219" s="35" t="str">
        <x:f>IF(A219="","",SUMIFS('CHI_TIẾT_BÁO_GIÁ'!$N$2:$N$500,'CHI_TIẾT_BÁO_GIÁ'!$B$2:$B$500,A219))</x:f>
      </x:c>
      <x:c r="J219" s="36" t="str">
        <x:f>IF(A219="","",IF(AND(H219="ĐÃ GỬI",G219&lt;TODAY()),"HẾT HẠN",""))</x:f>
      </x:c>
      <x:c r="K219" s="39"/>
      <x:c r="L219" s="39"/>
      <x:c r="M219" s="39"/>
      <x:c r="N219" s="39"/>
      <x:c r="O219" s="42"/>
      <x:c r="P219" s="39"/>
      <x:c r="Q219" s="42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39"/>
      <x:c r="E220" s="39"/>
      <x:c r="F220" s="41"/>
      <x:c r="G220" s="41"/>
      <x:c r="H220" s="39"/>
      <x:c r="I220" s="35" t="str">
        <x:f>IF(A220="","",SUMIFS('CHI_TIẾT_BÁO_GIÁ'!$N$2:$N$500,'CHI_TIẾT_BÁO_GIÁ'!$B$2:$B$500,A220))</x:f>
      </x:c>
      <x:c r="J220" s="36" t="str">
        <x:f>IF(A220="","",IF(AND(H220="ĐÃ GỬI",G220&lt;TODAY()),"HẾT HẠN",""))</x:f>
      </x:c>
      <x:c r="K220" s="39"/>
      <x:c r="L220" s="39"/>
      <x:c r="M220" s="39"/>
      <x:c r="N220" s="39"/>
      <x:c r="O220" s="42"/>
      <x:c r="P220" s="39"/>
      <x:c r="Q220" s="42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39"/>
      <x:c r="E221" s="39"/>
      <x:c r="F221" s="41"/>
      <x:c r="G221" s="41"/>
      <x:c r="H221" s="39"/>
      <x:c r="I221" s="35" t="str">
        <x:f>IF(A221="","",SUMIFS('CHI_TIẾT_BÁO_GIÁ'!$N$2:$N$500,'CHI_TIẾT_BÁO_GIÁ'!$B$2:$B$500,A221))</x:f>
      </x:c>
      <x:c r="J221" s="36" t="str">
        <x:f>IF(A221="","",IF(AND(H221="ĐÃ GỬI",G221&lt;TODAY()),"HẾT HẠN",""))</x:f>
      </x:c>
      <x:c r="K221" s="39"/>
      <x:c r="L221" s="39"/>
      <x:c r="M221" s="39"/>
      <x:c r="N221" s="39"/>
      <x:c r="O221" s="42"/>
      <x:c r="P221" s="39"/>
      <x:c r="Q221" s="42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39"/>
      <x:c r="E222" s="39"/>
      <x:c r="F222" s="41"/>
      <x:c r="G222" s="41"/>
      <x:c r="H222" s="39"/>
      <x:c r="I222" s="35" t="str">
        <x:f>IF(A222="","",SUMIFS('CHI_TIẾT_BÁO_GIÁ'!$N$2:$N$500,'CHI_TIẾT_BÁO_GIÁ'!$B$2:$B$500,A222))</x:f>
      </x:c>
      <x:c r="J222" s="36" t="str">
        <x:f>IF(A222="","",IF(AND(H222="ĐÃ GỬI",G222&lt;TODAY()),"HẾT HẠN",""))</x:f>
      </x:c>
      <x:c r="K222" s="39"/>
      <x:c r="L222" s="39"/>
      <x:c r="M222" s="39"/>
      <x:c r="N222" s="39"/>
      <x:c r="O222" s="42"/>
      <x:c r="P222" s="39"/>
      <x:c r="Q222" s="42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39"/>
      <x:c r="E223" s="39"/>
      <x:c r="F223" s="41"/>
      <x:c r="G223" s="41"/>
      <x:c r="H223" s="39"/>
      <x:c r="I223" s="35" t="str">
        <x:f>IF(A223="","",SUMIFS('CHI_TIẾT_BÁO_GIÁ'!$N$2:$N$500,'CHI_TIẾT_BÁO_GIÁ'!$B$2:$B$500,A223))</x:f>
      </x:c>
      <x:c r="J223" s="36" t="str">
        <x:f>IF(A223="","",IF(AND(H223="ĐÃ GỬI",G223&lt;TODAY()),"HẾT HẠN",""))</x:f>
      </x:c>
      <x:c r="K223" s="39"/>
      <x:c r="L223" s="39"/>
      <x:c r="M223" s="39"/>
      <x:c r="N223" s="39"/>
      <x:c r="O223" s="42"/>
      <x:c r="P223" s="39"/>
      <x:c r="Q223" s="42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39"/>
      <x:c r="E224" s="39"/>
      <x:c r="F224" s="41"/>
      <x:c r="G224" s="41"/>
      <x:c r="H224" s="39"/>
      <x:c r="I224" s="35" t="str">
        <x:f>IF(A224="","",SUMIFS('CHI_TIẾT_BÁO_GIÁ'!$N$2:$N$500,'CHI_TIẾT_BÁO_GIÁ'!$B$2:$B$500,A224))</x:f>
      </x:c>
      <x:c r="J224" s="36" t="str">
        <x:f>IF(A224="","",IF(AND(H224="ĐÃ GỬI",G224&lt;TODAY()),"HẾT HẠN",""))</x:f>
      </x:c>
      <x:c r="K224" s="39"/>
      <x:c r="L224" s="39"/>
      <x:c r="M224" s="39"/>
      <x:c r="N224" s="39"/>
      <x:c r="O224" s="42"/>
      <x:c r="P224" s="39"/>
      <x:c r="Q224" s="42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39"/>
      <x:c r="E225" s="39"/>
      <x:c r="F225" s="41"/>
      <x:c r="G225" s="41"/>
      <x:c r="H225" s="39"/>
      <x:c r="I225" s="35" t="str">
        <x:f>IF(A225="","",SUMIFS('CHI_TIẾT_BÁO_GIÁ'!$N$2:$N$500,'CHI_TIẾT_BÁO_GIÁ'!$B$2:$B$500,A225))</x:f>
      </x:c>
      <x:c r="J225" s="36" t="str">
        <x:f>IF(A225="","",IF(AND(H225="ĐÃ GỬI",G225&lt;TODAY()),"HẾT HẠN",""))</x:f>
      </x:c>
      <x:c r="K225" s="39"/>
      <x:c r="L225" s="39"/>
      <x:c r="M225" s="39"/>
      <x:c r="N225" s="39"/>
      <x:c r="O225" s="42"/>
      <x:c r="P225" s="39"/>
      <x:c r="Q225" s="42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39"/>
      <x:c r="E226" s="39"/>
      <x:c r="F226" s="41"/>
      <x:c r="G226" s="41"/>
      <x:c r="H226" s="39"/>
      <x:c r="I226" s="35" t="str">
        <x:f>IF(A226="","",SUMIFS('CHI_TIẾT_BÁO_GIÁ'!$N$2:$N$500,'CHI_TIẾT_BÁO_GIÁ'!$B$2:$B$500,A226))</x:f>
      </x:c>
      <x:c r="J226" s="36" t="str">
        <x:f>IF(A226="","",IF(AND(H226="ĐÃ GỬI",G226&lt;TODAY()),"HẾT HẠN",""))</x:f>
      </x:c>
      <x:c r="K226" s="39"/>
      <x:c r="L226" s="39"/>
      <x:c r="M226" s="39"/>
      <x:c r="N226" s="39"/>
      <x:c r="O226" s="42"/>
      <x:c r="P226" s="39"/>
      <x:c r="Q226" s="42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39"/>
      <x:c r="E227" s="39"/>
      <x:c r="F227" s="41"/>
      <x:c r="G227" s="41"/>
      <x:c r="H227" s="39"/>
      <x:c r="I227" s="35" t="str">
        <x:f>IF(A227="","",SUMIFS('CHI_TIẾT_BÁO_GIÁ'!$N$2:$N$500,'CHI_TIẾT_BÁO_GIÁ'!$B$2:$B$500,A227))</x:f>
      </x:c>
      <x:c r="J227" s="36" t="str">
        <x:f>IF(A227="","",IF(AND(H227="ĐÃ GỬI",G227&lt;TODAY()),"HẾT HẠN",""))</x:f>
      </x:c>
      <x:c r="K227" s="39"/>
      <x:c r="L227" s="39"/>
      <x:c r="M227" s="39"/>
      <x:c r="N227" s="39"/>
      <x:c r="O227" s="42"/>
      <x:c r="P227" s="39"/>
      <x:c r="Q227" s="42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39"/>
      <x:c r="E228" s="39"/>
      <x:c r="F228" s="41"/>
      <x:c r="G228" s="41"/>
      <x:c r="H228" s="39"/>
      <x:c r="I228" s="35" t="str">
        <x:f>IF(A228="","",SUMIFS('CHI_TIẾT_BÁO_GIÁ'!$N$2:$N$500,'CHI_TIẾT_BÁO_GIÁ'!$B$2:$B$500,A228))</x:f>
      </x:c>
      <x:c r="J228" s="36" t="str">
        <x:f>IF(A228="","",IF(AND(H228="ĐÃ GỬI",G228&lt;TODAY()),"HẾT HẠN",""))</x:f>
      </x:c>
      <x:c r="K228" s="39"/>
      <x:c r="L228" s="39"/>
      <x:c r="M228" s="39"/>
      <x:c r="N228" s="39"/>
      <x:c r="O228" s="42"/>
      <x:c r="P228" s="39"/>
      <x:c r="Q228" s="42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39"/>
      <x:c r="E229" s="39"/>
      <x:c r="F229" s="41"/>
      <x:c r="G229" s="41"/>
      <x:c r="H229" s="39"/>
      <x:c r="I229" s="35" t="str">
        <x:f>IF(A229="","",SUMIFS('CHI_TIẾT_BÁO_GIÁ'!$N$2:$N$500,'CHI_TIẾT_BÁO_GIÁ'!$B$2:$B$500,A229))</x:f>
      </x:c>
      <x:c r="J229" s="36" t="str">
        <x:f>IF(A229="","",IF(AND(H229="ĐÃ GỬI",G229&lt;TODAY()),"HẾT HẠN",""))</x:f>
      </x:c>
      <x:c r="K229" s="39"/>
      <x:c r="L229" s="39"/>
      <x:c r="M229" s="39"/>
      <x:c r="N229" s="39"/>
      <x:c r="O229" s="42"/>
      <x:c r="P229" s="39"/>
      <x:c r="Q229" s="42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39"/>
      <x:c r="E230" s="39"/>
      <x:c r="F230" s="41"/>
      <x:c r="G230" s="41"/>
      <x:c r="H230" s="39"/>
      <x:c r="I230" s="35" t="str">
        <x:f>IF(A230="","",SUMIFS('CHI_TIẾT_BÁO_GIÁ'!$N$2:$N$500,'CHI_TIẾT_BÁO_GIÁ'!$B$2:$B$500,A230))</x:f>
      </x:c>
      <x:c r="J230" s="36" t="str">
        <x:f>IF(A230="","",IF(AND(H230="ĐÃ GỬI",G230&lt;TODAY()),"HẾT HẠN",""))</x:f>
      </x:c>
      <x:c r="K230" s="39"/>
      <x:c r="L230" s="39"/>
      <x:c r="M230" s="39"/>
      <x:c r="N230" s="39"/>
      <x:c r="O230" s="42"/>
      <x:c r="P230" s="39"/>
      <x:c r="Q230" s="42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39"/>
      <x:c r="E231" s="39"/>
      <x:c r="F231" s="41"/>
      <x:c r="G231" s="41"/>
      <x:c r="H231" s="39"/>
      <x:c r="I231" s="35" t="str">
        <x:f>IF(A231="","",SUMIFS('CHI_TIẾT_BÁO_GIÁ'!$N$2:$N$500,'CHI_TIẾT_BÁO_GIÁ'!$B$2:$B$500,A231))</x:f>
      </x:c>
      <x:c r="J231" s="36" t="str">
        <x:f>IF(A231="","",IF(AND(H231="ĐÃ GỬI",G231&lt;TODAY()),"HẾT HẠN",""))</x:f>
      </x:c>
      <x:c r="K231" s="39"/>
      <x:c r="L231" s="39"/>
      <x:c r="M231" s="39"/>
      <x:c r="N231" s="39"/>
      <x:c r="O231" s="42"/>
      <x:c r="P231" s="39"/>
      <x:c r="Q231" s="42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39"/>
      <x:c r="E232" s="39"/>
      <x:c r="F232" s="41"/>
      <x:c r="G232" s="41"/>
      <x:c r="H232" s="39"/>
      <x:c r="I232" s="35" t="str">
        <x:f>IF(A232="","",SUMIFS('CHI_TIẾT_BÁO_GIÁ'!$N$2:$N$500,'CHI_TIẾT_BÁO_GIÁ'!$B$2:$B$500,A232))</x:f>
      </x:c>
      <x:c r="J232" s="36" t="str">
        <x:f>IF(A232="","",IF(AND(H232="ĐÃ GỬI",G232&lt;TODAY()),"HẾT HẠN",""))</x:f>
      </x:c>
      <x:c r="K232" s="39"/>
      <x:c r="L232" s="39"/>
      <x:c r="M232" s="39"/>
      <x:c r="N232" s="39"/>
      <x:c r="O232" s="42"/>
      <x:c r="P232" s="39"/>
      <x:c r="Q232" s="42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39"/>
      <x:c r="E233" s="39"/>
      <x:c r="F233" s="41"/>
      <x:c r="G233" s="41"/>
      <x:c r="H233" s="39"/>
      <x:c r="I233" s="35" t="str">
        <x:f>IF(A233="","",SUMIFS('CHI_TIẾT_BÁO_GIÁ'!$N$2:$N$500,'CHI_TIẾT_BÁO_GIÁ'!$B$2:$B$500,A233))</x:f>
      </x:c>
      <x:c r="J233" s="36" t="str">
        <x:f>IF(A233="","",IF(AND(H233="ĐÃ GỬI",G233&lt;TODAY()),"HẾT HẠN",""))</x:f>
      </x:c>
      <x:c r="K233" s="39"/>
      <x:c r="L233" s="39"/>
      <x:c r="M233" s="39"/>
      <x:c r="N233" s="39"/>
      <x:c r="O233" s="42"/>
      <x:c r="P233" s="39"/>
      <x:c r="Q233" s="42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39"/>
      <x:c r="E234" s="39"/>
      <x:c r="F234" s="41"/>
      <x:c r="G234" s="41"/>
      <x:c r="H234" s="39"/>
      <x:c r="I234" s="35" t="str">
        <x:f>IF(A234="","",SUMIFS('CHI_TIẾT_BÁO_GIÁ'!$N$2:$N$500,'CHI_TIẾT_BÁO_GIÁ'!$B$2:$B$500,A234))</x:f>
      </x:c>
      <x:c r="J234" s="36" t="str">
        <x:f>IF(A234="","",IF(AND(H234="ĐÃ GỬI",G234&lt;TODAY()),"HẾT HẠN",""))</x:f>
      </x:c>
      <x:c r="K234" s="39"/>
      <x:c r="L234" s="39"/>
      <x:c r="M234" s="39"/>
      <x:c r="N234" s="39"/>
      <x:c r="O234" s="42"/>
      <x:c r="P234" s="39"/>
      <x:c r="Q234" s="42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39"/>
      <x:c r="E235" s="39"/>
      <x:c r="F235" s="41"/>
      <x:c r="G235" s="41"/>
      <x:c r="H235" s="39"/>
      <x:c r="I235" s="35" t="str">
        <x:f>IF(A235="","",SUMIFS('CHI_TIẾT_BÁO_GIÁ'!$N$2:$N$500,'CHI_TIẾT_BÁO_GIÁ'!$B$2:$B$500,A235))</x:f>
      </x:c>
      <x:c r="J235" s="36" t="str">
        <x:f>IF(A235="","",IF(AND(H235="ĐÃ GỬI",G235&lt;TODAY()),"HẾT HẠN",""))</x:f>
      </x:c>
      <x:c r="K235" s="39"/>
      <x:c r="L235" s="39"/>
      <x:c r="M235" s="39"/>
      <x:c r="N235" s="39"/>
      <x:c r="O235" s="42"/>
      <x:c r="P235" s="39"/>
      <x:c r="Q235" s="42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39"/>
      <x:c r="E236" s="39"/>
      <x:c r="F236" s="41"/>
      <x:c r="G236" s="41"/>
      <x:c r="H236" s="39"/>
      <x:c r="I236" s="35" t="str">
        <x:f>IF(A236="","",SUMIFS('CHI_TIẾT_BÁO_GIÁ'!$N$2:$N$500,'CHI_TIẾT_BÁO_GIÁ'!$B$2:$B$500,A236))</x:f>
      </x:c>
      <x:c r="J236" s="36" t="str">
        <x:f>IF(A236="","",IF(AND(H236="ĐÃ GỬI",G236&lt;TODAY()),"HẾT HẠN",""))</x:f>
      </x:c>
      <x:c r="K236" s="39"/>
      <x:c r="L236" s="39"/>
      <x:c r="M236" s="39"/>
      <x:c r="N236" s="39"/>
      <x:c r="O236" s="42"/>
      <x:c r="P236" s="39"/>
      <x:c r="Q236" s="42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39"/>
      <x:c r="E237" s="39"/>
      <x:c r="F237" s="41"/>
      <x:c r="G237" s="41"/>
      <x:c r="H237" s="39"/>
      <x:c r="I237" s="35" t="str">
        <x:f>IF(A237="","",SUMIFS('CHI_TIẾT_BÁO_GIÁ'!$N$2:$N$500,'CHI_TIẾT_BÁO_GIÁ'!$B$2:$B$500,A237))</x:f>
      </x:c>
      <x:c r="J237" s="36" t="str">
        <x:f>IF(A237="","",IF(AND(H237="ĐÃ GỬI",G237&lt;TODAY()),"HẾT HẠN",""))</x:f>
      </x:c>
      <x:c r="K237" s="39"/>
      <x:c r="L237" s="39"/>
      <x:c r="M237" s="39"/>
      <x:c r="N237" s="39"/>
      <x:c r="O237" s="42"/>
      <x:c r="P237" s="39"/>
      <x:c r="Q237" s="42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39"/>
      <x:c r="E238" s="39"/>
      <x:c r="F238" s="41"/>
      <x:c r="G238" s="41"/>
      <x:c r="H238" s="39"/>
      <x:c r="I238" s="35" t="str">
        <x:f>IF(A238="","",SUMIFS('CHI_TIẾT_BÁO_GIÁ'!$N$2:$N$500,'CHI_TIẾT_BÁO_GIÁ'!$B$2:$B$500,A238))</x:f>
      </x:c>
      <x:c r="J238" s="36" t="str">
        <x:f>IF(A238="","",IF(AND(H238="ĐÃ GỬI",G238&lt;TODAY()),"HẾT HẠN",""))</x:f>
      </x:c>
      <x:c r="K238" s="39"/>
      <x:c r="L238" s="39"/>
      <x:c r="M238" s="39"/>
      <x:c r="N238" s="39"/>
      <x:c r="O238" s="42"/>
      <x:c r="P238" s="39"/>
      <x:c r="Q238" s="42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39"/>
      <x:c r="E239" s="39"/>
      <x:c r="F239" s="41"/>
      <x:c r="G239" s="41"/>
      <x:c r="H239" s="39"/>
      <x:c r="I239" s="35" t="str">
        <x:f>IF(A239="","",SUMIFS('CHI_TIẾT_BÁO_GIÁ'!$N$2:$N$500,'CHI_TIẾT_BÁO_GIÁ'!$B$2:$B$500,A239))</x:f>
      </x:c>
      <x:c r="J239" s="36" t="str">
        <x:f>IF(A239="","",IF(AND(H239="ĐÃ GỬI",G239&lt;TODAY()),"HẾT HẠN",""))</x:f>
      </x:c>
      <x:c r="K239" s="39"/>
      <x:c r="L239" s="39"/>
      <x:c r="M239" s="39"/>
      <x:c r="N239" s="39"/>
      <x:c r="O239" s="42"/>
      <x:c r="P239" s="39"/>
      <x:c r="Q239" s="42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39"/>
      <x:c r="E240" s="39"/>
      <x:c r="F240" s="41"/>
      <x:c r="G240" s="41"/>
      <x:c r="H240" s="39"/>
      <x:c r="I240" s="35" t="str">
        <x:f>IF(A240="","",SUMIFS('CHI_TIẾT_BÁO_GIÁ'!$N$2:$N$500,'CHI_TIẾT_BÁO_GIÁ'!$B$2:$B$500,A240))</x:f>
      </x:c>
      <x:c r="J240" s="36" t="str">
        <x:f>IF(A240="","",IF(AND(H240="ĐÃ GỬI",G240&lt;TODAY()),"HẾT HẠN",""))</x:f>
      </x:c>
      <x:c r="K240" s="39"/>
      <x:c r="L240" s="39"/>
      <x:c r="M240" s="39"/>
      <x:c r="N240" s="39"/>
      <x:c r="O240" s="42"/>
      <x:c r="P240" s="39"/>
      <x:c r="Q240" s="42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39"/>
      <x:c r="E241" s="39"/>
      <x:c r="F241" s="41"/>
      <x:c r="G241" s="41"/>
      <x:c r="H241" s="39"/>
      <x:c r="I241" s="35" t="str">
        <x:f>IF(A241="","",SUMIFS('CHI_TIẾT_BÁO_GIÁ'!$N$2:$N$500,'CHI_TIẾT_BÁO_GIÁ'!$B$2:$B$500,A241))</x:f>
      </x:c>
      <x:c r="J241" s="36" t="str">
        <x:f>IF(A241="","",IF(AND(H241="ĐÃ GỬI",G241&lt;TODAY()),"HẾT HẠN",""))</x:f>
      </x:c>
      <x:c r="K241" s="39"/>
      <x:c r="L241" s="39"/>
      <x:c r="M241" s="39"/>
      <x:c r="N241" s="39"/>
      <x:c r="O241" s="42"/>
      <x:c r="P241" s="39"/>
      <x:c r="Q241" s="42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39"/>
      <x:c r="E242" s="39"/>
      <x:c r="F242" s="41"/>
      <x:c r="G242" s="41"/>
      <x:c r="H242" s="39"/>
      <x:c r="I242" s="35" t="str">
        <x:f>IF(A242="","",SUMIFS('CHI_TIẾT_BÁO_GIÁ'!$N$2:$N$500,'CHI_TIẾT_BÁO_GIÁ'!$B$2:$B$500,A242))</x:f>
      </x:c>
      <x:c r="J242" s="36" t="str">
        <x:f>IF(A242="","",IF(AND(H242="ĐÃ GỬI",G242&lt;TODAY()),"HẾT HẠN",""))</x:f>
      </x:c>
      <x:c r="K242" s="39"/>
      <x:c r="L242" s="39"/>
      <x:c r="M242" s="39"/>
      <x:c r="N242" s="39"/>
      <x:c r="O242" s="42"/>
      <x:c r="P242" s="39"/>
      <x:c r="Q242" s="42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39"/>
      <x:c r="E243" s="39"/>
      <x:c r="F243" s="41"/>
      <x:c r="G243" s="41"/>
      <x:c r="H243" s="39"/>
      <x:c r="I243" s="35" t="str">
        <x:f>IF(A243="","",SUMIFS('CHI_TIẾT_BÁO_GIÁ'!$N$2:$N$500,'CHI_TIẾT_BÁO_GIÁ'!$B$2:$B$500,A243))</x:f>
      </x:c>
      <x:c r="J243" s="36" t="str">
        <x:f>IF(A243="","",IF(AND(H243="ĐÃ GỬI",G243&lt;TODAY()),"HẾT HẠN",""))</x:f>
      </x:c>
      <x:c r="K243" s="39"/>
      <x:c r="L243" s="39"/>
      <x:c r="M243" s="39"/>
      <x:c r="N243" s="39"/>
      <x:c r="O243" s="42"/>
      <x:c r="P243" s="39"/>
      <x:c r="Q243" s="42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39"/>
      <x:c r="E244" s="39"/>
      <x:c r="F244" s="41"/>
      <x:c r="G244" s="41"/>
      <x:c r="H244" s="39"/>
      <x:c r="I244" s="35" t="str">
        <x:f>IF(A244="","",SUMIFS('CHI_TIẾT_BÁO_GIÁ'!$N$2:$N$500,'CHI_TIẾT_BÁO_GIÁ'!$B$2:$B$500,A244))</x:f>
      </x:c>
      <x:c r="J244" s="36" t="str">
        <x:f>IF(A244="","",IF(AND(H244="ĐÃ GỬI",G244&lt;TODAY()),"HẾT HẠN",""))</x:f>
      </x:c>
      <x:c r="K244" s="39"/>
      <x:c r="L244" s="39"/>
      <x:c r="M244" s="39"/>
      <x:c r="N244" s="39"/>
      <x:c r="O244" s="42"/>
      <x:c r="P244" s="39"/>
      <x:c r="Q244" s="42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39"/>
      <x:c r="E245" s="39"/>
      <x:c r="F245" s="41"/>
      <x:c r="G245" s="41"/>
      <x:c r="H245" s="39"/>
      <x:c r="I245" s="35" t="str">
        <x:f>IF(A245="","",SUMIFS('CHI_TIẾT_BÁO_GIÁ'!$N$2:$N$500,'CHI_TIẾT_BÁO_GIÁ'!$B$2:$B$500,A245))</x:f>
      </x:c>
      <x:c r="J245" s="36" t="str">
        <x:f>IF(A245="","",IF(AND(H245="ĐÃ GỬI",G245&lt;TODAY()),"HẾT HẠN",""))</x:f>
      </x:c>
      <x:c r="K245" s="39"/>
      <x:c r="L245" s="39"/>
      <x:c r="M245" s="39"/>
      <x:c r="N245" s="39"/>
      <x:c r="O245" s="42"/>
      <x:c r="P245" s="39"/>
      <x:c r="Q245" s="42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39"/>
      <x:c r="E246" s="39"/>
      <x:c r="F246" s="41"/>
      <x:c r="G246" s="41"/>
      <x:c r="H246" s="39"/>
      <x:c r="I246" s="35" t="str">
        <x:f>IF(A246="","",SUMIFS('CHI_TIẾT_BÁO_GIÁ'!$N$2:$N$500,'CHI_TIẾT_BÁO_GIÁ'!$B$2:$B$500,A246))</x:f>
      </x:c>
      <x:c r="J246" s="36" t="str">
        <x:f>IF(A246="","",IF(AND(H246="ĐÃ GỬI",G246&lt;TODAY()),"HẾT HẠN",""))</x:f>
      </x:c>
      <x:c r="K246" s="39"/>
      <x:c r="L246" s="39"/>
      <x:c r="M246" s="39"/>
      <x:c r="N246" s="39"/>
      <x:c r="O246" s="42"/>
      <x:c r="P246" s="39"/>
      <x:c r="Q246" s="42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39"/>
      <x:c r="E247" s="39"/>
      <x:c r="F247" s="41"/>
      <x:c r="G247" s="41"/>
      <x:c r="H247" s="39"/>
      <x:c r="I247" s="35" t="str">
        <x:f>IF(A247="","",SUMIFS('CHI_TIẾT_BÁO_GIÁ'!$N$2:$N$500,'CHI_TIẾT_BÁO_GIÁ'!$B$2:$B$500,A247))</x:f>
      </x:c>
      <x:c r="J247" s="36" t="str">
        <x:f>IF(A247="","",IF(AND(H247="ĐÃ GỬI",G247&lt;TODAY()),"HẾT HẠN",""))</x:f>
      </x:c>
      <x:c r="K247" s="39"/>
      <x:c r="L247" s="39"/>
      <x:c r="M247" s="39"/>
      <x:c r="N247" s="39"/>
      <x:c r="O247" s="42"/>
      <x:c r="P247" s="39"/>
      <x:c r="Q247" s="42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39"/>
      <x:c r="E248" s="39"/>
      <x:c r="F248" s="41"/>
      <x:c r="G248" s="41"/>
      <x:c r="H248" s="39"/>
      <x:c r="I248" s="35" t="str">
        <x:f>IF(A248="","",SUMIFS('CHI_TIẾT_BÁO_GIÁ'!$N$2:$N$500,'CHI_TIẾT_BÁO_GIÁ'!$B$2:$B$500,A248))</x:f>
      </x:c>
      <x:c r="J248" s="36" t="str">
        <x:f>IF(A248="","",IF(AND(H248="ĐÃ GỬI",G248&lt;TODAY()),"HẾT HẠN",""))</x:f>
      </x:c>
      <x:c r="K248" s="39"/>
      <x:c r="L248" s="39"/>
      <x:c r="M248" s="39"/>
      <x:c r="N248" s="39"/>
      <x:c r="O248" s="42"/>
      <x:c r="P248" s="39"/>
      <x:c r="Q248" s="42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39"/>
      <x:c r="E249" s="39"/>
      <x:c r="F249" s="41"/>
      <x:c r="G249" s="41"/>
      <x:c r="H249" s="39"/>
      <x:c r="I249" s="35" t="str">
        <x:f>IF(A249="","",SUMIFS('CHI_TIẾT_BÁO_GIÁ'!$N$2:$N$500,'CHI_TIẾT_BÁO_GIÁ'!$B$2:$B$500,A249))</x:f>
      </x:c>
      <x:c r="J249" s="36" t="str">
        <x:f>IF(A249="","",IF(AND(H249="ĐÃ GỬI",G249&lt;TODAY()),"HẾT HẠN",""))</x:f>
      </x:c>
      <x:c r="K249" s="39"/>
      <x:c r="L249" s="39"/>
      <x:c r="M249" s="39"/>
      <x:c r="N249" s="39"/>
      <x:c r="O249" s="42"/>
      <x:c r="P249" s="39"/>
      <x:c r="Q249" s="42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39"/>
      <x:c r="E250" s="39"/>
      <x:c r="F250" s="41"/>
      <x:c r="G250" s="41"/>
      <x:c r="H250" s="39"/>
      <x:c r="I250" s="35" t="str">
        <x:f>IF(A250="","",SUMIFS('CHI_TIẾT_BÁO_GIÁ'!$N$2:$N$500,'CHI_TIẾT_BÁO_GIÁ'!$B$2:$B$500,A250))</x:f>
      </x:c>
      <x:c r="J250" s="36" t="str">
        <x:f>IF(A250="","",IF(AND(H250="ĐÃ GỬI",G250&lt;TODAY()),"HẾT HẠN",""))</x:f>
      </x:c>
      <x:c r="K250" s="39"/>
      <x:c r="L250" s="39"/>
      <x:c r="M250" s="39"/>
      <x:c r="N250" s="39"/>
      <x:c r="O250" s="42"/>
      <x:c r="P250" s="39"/>
      <x:c r="Q250" s="42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39"/>
      <x:c r="E251" s="39"/>
      <x:c r="F251" s="41"/>
      <x:c r="G251" s="41"/>
      <x:c r="H251" s="39"/>
      <x:c r="I251" s="35" t="str">
        <x:f>IF(A251="","",SUMIFS('CHI_TIẾT_BÁO_GIÁ'!$N$2:$N$500,'CHI_TIẾT_BÁO_GIÁ'!$B$2:$B$500,A251))</x:f>
      </x:c>
      <x:c r="J251" s="36" t="str">
        <x:f>IF(A251="","",IF(AND(H251="ĐÃ GỬI",G251&lt;TODAY()),"HẾT HẠN",""))</x:f>
      </x:c>
      <x:c r="K251" s="39"/>
      <x:c r="L251" s="39"/>
      <x:c r="M251" s="39"/>
      <x:c r="N251" s="39"/>
      <x:c r="O251" s="42"/>
      <x:c r="P251" s="39"/>
      <x:c r="Q251" s="42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39"/>
      <x:c r="E252" s="39"/>
      <x:c r="F252" s="41"/>
      <x:c r="G252" s="41"/>
      <x:c r="H252" s="39"/>
      <x:c r="I252" s="35" t="str">
        <x:f>IF(A252="","",SUMIFS('CHI_TIẾT_BÁO_GIÁ'!$N$2:$N$500,'CHI_TIẾT_BÁO_GIÁ'!$B$2:$B$500,A252))</x:f>
      </x:c>
      <x:c r="J252" s="36" t="str">
        <x:f>IF(A252="","",IF(AND(H252="ĐÃ GỬI",G252&lt;TODAY()),"HẾT HẠN",""))</x:f>
      </x:c>
      <x:c r="K252" s="39"/>
      <x:c r="L252" s="39"/>
      <x:c r="M252" s="39"/>
      <x:c r="N252" s="39"/>
      <x:c r="O252" s="42"/>
      <x:c r="P252" s="39"/>
      <x:c r="Q252" s="42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39"/>
      <x:c r="E253" s="39"/>
      <x:c r="F253" s="41"/>
      <x:c r="G253" s="41"/>
      <x:c r="H253" s="39"/>
      <x:c r="I253" s="35" t="str">
        <x:f>IF(A253="","",SUMIFS('CHI_TIẾT_BÁO_GIÁ'!$N$2:$N$500,'CHI_TIẾT_BÁO_GIÁ'!$B$2:$B$500,A253))</x:f>
      </x:c>
      <x:c r="J253" s="36" t="str">
        <x:f>IF(A253="","",IF(AND(H253="ĐÃ GỬI",G253&lt;TODAY()),"HẾT HẠN",""))</x:f>
      </x:c>
      <x:c r="K253" s="39"/>
      <x:c r="L253" s="39"/>
      <x:c r="M253" s="39"/>
      <x:c r="N253" s="39"/>
      <x:c r="O253" s="42"/>
      <x:c r="P253" s="39"/>
      <x:c r="Q253" s="42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39"/>
      <x:c r="E254" s="39"/>
      <x:c r="F254" s="41"/>
      <x:c r="G254" s="41"/>
      <x:c r="H254" s="39"/>
      <x:c r="I254" s="35" t="str">
        <x:f>IF(A254="","",SUMIFS('CHI_TIẾT_BÁO_GIÁ'!$N$2:$N$500,'CHI_TIẾT_BÁO_GIÁ'!$B$2:$B$500,A254))</x:f>
      </x:c>
      <x:c r="J254" s="36" t="str">
        <x:f>IF(A254="","",IF(AND(H254="ĐÃ GỬI",G254&lt;TODAY()),"HẾT HẠN",""))</x:f>
      </x:c>
      <x:c r="K254" s="39"/>
      <x:c r="L254" s="39"/>
      <x:c r="M254" s="39"/>
      <x:c r="N254" s="39"/>
      <x:c r="O254" s="42"/>
      <x:c r="P254" s="39"/>
      <x:c r="Q254" s="42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39"/>
      <x:c r="E255" s="39"/>
      <x:c r="F255" s="41"/>
      <x:c r="G255" s="41"/>
      <x:c r="H255" s="39"/>
      <x:c r="I255" s="35" t="str">
        <x:f>IF(A255="","",SUMIFS('CHI_TIẾT_BÁO_GIÁ'!$N$2:$N$500,'CHI_TIẾT_BÁO_GIÁ'!$B$2:$B$500,A255))</x:f>
      </x:c>
      <x:c r="J255" s="36" t="str">
        <x:f>IF(A255="","",IF(AND(H255="ĐÃ GỬI",G255&lt;TODAY()),"HẾT HẠN",""))</x:f>
      </x:c>
      <x:c r="K255" s="39"/>
      <x:c r="L255" s="39"/>
      <x:c r="M255" s="39"/>
      <x:c r="N255" s="39"/>
      <x:c r="O255" s="42"/>
      <x:c r="P255" s="39"/>
      <x:c r="Q255" s="42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39"/>
      <x:c r="E256" s="39"/>
      <x:c r="F256" s="41"/>
      <x:c r="G256" s="41"/>
      <x:c r="H256" s="39"/>
      <x:c r="I256" s="35" t="str">
        <x:f>IF(A256="","",SUMIFS('CHI_TIẾT_BÁO_GIÁ'!$N$2:$N$500,'CHI_TIẾT_BÁO_GIÁ'!$B$2:$B$500,A256))</x:f>
      </x:c>
      <x:c r="J256" s="36" t="str">
        <x:f>IF(A256="","",IF(AND(H256="ĐÃ GỬI",G256&lt;TODAY()),"HẾT HẠN",""))</x:f>
      </x:c>
      <x:c r="K256" s="39"/>
      <x:c r="L256" s="39"/>
      <x:c r="M256" s="39"/>
      <x:c r="N256" s="39"/>
      <x:c r="O256" s="42"/>
      <x:c r="P256" s="39"/>
      <x:c r="Q256" s="42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39"/>
      <x:c r="E257" s="39"/>
      <x:c r="F257" s="41"/>
      <x:c r="G257" s="41"/>
      <x:c r="H257" s="39"/>
      <x:c r="I257" s="35" t="str">
        <x:f>IF(A257="","",SUMIFS('CHI_TIẾT_BÁO_GIÁ'!$N$2:$N$500,'CHI_TIẾT_BÁO_GIÁ'!$B$2:$B$500,A257))</x:f>
      </x:c>
      <x:c r="J257" s="36" t="str">
        <x:f>IF(A257="","",IF(AND(H257="ĐÃ GỬI",G257&lt;TODAY()),"HẾT HẠN",""))</x:f>
      </x:c>
      <x:c r="K257" s="39"/>
      <x:c r="L257" s="39"/>
      <x:c r="M257" s="39"/>
      <x:c r="N257" s="39"/>
      <x:c r="O257" s="42"/>
      <x:c r="P257" s="39"/>
      <x:c r="Q257" s="42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39"/>
      <x:c r="E258" s="39"/>
      <x:c r="F258" s="41"/>
      <x:c r="G258" s="41"/>
      <x:c r="H258" s="39"/>
      <x:c r="I258" s="35" t="str">
        <x:f>IF(A258="","",SUMIFS('CHI_TIẾT_BÁO_GIÁ'!$N$2:$N$500,'CHI_TIẾT_BÁO_GIÁ'!$B$2:$B$500,A258))</x:f>
      </x:c>
      <x:c r="J258" s="36" t="str">
        <x:f>IF(A258="","",IF(AND(H258="ĐÃ GỬI",G258&lt;TODAY()),"HẾT HẠN",""))</x:f>
      </x:c>
      <x:c r="K258" s="39"/>
      <x:c r="L258" s="39"/>
      <x:c r="M258" s="39"/>
      <x:c r="N258" s="39"/>
      <x:c r="O258" s="42"/>
      <x:c r="P258" s="39"/>
      <x:c r="Q258" s="42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39"/>
      <x:c r="E259" s="39"/>
      <x:c r="F259" s="41"/>
      <x:c r="G259" s="41"/>
      <x:c r="H259" s="39"/>
      <x:c r="I259" s="35" t="str">
        <x:f>IF(A259="","",SUMIFS('CHI_TIẾT_BÁO_GIÁ'!$N$2:$N$500,'CHI_TIẾT_BÁO_GIÁ'!$B$2:$B$500,A259))</x:f>
      </x:c>
      <x:c r="J259" s="36" t="str">
        <x:f>IF(A259="","",IF(AND(H259="ĐÃ GỬI",G259&lt;TODAY()),"HẾT HẠN",""))</x:f>
      </x:c>
      <x:c r="K259" s="39"/>
      <x:c r="L259" s="39"/>
      <x:c r="M259" s="39"/>
      <x:c r="N259" s="39"/>
      <x:c r="O259" s="42"/>
      <x:c r="P259" s="39"/>
      <x:c r="Q259" s="42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39"/>
      <x:c r="E260" s="39"/>
      <x:c r="F260" s="41"/>
      <x:c r="G260" s="41"/>
      <x:c r="H260" s="39"/>
      <x:c r="I260" s="35" t="str">
        <x:f>IF(A260="","",SUMIFS('CHI_TIẾT_BÁO_GIÁ'!$N$2:$N$500,'CHI_TIẾT_BÁO_GIÁ'!$B$2:$B$500,A260))</x:f>
      </x:c>
      <x:c r="J260" s="36" t="str">
        <x:f>IF(A260="","",IF(AND(H260="ĐÃ GỬI",G260&lt;TODAY()),"HẾT HẠN",""))</x:f>
      </x:c>
      <x:c r="K260" s="39"/>
      <x:c r="L260" s="39"/>
      <x:c r="M260" s="39"/>
      <x:c r="N260" s="39"/>
      <x:c r="O260" s="42"/>
      <x:c r="P260" s="39"/>
      <x:c r="Q260" s="42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39"/>
      <x:c r="E261" s="39"/>
      <x:c r="F261" s="41"/>
      <x:c r="G261" s="41"/>
      <x:c r="H261" s="39"/>
      <x:c r="I261" s="35" t="str">
        <x:f>IF(A261="","",SUMIFS('CHI_TIẾT_BÁO_GIÁ'!$N$2:$N$500,'CHI_TIẾT_BÁO_GIÁ'!$B$2:$B$500,A261))</x:f>
      </x:c>
      <x:c r="J261" s="36" t="str">
        <x:f>IF(A261="","",IF(AND(H261="ĐÃ GỬI",G261&lt;TODAY()),"HẾT HẠN",""))</x:f>
      </x:c>
      <x:c r="K261" s="39"/>
      <x:c r="L261" s="39"/>
      <x:c r="M261" s="39"/>
      <x:c r="N261" s="39"/>
      <x:c r="O261" s="42"/>
      <x:c r="P261" s="39"/>
      <x:c r="Q261" s="42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39"/>
      <x:c r="E262" s="39"/>
      <x:c r="F262" s="41"/>
      <x:c r="G262" s="41"/>
      <x:c r="H262" s="39"/>
      <x:c r="I262" s="35" t="str">
        <x:f>IF(A262="","",SUMIFS('CHI_TIẾT_BÁO_GIÁ'!$N$2:$N$500,'CHI_TIẾT_BÁO_GIÁ'!$B$2:$B$500,A262))</x:f>
      </x:c>
      <x:c r="J262" s="36" t="str">
        <x:f>IF(A262="","",IF(AND(H262="ĐÃ GỬI",G262&lt;TODAY()),"HẾT HẠN",""))</x:f>
      </x:c>
      <x:c r="K262" s="39"/>
      <x:c r="L262" s="39"/>
      <x:c r="M262" s="39"/>
      <x:c r="N262" s="39"/>
      <x:c r="O262" s="42"/>
      <x:c r="P262" s="39"/>
      <x:c r="Q262" s="42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39"/>
      <x:c r="E263" s="39"/>
      <x:c r="F263" s="41"/>
      <x:c r="G263" s="41"/>
      <x:c r="H263" s="39"/>
      <x:c r="I263" s="35" t="str">
        <x:f>IF(A263="","",SUMIFS('CHI_TIẾT_BÁO_GIÁ'!$N$2:$N$500,'CHI_TIẾT_BÁO_GIÁ'!$B$2:$B$500,A263))</x:f>
      </x:c>
      <x:c r="J263" s="36" t="str">
        <x:f>IF(A263="","",IF(AND(H263="ĐÃ GỬI",G263&lt;TODAY()),"HẾT HẠN",""))</x:f>
      </x:c>
      <x:c r="K263" s="39"/>
      <x:c r="L263" s="39"/>
      <x:c r="M263" s="39"/>
      <x:c r="N263" s="39"/>
      <x:c r="O263" s="42"/>
      <x:c r="P263" s="39"/>
      <x:c r="Q263" s="42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39"/>
      <x:c r="E264" s="39"/>
      <x:c r="F264" s="41"/>
      <x:c r="G264" s="41"/>
      <x:c r="H264" s="39"/>
      <x:c r="I264" s="35" t="str">
        <x:f>IF(A264="","",SUMIFS('CHI_TIẾT_BÁO_GIÁ'!$N$2:$N$500,'CHI_TIẾT_BÁO_GIÁ'!$B$2:$B$500,A264))</x:f>
      </x:c>
      <x:c r="J264" s="36" t="str">
        <x:f>IF(A264="","",IF(AND(H264="ĐÃ GỬI",G264&lt;TODAY()),"HẾT HẠN",""))</x:f>
      </x:c>
      <x:c r="K264" s="39"/>
      <x:c r="L264" s="39"/>
      <x:c r="M264" s="39"/>
      <x:c r="N264" s="39"/>
      <x:c r="O264" s="42"/>
      <x:c r="P264" s="39"/>
      <x:c r="Q264" s="42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39"/>
      <x:c r="E265" s="39"/>
      <x:c r="F265" s="41"/>
      <x:c r="G265" s="41"/>
      <x:c r="H265" s="39"/>
      <x:c r="I265" s="35" t="str">
        <x:f>IF(A265="","",SUMIFS('CHI_TIẾT_BÁO_GIÁ'!$N$2:$N$500,'CHI_TIẾT_BÁO_GIÁ'!$B$2:$B$500,A265))</x:f>
      </x:c>
      <x:c r="J265" s="36" t="str">
        <x:f>IF(A265="","",IF(AND(H265="ĐÃ GỬI",G265&lt;TODAY()),"HẾT HẠN",""))</x:f>
      </x:c>
      <x:c r="K265" s="39"/>
      <x:c r="L265" s="39"/>
      <x:c r="M265" s="39"/>
      <x:c r="N265" s="39"/>
      <x:c r="O265" s="42"/>
      <x:c r="P265" s="39"/>
      <x:c r="Q265" s="42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39"/>
      <x:c r="E266" s="39"/>
      <x:c r="F266" s="41"/>
      <x:c r="G266" s="41"/>
      <x:c r="H266" s="39"/>
      <x:c r="I266" s="35" t="str">
        <x:f>IF(A266="","",SUMIFS('CHI_TIẾT_BÁO_GIÁ'!$N$2:$N$500,'CHI_TIẾT_BÁO_GIÁ'!$B$2:$B$500,A266))</x:f>
      </x:c>
      <x:c r="J266" s="36" t="str">
        <x:f>IF(A266="","",IF(AND(H266="ĐÃ GỬI",G266&lt;TODAY()),"HẾT HẠN",""))</x:f>
      </x:c>
      <x:c r="K266" s="39"/>
      <x:c r="L266" s="39"/>
      <x:c r="M266" s="39"/>
      <x:c r="N266" s="39"/>
      <x:c r="O266" s="42"/>
      <x:c r="P266" s="39"/>
      <x:c r="Q266" s="42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39"/>
      <x:c r="E267" s="39"/>
      <x:c r="F267" s="41"/>
      <x:c r="G267" s="41"/>
      <x:c r="H267" s="39"/>
      <x:c r="I267" s="35" t="str">
        <x:f>IF(A267="","",SUMIFS('CHI_TIẾT_BÁO_GIÁ'!$N$2:$N$500,'CHI_TIẾT_BÁO_GIÁ'!$B$2:$B$500,A267))</x:f>
      </x:c>
      <x:c r="J267" s="36" t="str">
        <x:f>IF(A267="","",IF(AND(H267="ĐÃ GỬI",G267&lt;TODAY()),"HẾT HẠN",""))</x:f>
      </x:c>
      <x:c r="K267" s="39"/>
      <x:c r="L267" s="39"/>
      <x:c r="M267" s="39"/>
      <x:c r="N267" s="39"/>
      <x:c r="O267" s="42"/>
      <x:c r="P267" s="39"/>
      <x:c r="Q267" s="42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39"/>
      <x:c r="E268" s="39"/>
      <x:c r="F268" s="41"/>
      <x:c r="G268" s="41"/>
      <x:c r="H268" s="39"/>
      <x:c r="I268" s="35" t="str">
        <x:f>IF(A268="","",SUMIFS('CHI_TIẾT_BÁO_GIÁ'!$N$2:$N$500,'CHI_TIẾT_BÁO_GIÁ'!$B$2:$B$500,A268))</x:f>
      </x:c>
      <x:c r="J268" s="36" t="str">
        <x:f>IF(A268="","",IF(AND(H268="ĐÃ GỬI",G268&lt;TODAY()),"HẾT HẠN",""))</x:f>
      </x:c>
      <x:c r="K268" s="39"/>
      <x:c r="L268" s="39"/>
      <x:c r="M268" s="39"/>
      <x:c r="N268" s="39"/>
      <x:c r="O268" s="42"/>
      <x:c r="P268" s="39"/>
      <x:c r="Q268" s="42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39"/>
      <x:c r="E269" s="39"/>
      <x:c r="F269" s="41"/>
      <x:c r="G269" s="41"/>
      <x:c r="H269" s="39"/>
      <x:c r="I269" s="35" t="str">
        <x:f>IF(A269="","",SUMIFS('CHI_TIẾT_BÁO_GIÁ'!$N$2:$N$500,'CHI_TIẾT_BÁO_GIÁ'!$B$2:$B$500,A269))</x:f>
      </x:c>
      <x:c r="J269" s="36" t="str">
        <x:f>IF(A269="","",IF(AND(H269="ĐÃ GỬI",G269&lt;TODAY()),"HẾT HẠN",""))</x:f>
      </x:c>
      <x:c r="K269" s="39"/>
      <x:c r="L269" s="39"/>
      <x:c r="M269" s="39"/>
      <x:c r="N269" s="39"/>
      <x:c r="O269" s="42"/>
      <x:c r="P269" s="39"/>
      <x:c r="Q269" s="42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39"/>
      <x:c r="E270" s="39"/>
      <x:c r="F270" s="41"/>
      <x:c r="G270" s="41"/>
      <x:c r="H270" s="39"/>
      <x:c r="I270" s="35" t="str">
        <x:f>IF(A270="","",SUMIFS('CHI_TIẾT_BÁO_GIÁ'!$N$2:$N$500,'CHI_TIẾT_BÁO_GIÁ'!$B$2:$B$500,A270))</x:f>
      </x:c>
      <x:c r="J270" s="36" t="str">
        <x:f>IF(A270="","",IF(AND(H270="ĐÃ GỬI",G270&lt;TODAY()),"HẾT HẠN",""))</x:f>
      </x:c>
      <x:c r="K270" s="39"/>
      <x:c r="L270" s="39"/>
      <x:c r="M270" s="39"/>
      <x:c r="N270" s="39"/>
      <x:c r="O270" s="42"/>
      <x:c r="P270" s="39"/>
      <x:c r="Q270" s="42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39"/>
      <x:c r="E271" s="39"/>
      <x:c r="F271" s="41"/>
      <x:c r="G271" s="41"/>
      <x:c r="H271" s="39"/>
      <x:c r="I271" s="35" t="str">
        <x:f>IF(A271="","",SUMIFS('CHI_TIẾT_BÁO_GIÁ'!$N$2:$N$500,'CHI_TIẾT_BÁO_GIÁ'!$B$2:$B$500,A271))</x:f>
      </x:c>
      <x:c r="J271" s="36" t="str">
        <x:f>IF(A271="","",IF(AND(H271="ĐÃ GỬI",G271&lt;TODAY()),"HẾT HẠN",""))</x:f>
      </x:c>
      <x:c r="K271" s="39"/>
      <x:c r="L271" s="39"/>
      <x:c r="M271" s="39"/>
      <x:c r="N271" s="39"/>
      <x:c r="O271" s="42"/>
      <x:c r="P271" s="39"/>
      <x:c r="Q271" s="42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39"/>
      <x:c r="E272" s="39"/>
      <x:c r="F272" s="41"/>
      <x:c r="G272" s="41"/>
      <x:c r="H272" s="39"/>
      <x:c r="I272" s="35" t="str">
        <x:f>IF(A272="","",SUMIFS('CHI_TIẾT_BÁO_GIÁ'!$N$2:$N$500,'CHI_TIẾT_BÁO_GIÁ'!$B$2:$B$500,A272))</x:f>
      </x:c>
      <x:c r="J272" s="36" t="str">
        <x:f>IF(A272="","",IF(AND(H272="ĐÃ GỬI",G272&lt;TODAY()),"HẾT HẠN",""))</x:f>
      </x:c>
      <x:c r="K272" s="39"/>
      <x:c r="L272" s="39"/>
      <x:c r="M272" s="39"/>
      <x:c r="N272" s="39"/>
      <x:c r="O272" s="42"/>
      <x:c r="P272" s="39"/>
      <x:c r="Q272" s="42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39"/>
      <x:c r="E273" s="39"/>
      <x:c r="F273" s="41"/>
      <x:c r="G273" s="41"/>
      <x:c r="H273" s="39"/>
      <x:c r="I273" s="35" t="str">
        <x:f>IF(A273="","",SUMIFS('CHI_TIẾT_BÁO_GIÁ'!$N$2:$N$500,'CHI_TIẾT_BÁO_GIÁ'!$B$2:$B$500,A273))</x:f>
      </x:c>
      <x:c r="J273" s="36" t="str">
        <x:f>IF(A273="","",IF(AND(H273="ĐÃ GỬI",G273&lt;TODAY()),"HẾT HẠN",""))</x:f>
      </x:c>
      <x:c r="K273" s="39"/>
      <x:c r="L273" s="39"/>
      <x:c r="M273" s="39"/>
      <x:c r="N273" s="39"/>
      <x:c r="O273" s="42"/>
      <x:c r="P273" s="39"/>
      <x:c r="Q273" s="42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39"/>
      <x:c r="E274" s="39"/>
      <x:c r="F274" s="41"/>
      <x:c r="G274" s="41"/>
      <x:c r="H274" s="39"/>
      <x:c r="I274" s="35" t="str">
        <x:f>IF(A274="","",SUMIFS('CHI_TIẾT_BÁO_GIÁ'!$N$2:$N$500,'CHI_TIẾT_BÁO_GIÁ'!$B$2:$B$500,A274))</x:f>
      </x:c>
      <x:c r="J274" s="36" t="str">
        <x:f>IF(A274="","",IF(AND(H274="ĐÃ GỬI",G274&lt;TODAY()),"HẾT HẠN",""))</x:f>
      </x:c>
      <x:c r="K274" s="39"/>
      <x:c r="L274" s="39"/>
      <x:c r="M274" s="39"/>
      <x:c r="N274" s="39"/>
      <x:c r="O274" s="42"/>
      <x:c r="P274" s="39"/>
      <x:c r="Q274" s="42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39"/>
      <x:c r="E275" s="39"/>
      <x:c r="F275" s="41"/>
      <x:c r="G275" s="41"/>
      <x:c r="H275" s="39"/>
      <x:c r="I275" s="35" t="str">
        <x:f>IF(A275="","",SUMIFS('CHI_TIẾT_BÁO_GIÁ'!$N$2:$N$500,'CHI_TIẾT_BÁO_GIÁ'!$B$2:$B$500,A275))</x:f>
      </x:c>
      <x:c r="J275" s="36" t="str">
        <x:f>IF(A275="","",IF(AND(H275="ĐÃ GỬI",G275&lt;TODAY()),"HẾT HẠN",""))</x:f>
      </x:c>
      <x:c r="K275" s="39"/>
      <x:c r="L275" s="39"/>
      <x:c r="M275" s="39"/>
      <x:c r="N275" s="39"/>
      <x:c r="O275" s="42"/>
      <x:c r="P275" s="39"/>
      <x:c r="Q275" s="42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39"/>
      <x:c r="E276" s="39"/>
      <x:c r="F276" s="41"/>
      <x:c r="G276" s="41"/>
      <x:c r="H276" s="39"/>
      <x:c r="I276" s="35" t="str">
        <x:f>IF(A276="","",SUMIFS('CHI_TIẾT_BÁO_GIÁ'!$N$2:$N$500,'CHI_TIẾT_BÁO_GIÁ'!$B$2:$B$500,A276))</x:f>
      </x:c>
      <x:c r="J276" s="36" t="str">
        <x:f>IF(A276="","",IF(AND(H276="ĐÃ GỬI",G276&lt;TODAY()),"HẾT HẠN",""))</x:f>
      </x:c>
      <x:c r="K276" s="39"/>
      <x:c r="L276" s="39"/>
      <x:c r="M276" s="39"/>
      <x:c r="N276" s="39"/>
      <x:c r="O276" s="42"/>
      <x:c r="P276" s="39"/>
      <x:c r="Q276" s="42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39"/>
      <x:c r="E277" s="39"/>
      <x:c r="F277" s="41"/>
      <x:c r="G277" s="41"/>
      <x:c r="H277" s="39"/>
      <x:c r="I277" s="35" t="str">
        <x:f>IF(A277="","",SUMIFS('CHI_TIẾT_BÁO_GIÁ'!$N$2:$N$500,'CHI_TIẾT_BÁO_GIÁ'!$B$2:$B$500,A277))</x:f>
      </x:c>
      <x:c r="J277" s="36" t="str">
        <x:f>IF(A277="","",IF(AND(H277="ĐÃ GỬI",G277&lt;TODAY()),"HẾT HẠN",""))</x:f>
      </x:c>
      <x:c r="K277" s="39"/>
      <x:c r="L277" s="39"/>
      <x:c r="M277" s="39"/>
      <x:c r="N277" s="39"/>
      <x:c r="O277" s="42"/>
      <x:c r="P277" s="39"/>
      <x:c r="Q277" s="42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39"/>
      <x:c r="E278" s="39"/>
      <x:c r="F278" s="41"/>
      <x:c r="G278" s="41"/>
      <x:c r="H278" s="39"/>
      <x:c r="I278" s="35" t="str">
        <x:f>IF(A278="","",SUMIFS('CHI_TIẾT_BÁO_GIÁ'!$N$2:$N$500,'CHI_TIẾT_BÁO_GIÁ'!$B$2:$B$500,A278))</x:f>
      </x:c>
      <x:c r="J278" s="36" t="str">
        <x:f>IF(A278="","",IF(AND(H278="ĐÃ GỬI",G278&lt;TODAY()),"HẾT HẠN",""))</x:f>
      </x:c>
      <x:c r="K278" s="39"/>
      <x:c r="L278" s="39"/>
      <x:c r="M278" s="39"/>
      <x:c r="N278" s="39"/>
      <x:c r="O278" s="42"/>
      <x:c r="P278" s="39"/>
      <x:c r="Q278" s="42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39"/>
      <x:c r="E279" s="39"/>
      <x:c r="F279" s="41"/>
      <x:c r="G279" s="41"/>
      <x:c r="H279" s="39"/>
      <x:c r="I279" s="35" t="str">
        <x:f>IF(A279="","",SUMIFS('CHI_TIẾT_BÁO_GIÁ'!$N$2:$N$500,'CHI_TIẾT_BÁO_GIÁ'!$B$2:$B$500,A279))</x:f>
      </x:c>
      <x:c r="J279" s="36" t="str">
        <x:f>IF(A279="","",IF(AND(H279="ĐÃ GỬI",G279&lt;TODAY()),"HẾT HẠN",""))</x:f>
      </x:c>
      <x:c r="K279" s="39"/>
      <x:c r="L279" s="39"/>
      <x:c r="M279" s="39"/>
      <x:c r="N279" s="39"/>
      <x:c r="O279" s="42"/>
      <x:c r="P279" s="39"/>
      <x:c r="Q279" s="42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39"/>
      <x:c r="E280" s="39"/>
      <x:c r="F280" s="41"/>
      <x:c r="G280" s="41"/>
      <x:c r="H280" s="39"/>
      <x:c r="I280" s="35" t="str">
        <x:f>IF(A280="","",SUMIFS('CHI_TIẾT_BÁO_GIÁ'!$N$2:$N$500,'CHI_TIẾT_BÁO_GIÁ'!$B$2:$B$500,A280))</x:f>
      </x:c>
      <x:c r="J280" s="36" t="str">
        <x:f>IF(A280="","",IF(AND(H280="ĐÃ GỬI",G280&lt;TODAY()),"HẾT HẠN",""))</x:f>
      </x:c>
      <x:c r="K280" s="39"/>
      <x:c r="L280" s="39"/>
      <x:c r="M280" s="39"/>
      <x:c r="N280" s="39"/>
      <x:c r="O280" s="42"/>
      <x:c r="P280" s="39"/>
      <x:c r="Q280" s="42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39"/>
      <x:c r="E281" s="39"/>
      <x:c r="F281" s="41"/>
      <x:c r="G281" s="41"/>
      <x:c r="H281" s="39"/>
      <x:c r="I281" s="35" t="str">
        <x:f>IF(A281="","",SUMIFS('CHI_TIẾT_BÁO_GIÁ'!$N$2:$N$500,'CHI_TIẾT_BÁO_GIÁ'!$B$2:$B$500,A281))</x:f>
      </x:c>
      <x:c r="J281" s="36" t="str">
        <x:f>IF(A281="","",IF(AND(H281="ĐÃ GỬI",G281&lt;TODAY()),"HẾT HẠN",""))</x:f>
      </x:c>
      <x:c r="K281" s="39"/>
      <x:c r="L281" s="39"/>
      <x:c r="M281" s="39"/>
      <x:c r="N281" s="39"/>
      <x:c r="O281" s="42"/>
      <x:c r="P281" s="39"/>
      <x:c r="Q281" s="42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39"/>
      <x:c r="E282" s="39"/>
      <x:c r="F282" s="41"/>
      <x:c r="G282" s="41"/>
      <x:c r="H282" s="39"/>
      <x:c r="I282" s="35" t="str">
        <x:f>IF(A282="","",SUMIFS('CHI_TIẾT_BÁO_GIÁ'!$N$2:$N$500,'CHI_TIẾT_BÁO_GIÁ'!$B$2:$B$500,A282))</x:f>
      </x:c>
      <x:c r="J282" s="36" t="str">
        <x:f>IF(A282="","",IF(AND(H282="ĐÃ GỬI",G282&lt;TODAY()),"HẾT HẠN",""))</x:f>
      </x:c>
      <x:c r="K282" s="39"/>
      <x:c r="L282" s="39"/>
      <x:c r="M282" s="39"/>
      <x:c r="N282" s="39"/>
      <x:c r="O282" s="42"/>
      <x:c r="P282" s="39"/>
      <x:c r="Q282" s="42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39"/>
      <x:c r="E283" s="39"/>
      <x:c r="F283" s="41"/>
      <x:c r="G283" s="41"/>
      <x:c r="H283" s="39"/>
      <x:c r="I283" s="35" t="str">
        <x:f>IF(A283="","",SUMIFS('CHI_TIẾT_BÁO_GIÁ'!$N$2:$N$500,'CHI_TIẾT_BÁO_GIÁ'!$B$2:$B$500,A283))</x:f>
      </x:c>
      <x:c r="J283" s="36" t="str">
        <x:f>IF(A283="","",IF(AND(H283="ĐÃ GỬI",G283&lt;TODAY()),"HẾT HẠN",""))</x:f>
      </x:c>
      <x:c r="K283" s="39"/>
      <x:c r="L283" s="39"/>
      <x:c r="M283" s="39"/>
      <x:c r="N283" s="39"/>
      <x:c r="O283" s="42"/>
      <x:c r="P283" s="39"/>
      <x:c r="Q283" s="42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39"/>
      <x:c r="E284" s="39"/>
      <x:c r="F284" s="41"/>
      <x:c r="G284" s="41"/>
      <x:c r="H284" s="39"/>
      <x:c r="I284" s="35" t="str">
        <x:f>IF(A284="","",SUMIFS('CHI_TIẾT_BÁO_GIÁ'!$N$2:$N$500,'CHI_TIẾT_BÁO_GIÁ'!$B$2:$B$500,A284))</x:f>
      </x:c>
      <x:c r="J284" s="36" t="str">
        <x:f>IF(A284="","",IF(AND(H284="ĐÃ GỬI",G284&lt;TODAY()),"HẾT HẠN",""))</x:f>
      </x:c>
      <x:c r="K284" s="39"/>
      <x:c r="L284" s="39"/>
      <x:c r="M284" s="39"/>
      <x:c r="N284" s="39"/>
      <x:c r="O284" s="42"/>
      <x:c r="P284" s="39"/>
      <x:c r="Q284" s="42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39"/>
      <x:c r="E285" s="39"/>
      <x:c r="F285" s="41"/>
      <x:c r="G285" s="41"/>
      <x:c r="H285" s="39"/>
      <x:c r="I285" s="35" t="str">
        <x:f>IF(A285="","",SUMIFS('CHI_TIẾT_BÁO_GIÁ'!$N$2:$N$500,'CHI_TIẾT_BÁO_GIÁ'!$B$2:$B$500,A285))</x:f>
      </x:c>
      <x:c r="J285" s="36" t="str">
        <x:f>IF(A285="","",IF(AND(H285="ĐÃ GỬI",G285&lt;TODAY()),"HẾT HẠN",""))</x:f>
      </x:c>
      <x:c r="K285" s="39"/>
      <x:c r="L285" s="39"/>
      <x:c r="M285" s="39"/>
      <x:c r="N285" s="39"/>
      <x:c r="O285" s="42"/>
      <x:c r="P285" s="39"/>
      <x:c r="Q285" s="42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39"/>
      <x:c r="E286" s="39"/>
      <x:c r="F286" s="41"/>
      <x:c r="G286" s="41"/>
      <x:c r="H286" s="39"/>
      <x:c r="I286" s="35" t="str">
        <x:f>IF(A286="","",SUMIFS('CHI_TIẾT_BÁO_GIÁ'!$N$2:$N$500,'CHI_TIẾT_BÁO_GIÁ'!$B$2:$B$500,A286))</x:f>
      </x:c>
      <x:c r="J286" s="36" t="str">
        <x:f>IF(A286="","",IF(AND(H286="ĐÃ GỬI",G286&lt;TODAY()),"HẾT HẠN",""))</x:f>
      </x:c>
      <x:c r="K286" s="39"/>
      <x:c r="L286" s="39"/>
      <x:c r="M286" s="39"/>
      <x:c r="N286" s="39"/>
      <x:c r="O286" s="42"/>
      <x:c r="P286" s="39"/>
      <x:c r="Q286" s="42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39"/>
      <x:c r="E287" s="39"/>
      <x:c r="F287" s="41"/>
      <x:c r="G287" s="41"/>
      <x:c r="H287" s="39"/>
      <x:c r="I287" s="35" t="str">
        <x:f>IF(A287="","",SUMIFS('CHI_TIẾT_BÁO_GIÁ'!$N$2:$N$500,'CHI_TIẾT_BÁO_GIÁ'!$B$2:$B$500,A287))</x:f>
      </x:c>
      <x:c r="J287" s="36" t="str">
        <x:f>IF(A287="","",IF(AND(H287="ĐÃ GỬI",G287&lt;TODAY()),"HẾT HẠN",""))</x:f>
      </x:c>
      <x:c r="K287" s="39"/>
      <x:c r="L287" s="39"/>
      <x:c r="M287" s="39"/>
      <x:c r="N287" s="39"/>
      <x:c r="O287" s="42"/>
      <x:c r="P287" s="39"/>
      <x:c r="Q287" s="42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39"/>
      <x:c r="E288" s="39"/>
      <x:c r="F288" s="41"/>
      <x:c r="G288" s="41"/>
      <x:c r="H288" s="39"/>
      <x:c r="I288" s="35" t="str">
        <x:f>IF(A288="","",SUMIFS('CHI_TIẾT_BÁO_GIÁ'!$N$2:$N$500,'CHI_TIẾT_BÁO_GIÁ'!$B$2:$B$500,A288))</x:f>
      </x:c>
      <x:c r="J288" s="36" t="str">
        <x:f>IF(A288="","",IF(AND(H288="ĐÃ GỬI",G288&lt;TODAY()),"HẾT HẠN",""))</x:f>
      </x:c>
      <x:c r="K288" s="39"/>
      <x:c r="L288" s="39"/>
      <x:c r="M288" s="39"/>
      <x:c r="N288" s="39"/>
      <x:c r="O288" s="42"/>
      <x:c r="P288" s="39"/>
      <x:c r="Q288" s="42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39"/>
      <x:c r="E289" s="39"/>
      <x:c r="F289" s="41"/>
      <x:c r="G289" s="41"/>
      <x:c r="H289" s="39"/>
      <x:c r="I289" s="35" t="str">
        <x:f>IF(A289="","",SUMIFS('CHI_TIẾT_BÁO_GIÁ'!$N$2:$N$500,'CHI_TIẾT_BÁO_GIÁ'!$B$2:$B$500,A289))</x:f>
      </x:c>
      <x:c r="J289" s="36" t="str">
        <x:f>IF(A289="","",IF(AND(H289="ĐÃ GỬI",G289&lt;TODAY()),"HẾT HẠN",""))</x:f>
      </x:c>
      <x:c r="K289" s="39"/>
      <x:c r="L289" s="39"/>
      <x:c r="M289" s="39"/>
      <x:c r="N289" s="39"/>
      <x:c r="O289" s="42"/>
      <x:c r="P289" s="39"/>
      <x:c r="Q289" s="42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39"/>
      <x:c r="E290" s="39"/>
      <x:c r="F290" s="41"/>
      <x:c r="G290" s="41"/>
      <x:c r="H290" s="39"/>
      <x:c r="I290" s="35" t="str">
        <x:f>IF(A290="","",SUMIFS('CHI_TIẾT_BÁO_GIÁ'!$N$2:$N$500,'CHI_TIẾT_BÁO_GIÁ'!$B$2:$B$500,A290))</x:f>
      </x:c>
      <x:c r="J290" s="36" t="str">
        <x:f>IF(A290="","",IF(AND(H290="ĐÃ GỬI",G290&lt;TODAY()),"HẾT HẠN",""))</x:f>
      </x:c>
      <x:c r="K290" s="39"/>
      <x:c r="L290" s="39"/>
      <x:c r="M290" s="39"/>
      <x:c r="N290" s="39"/>
      <x:c r="O290" s="42"/>
      <x:c r="P290" s="39"/>
      <x:c r="Q290" s="42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39"/>
      <x:c r="E291" s="39"/>
      <x:c r="F291" s="41"/>
      <x:c r="G291" s="41"/>
      <x:c r="H291" s="39"/>
      <x:c r="I291" s="35" t="str">
        <x:f>IF(A291="","",SUMIFS('CHI_TIẾT_BÁO_GIÁ'!$N$2:$N$500,'CHI_TIẾT_BÁO_GIÁ'!$B$2:$B$500,A291))</x:f>
      </x:c>
      <x:c r="J291" s="36" t="str">
        <x:f>IF(A291="","",IF(AND(H291="ĐÃ GỬI",G291&lt;TODAY()),"HẾT HẠN",""))</x:f>
      </x:c>
      <x:c r="K291" s="39"/>
      <x:c r="L291" s="39"/>
      <x:c r="M291" s="39"/>
      <x:c r="N291" s="39"/>
      <x:c r="O291" s="42"/>
      <x:c r="P291" s="39"/>
      <x:c r="Q291" s="42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39"/>
      <x:c r="E292" s="39"/>
      <x:c r="F292" s="41"/>
      <x:c r="G292" s="41"/>
      <x:c r="H292" s="39"/>
      <x:c r="I292" s="35" t="str">
        <x:f>IF(A292="","",SUMIFS('CHI_TIẾT_BÁO_GIÁ'!$N$2:$N$500,'CHI_TIẾT_BÁO_GIÁ'!$B$2:$B$500,A292))</x:f>
      </x:c>
      <x:c r="J292" s="36" t="str">
        <x:f>IF(A292="","",IF(AND(H292="ĐÃ GỬI",G292&lt;TODAY()),"HẾT HẠN",""))</x:f>
      </x:c>
      <x:c r="K292" s="39"/>
      <x:c r="L292" s="39"/>
      <x:c r="M292" s="39"/>
      <x:c r="N292" s="39"/>
      <x:c r="O292" s="42"/>
      <x:c r="P292" s="39"/>
      <x:c r="Q292" s="42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39"/>
      <x:c r="E293" s="39"/>
      <x:c r="F293" s="41"/>
      <x:c r="G293" s="41"/>
      <x:c r="H293" s="39"/>
      <x:c r="I293" s="35" t="str">
        <x:f>IF(A293="","",SUMIFS('CHI_TIẾT_BÁO_GIÁ'!$N$2:$N$500,'CHI_TIẾT_BÁO_GIÁ'!$B$2:$B$500,A293))</x:f>
      </x:c>
      <x:c r="J293" s="36" t="str">
        <x:f>IF(A293="","",IF(AND(H293="ĐÃ GỬI",G293&lt;TODAY()),"HẾT HẠN",""))</x:f>
      </x:c>
      <x:c r="K293" s="39"/>
      <x:c r="L293" s="39"/>
      <x:c r="M293" s="39"/>
      <x:c r="N293" s="39"/>
      <x:c r="O293" s="42"/>
      <x:c r="P293" s="39"/>
      <x:c r="Q293" s="42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39"/>
      <x:c r="E294" s="39"/>
      <x:c r="F294" s="41"/>
      <x:c r="G294" s="41"/>
      <x:c r="H294" s="39"/>
      <x:c r="I294" s="35" t="str">
        <x:f>IF(A294="","",SUMIFS('CHI_TIẾT_BÁO_GIÁ'!$N$2:$N$500,'CHI_TIẾT_BÁO_GIÁ'!$B$2:$B$500,A294))</x:f>
      </x:c>
      <x:c r="J294" s="36" t="str">
        <x:f>IF(A294="","",IF(AND(H294="ĐÃ GỬI",G294&lt;TODAY()),"HẾT HẠN",""))</x:f>
      </x:c>
      <x:c r="K294" s="39"/>
      <x:c r="L294" s="39"/>
      <x:c r="M294" s="39"/>
      <x:c r="N294" s="39"/>
      <x:c r="O294" s="42"/>
      <x:c r="P294" s="39"/>
      <x:c r="Q294" s="42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39"/>
      <x:c r="E295" s="39"/>
      <x:c r="F295" s="41"/>
      <x:c r="G295" s="41"/>
      <x:c r="H295" s="39"/>
      <x:c r="I295" s="35" t="str">
        <x:f>IF(A295="","",SUMIFS('CHI_TIẾT_BÁO_GIÁ'!$N$2:$N$500,'CHI_TIẾT_BÁO_GIÁ'!$B$2:$B$500,A295))</x:f>
      </x:c>
      <x:c r="J295" s="36" t="str">
        <x:f>IF(A295="","",IF(AND(H295="ĐÃ GỬI",G295&lt;TODAY()),"HẾT HẠN",""))</x:f>
      </x:c>
      <x:c r="K295" s="39"/>
      <x:c r="L295" s="39"/>
      <x:c r="M295" s="39"/>
      <x:c r="N295" s="39"/>
      <x:c r="O295" s="42"/>
      <x:c r="P295" s="39"/>
      <x:c r="Q295" s="42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39"/>
      <x:c r="E296" s="39"/>
      <x:c r="F296" s="41"/>
      <x:c r="G296" s="41"/>
      <x:c r="H296" s="39"/>
      <x:c r="I296" s="35" t="str">
        <x:f>IF(A296="","",SUMIFS('CHI_TIẾT_BÁO_GIÁ'!$N$2:$N$500,'CHI_TIẾT_BÁO_GIÁ'!$B$2:$B$500,A296))</x:f>
      </x:c>
      <x:c r="J296" s="36" t="str">
        <x:f>IF(A296="","",IF(AND(H296="ĐÃ GỬI",G296&lt;TODAY()),"HẾT HẠN",""))</x:f>
      </x:c>
      <x:c r="K296" s="39"/>
      <x:c r="L296" s="39"/>
      <x:c r="M296" s="39"/>
      <x:c r="N296" s="39"/>
      <x:c r="O296" s="42"/>
      <x:c r="P296" s="39"/>
      <x:c r="Q296" s="42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39"/>
      <x:c r="E297" s="39"/>
      <x:c r="F297" s="41"/>
      <x:c r="G297" s="41"/>
      <x:c r="H297" s="39"/>
      <x:c r="I297" s="35" t="str">
        <x:f>IF(A297="","",SUMIFS('CHI_TIẾT_BÁO_GIÁ'!$N$2:$N$500,'CHI_TIẾT_BÁO_GIÁ'!$B$2:$B$500,A297))</x:f>
      </x:c>
      <x:c r="J297" s="36" t="str">
        <x:f>IF(A297="","",IF(AND(H297="ĐÃ GỬI",G297&lt;TODAY()),"HẾT HẠN",""))</x:f>
      </x:c>
      <x:c r="K297" s="39"/>
      <x:c r="L297" s="39"/>
      <x:c r="M297" s="39"/>
      <x:c r="N297" s="39"/>
      <x:c r="O297" s="42"/>
      <x:c r="P297" s="39"/>
      <x:c r="Q297" s="42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39"/>
      <x:c r="E298" s="39"/>
      <x:c r="F298" s="41"/>
      <x:c r="G298" s="41"/>
      <x:c r="H298" s="39"/>
      <x:c r="I298" s="35" t="str">
        <x:f>IF(A298="","",SUMIFS('CHI_TIẾT_BÁO_GIÁ'!$N$2:$N$500,'CHI_TIẾT_BÁO_GIÁ'!$B$2:$B$500,A298))</x:f>
      </x:c>
      <x:c r="J298" s="36" t="str">
        <x:f>IF(A298="","",IF(AND(H298="ĐÃ GỬI",G298&lt;TODAY()),"HẾT HẠN",""))</x:f>
      </x:c>
      <x:c r="K298" s="39"/>
      <x:c r="L298" s="39"/>
      <x:c r="M298" s="39"/>
      <x:c r="N298" s="39"/>
      <x:c r="O298" s="42"/>
      <x:c r="P298" s="39"/>
      <x:c r="Q298" s="42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39"/>
      <x:c r="E299" s="39"/>
      <x:c r="F299" s="41"/>
      <x:c r="G299" s="41"/>
      <x:c r="H299" s="39"/>
      <x:c r="I299" s="35" t="str">
        <x:f>IF(A299="","",SUMIFS('CHI_TIẾT_BÁO_GIÁ'!$N$2:$N$500,'CHI_TIẾT_BÁO_GIÁ'!$B$2:$B$500,A299))</x:f>
      </x:c>
      <x:c r="J299" s="36" t="str">
        <x:f>IF(A299="","",IF(AND(H299="ĐÃ GỬI",G299&lt;TODAY()),"HẾT HẠN",""))</x:f>
      </x:c>
      <x:c r="K299" s="39"/>
      <x:c r="L299" s="39"/>
      <x:c r="M299" s="39"/>
      <x:c r="N299" s="39"/>
      <x:c r="O299" s="42"/>
      <x:c r="P299" s="39"/>
      <x:c r="Q299" s="42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39"/>
      <x:c r="E300" s="39"/>
      <x:c r="F300" s="41"/>
      <x:c r="G300" s="41"/>
      <x:c r="H300" s="39"/>
      <x:c r="I300" s="35" t="str">
        <x:f>IF(A300="","",SUMIFS('CHI_TIẾT_BÁO_GIÁ'!$N$2:$N$500,'CHI_TIẾT_BÁO_GIÁ'!$B$2:$B$500,A300))</x:f>
      </x:c>
      <x:c r="J300" s="36" t="str">
        <x:f>IF(A300="","",IF(AND(H300="ĐÃ GỬI",G300&lt;TODAY()),"HẾT HẠN",""))</x:f>
      </x:c>
      <x:c r="K300" s="39"/>
      <x:c r="L300" s="39"/>
      <x:c r="M300" s="39"/>
      <x:c r="N300" s="39"/>
      <x:c r="O300" s="42"/>
      <x:c r="P300" s="39"/>
      <x:c r="Q300" s="42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39"/>
      <x:c r="E301" s="39"/>
      <x:c r="F301" s="41"/>
      <x:c r="G301" s="41"/>
      <x:c r="H301" s="39"/>
      <x:c r="I301" s="35" t="str">
        <x:f>IF(A301="","",SUMIFS('CHI_TIẾT_BÁO_GIÁ'!$N$2:$N$500,'CHI_TIẾT_BÁO_GIÁ'!$B$2:$B$500,A301))</x:f>
      </x:c>
      <x:c r="J301" s="36" t="str">
        <x:f>IF(A301="","",IF(AND(H301="ĐÃ GỬI",G301&lt;TODAY()),"HẾT HẠN",""))</x:f>
      </x:c>
      <x:c r="K301" s="39"/>
      <x:c r="L301" s="39"/>
      <x:c r="M301" s="39"/>
      <x:c r="N301" s="39"/>
      <x:c r="O301" s="42"/>
      <x:c r="P301" s="39"/>
      <x:c r="Q301" s="42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39"/>
      <x:c r="E302" s="39"/>
      <x:c r="F302" s="41"/>
      <x:c r="G302" s="41"/>
      <x:c r="H302" s="39"/>
      <x:c r="I302" s="35" t="str">
        <x:f>IF(A302="","",SUMIFS('CHI_TIẾT_BÁO_GIÁ'!$N$2:$N$500,'CHI_TIẾT_BÁO_GIÁ'!$B$2:$B$500,A302))</x:f>
      </x:c>
      <x:c r="J302" s="36" t="str">
        <x:f>IF(A302="","",IF(AND(H302="ĐÃ GỬI",G302&lt;TODAY()),"HẾT HẠN",""))</x:f>
      </x:c>
      <x:c r="K302" s="39"/>
      <x:c r="L302" s="39"/>
      <x:c r="M302" s="39"/>
      <x:c r="N302" s="39"/>
      <x:c r="O302" s="42"/>
      <x:c r="P302" s="39"/>
      <x:c r="Q302" s="42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39"/>
      <x:c r="E303" s="39"/>
      <x:c r="F303" s="41"/>
      <x:c r="G303" s="41"/>
      <x:c r="H303" s="39"/>
      <x:c r="I303" s="35" t="str">
        <x:f>IF(A303="","",SUMIFS('CHI_TIẾT_BÁO_GIÁ'!$N$2:$N$500,'CHI_TIẾT_BÁO_GIÁ'!$B$2:$B$500,A303))</x:f>
      </x:c>
      <x:c r="J303" s="36" t="str">
        <x:f>IF(A303="","",IF(AND(H303="ĐÃ GỬI",G303&lt;TODAY()),"HẾT HẠN",""))</x:f>
      </x:c>
      <x:c r="K303" s="39"/>
      <x:c r="L303" s="39"/>
      <x:c r="M303" s="39"/>
      <x:c r="N303" s="39"/>
      <x:c r="O303" s="42"/>
      <x:c r="P303" s="39"/>
      <x:c r="Q303" s="42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39"/>
      <x:c r="E304" s="39"/>
      <x:c r="F304" s="41"/>
      <x:c r="G304" s="41"/>
      <x:c r="H304" s="39"/>
      <x:c r="I304" s="35" t="str">
        <x:f>IF(A304="","",SUMIFS('CHI_TIẾT_BÁO_GIÁ'!$N$2:$N$500,'CHI_TIẾT_BÁO_GIÁ'!$B$2:$B$500,A304))</x:f>
      </x:c>
      <x:c r="J304" s="36" t="str">
        <x:f>IF(A304="","",IF(AND(H304="ĐÃ GỬI",G304&lt;TODAY()),"HẾT HẠN",""))</x:f>
      </x:c>
      <x:c r="K304" s="39"/>
      <x:c r="L304" s="39"/>
      <x:c r="M304" s="39"/>
      <x:c r="N304" s="39"/>
      <x:c r="O304" s="42"/>
      <x:c r="P304" s="39"/>
      <x:c r="Q304" s="42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39"/>
      <x:c r="E305" s="39"/>
      <x:c r="F305" s="41"/>
      <x:c r="G305" s="41"/>
      <x:c r="H305" s="39"/>
      <x:c r="I305" s="35" t="str">
        <x:f>IF(A305="","",SUMIFS('CHI_TIẾT_BÁO_GIÁ'!$N$2:$N$500,'CHI_TIẾT_BÁO_GIÁ'!$B$2:$B$500,A305))</x:f>
      </x:c>
      <x:c r="J305" s="36" t="str">
        <x:f>IF(A305="","",IF(AND(H305="ĐÃ GỬI",G305&lt;TODAY()),"HẾT HẠN",""))</x:f>
      </x:c>
      <x:c r="K305" s="39"/>
      <x:c r="L305" s="39"/>
      <x:c r="M305" s="39"/>
      <x:c r="N305" s="39"/>
      <x:c r="O305" s="42"/>
      <x:c r="P305" s="39"/>
      <x:c r="Q305" s="42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39"/>
      <x:c r="E306" s="39"/>
      <x:c r="F306" s="41"/>
      <x:c r="G306" s="41"/>
      <x:c r="H306" s="39"/>
      <x:c r="I306" s="35" t="str">
        <x:f>IF(A306="","",SUMIFS('CHI_TIẾT_BÁO_GIÁ'!$N$2:$N$500,'CHI_TIẾT_BÁO_GIÁ'!$B$2:$B$500,A306))</x:f>
      </x:c>
      <x:c r="J306" s="36" t="str">
        <x:f>IF(A306="","",IF(AND(H306="ĐÃ GỬI",G306&lt;TODAY()),"HẾT HẠN",""))</x:f>
      </x:c>
      <x:c r="K306" s="39"/>
      <x:c r="L306" s="39"/>
      <x:c r="M306" s="39"/>
      <x:c r="N306" s="39"/>
      <x:c r="O306" s="42"/>
      <x:c r="P306" s="39"/>
      <x:c r="Q306" s="42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39"/>
      <x:c r="E307" s="39"/>
      <x:c r="F307" s="41"/>
      <x:c r="G307" s="41"/>
      <x:c r="H307" s="39"/>
      <x:c r="I307" s="35" t="str">
        <x:f>IF(A307="","",SUMIFS('CHI_TIẾT_BÁO_GIÁ'!$N$2:$N$500,'CHI_TIẾT_BÁO_GIÁ'!$B$2:$B$500,A307))</x:f>
      </x:c>
      <x:c r="J307" s="36" t="str">
        <x:f>IF(A307="","",IF(AND(H307="ĐÃ GỬI",G307&lt;TODAY()),"HẾT HẠN",""))</x:f>
      </x:c>
      <x:c r="K307" s="39"/>
      <x:c r="L307" s="39"/>
      <x:c r="M307" s="39"/>
      <x:c r="N307" s="39"/>
      <x:c r="O307" s="42"/>
      <x:c r="P307" s="39"/>
      <x:c r="Q307" s="42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39"/>
      <x:c r="E308" s="39"/>
      <x:c r="F308" s="41"/>
      <x:c r="G308" s="41"/>
      <x:c r="H308" s="39"/>
      <x:c r="I308" s="35" t="str">
        <x:f>IF(A308="","",SUMIFS('CHI_TIẾT_BÁO_GIÁ'!$N$2:$N$500,'CHI_TIẾT_BÁO_GIÁ'!$B$2:$B$500,A308))</x:f>
      </x:c>
      <x:c r="J308" s="36" t="str">
        <x:f>IF(A308="","",IF(AND(H308="ĐÃ GỬI",G308&lt;TODAY()),"HẾT HẠN",""))</x:f>
      </x:c>
      <x:c r="K308" s="39"/>
      <x:c r="L308" s="39"/>
      <x:c r="M308" s="39"/>
      <x:c r="N308" s="39"/>
      <x:c r="O308" s="42"/>
      <x:c r="P308" s="39"/>
      <x:c r="Q308" s="42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39"/>
      <x:c r="E309" s="39"/>
      <x:c r="F309" s="41"/>
      <x:c r="G309" s="41"/>
      <x:c r="H309" s="39"/>
      <x:c r="I309" s="35" t="str">
        <x:f>IF(A309="","",SUMIFS('CHI_TIẾT_BÁO_GIÁ'!$N$2:$N$500,'CHI_TIẾT_BÁO_GIÁ'!$B$2:$B$500,A309))</x:f>
      </x:c>
      <x:c r="J309" s="36" t="str">
        <x:f>IF(A309="","",IF(AND(H309="ĐÃ GỬI",G309&lt;TODAY()),"HẾT HẠN",""))</x:f>
      </x:c>
      <x:c r="K309" s="39"/>
      <x:c r="L309" s="39"/>
      <x:c r="M309" s="39"/>
      <x:c r="N309" s="39"/>
      <x:c r="O309" s="42"/>
      <x:c r="P309" s="39"/>
      <x:c r="Q309" s="42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39"/>
      <x:c r="E310" s="39"/>
      <x:c r="F310" s="41"/>
      <x:c r="G310" s="41"/>
      <x:c r="H310" s="39"/>
      <x:c r="I310" s="35" t="str">
        <x:f>IF(A310="","",SUMIFS('CHI_TIẾT_BÁO_GIÁ'!$N$2:$N$500,'CHI_TIẾT_BÁO_GIÁ'!$B$2:$B$500,A310))</x:f>
      </x:c>
      <x:c r="J310" s="36" t="str">
        <x:f>IF(A310="","",IF(AND(H310="ĐÃ GỬI",G310&lt;TODAY()),"HẾT HẠN",""))</x:f>
      </x:c>
      <x:c r="K310" s="39"/>
      <x:c r="L310" s="39"/>
      <x:c r="M310" s="39"/>
      <x:c r="N310" s="39"/>
      <x:c r="O310" s="42"/>
      <x:c r="P310" s="39"/>
      <x:c r="Q310" s="42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39"/>
      <x:c r="E311" s="39"/>
      <x:c r="F311" s="41"/>
      <x:c r="G311" s="41"/>
      <x:c r="H311" s="39"/>
      <x:c r="I311" s="35" t="str">
        <x:f>IF(A311="","",SUMIFS('CHI_TIẾT_BÁO_GIÁ'!$N$2:$N$500,'CHI_TIẾT_BÁO_GIÁ'!$B$2:$B$500,A311))</x:f>
      </x:c>
      <x:c r="J311" s="36" t="str">
        <x:f>IF(A311="","",IF(AND(H311="ĐÃ GỬI",G311&lt;TODAY()),"HẾT HẠN",""))</x:f>
      </x:c>
      <x:c r="K311" s="39"/>
      <x:c r="L311" s="39"/>
      <x:c r="M311" s="39"/>
      <x:c r="N311" s="39"/>
      <x:c r="O311" s="42"/>
      <x:c r="P311" s="39"/>
      <x:c r="Q311" s="42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39"/>
      <x:c r="E312" s="39"/>
      <x:c r="F312" s="41"/>
      <x:c r="G312" s="41"/>
      <x:c r="H312" s="39"/>
      <x:c r="I312" s="35" t="str">
        <x:f>IF(A312="","",SUMIFS('CHI_TIẾT_BÁO_GIÁ'!$N$2:$N$500,'CHI_TIẾT_BÁO_GIÁ'!$B$2:$B$500,A312))</x:f>
      </x:c>
      <x:c r="J312" s="36" t="str">
        <x:f>IF(A312="","",IF(AND(H312="ĐÃ GỬI",G312&lt;TODAY()),"HẾT HẠN",""))</x:f>
      </x:c>
      <x:c r="K312" s="39"/>
      <x:c r="L312" s="39"/>
      <x:c r="M312" s="39"/>
      <x:c r="N312" s="39"/>
      <x:c r="O312" s="42"/>
      <x:c r="P312" s="39"/>
      <x:c r="Q312" s="42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39"/>
      <x:c r="E313" s="39"/>
      <x:c r="F313" s="41"/>
      <x:c r="G313" s="41"/>
      <x:c r="H313" s="39"/>
      <x:c r="I313" s="35" t="str">
        <x:f>IF(A313="","",SUMIFS('CHI_TIẾT_BÁO_GIÁ'!$N$2:$N$500,'CHI_TIẾT_BÁO_GIÁ'!$B$2:$B$500,A313))</x:f>
      </x:c>
      <x:c r="J313" s="36" t="str">
        <x:f>IF(A313="","",IF(AND(H313="ĐÃ GỬI",G313&lt;TODAY()),"HẾT HẠN",""))</x:f>
      </x:c>
      <x:c r="K313" s="39"/>
      <x:c r="L313" s="39"/>
      <x:c r="M313" s="39"/>
      <x:c r="N313" s="39"/>
      <x:c r="O313" s="42"/>
      <x:c r="P313" s="39"/>
      <x:c r="Q313" s="42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39"/>
      <x:c r="E314" s="39"/>
      <x:c r="F314" s="41"/>
      <x:c r="G314" s="41"/>
      <x:c r="H314" s="39"/>
      <x:c r="I314" s="35" t="str">
        <x:f>IF(A314="","",SUMIFS('CHI_TIẾT_BÁO_GIÁ'!$N$2:$N$500,'CHI_TIẾT_BÁO_GIÁ'!$B$2:$B$500,A314))</x:f>
      </x:c>
      <x:c r="J314" s="36" t="str">
        <x:f>IF(A314="","",IF(AND(H314="ĐÃ GỬI",G314&lt;TODAY()),"HẾT HẠN",""))</x:f>
      </x:c>
      <x:c r="K314" s="39"/>
      <x:c r="L314" s="39"/>
      <x:c r="M314" s="39"/>
      <x:c r="N314" s="39"/>
      <x:c r="O314" s="42"/>
      <x:c r="P314" s="39"/>
      <x:c r="Q314" s="42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39"/>
      <x:c r="E315" s="39"/>
      <x:c r="F315" s="41"/>
      <x:c r="G315" s="41"/>
      <x:c r="H315" s="39"/>
      <x:c r="I315" s="35" t="str">
        <x:f>IF(A315="","",SUMIFS('CHI_TIẾT_BÁO_GIÁ'!$N$2:$N$500,'CHI_TIẾT_BÁO_GIÁ'!$B$2:$B$500,A315))</x:f>
      </x:c>
      <x:c r="J315" s="36" t="str">
        <x:f>IF(A315="","",IF(AND(H315="ĐÃ GỬI",G315&lt;TODAY()),"HẾT HẠN",""))</x:f>
      </x:c>
      <x:c r="K315" s="39"/>
      <x:c r="L315" s="39"/>
      <x:c r="M315" s="39"/>
      <x:c r="N315" s="39"/>
      <x:c r="O315" s="42"/>
      <x:c r="P315" s="39"/>
      <x:c r="Q315" s="42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39"/>
      <x:c r="E316" s="39"/>
      <x:c r="F316" s="41"/>
      <x:c r="G316" s="41"/>
      <x:c r="H316" s="39"/>
      <x:c r="I316" s="35" t="str">
        <x:f>IF(A316="","",SUMIFS('CHI_TIẾT_BÁO_GIÁ'!$N$2:$N$500,'CHI_TIẾT_BÁO_GIÁ'!$B$2:$B$500,A316))</x:f>
      </x:c>
      <x:c r="J316" s="36" t="str">
        <x:f>IF(A316="","",IF(AND(H316="ĐÃ GỬI",G316&lt;TODAY()),"HẾT HẠN",""))</x:f>
      </x:c>
      <x:c r="K316" s="39"/>
      <x:c r="L316" s="39"/>
      <x:c r="M316" s="39"/>
      <x:c r="N316" s="39"/>
      <x:c r="O316" s="42"/>
      <x:c r="P316" s="39"/>
      <x:c r="Q316" s="42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39"/>
      <x:c r="E317" s="39"/>
      <x:c r="F317" s="41"/>
      <x:c r="G317" s="41"/>
      <x:c r="H317" s="39"/>
      <x:c r="I317" s="35" t="str">
        <x:f>IF(A317="","",SUMIFS('CHI_TIẾT_BÁO_GIÁ'!$N$2:$N$500,'CHI_TIẾT_BÁO_GIÁ'!$B$2:$B$500,A317))</x:f>
      </x:c>
      <x:c r="J317" s="36" t="str">
        <x:f>IF(A317="","",IF(AND(H317="ĐÃ GỬI",G317&lt;TODAY()),"HẾT HẠN",""))</x:f>
      </x:c>
      <x:c r="K317" s="39"/>
      <x:c r="L317" s="39"/>
      <x:c r="M317" s="39"/>
      <x:c r="N317" s="39"/>
      <x:c r="O317" s="42"/>
      <x:c r="P317" s="39"/>
      <x:c r="Q317" s="42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39"/>
      <x:c r="E318" s="39"/>
      <x:c r="F318" s="41"/>
      <x:c r="G318" s="41"/>
      <x:c r="H318" s="39"/>
      <x:c r="I318" s="35" t="str">
        <x:f>IF(A318="","",SUMIFS('CHI_TIẾT_BÁO_GIÁ'!$N$2:$N$500,'CHI_TIẾT_BÁO_GIÁ'!$B$2:$B$500,A318))</x:f>
      </x:c>
      <x:c r="J318" s="36" t="str">
        <x:f>IF(A318="","",IF(AND(H318="ĐÃ GỬI",G318&lt;TODAY()),"HẾT HẠN",""))</x:f>
      </x:c>
      <x:c r="K318" s="39"/>
      <x:c r="L318" s="39"/>
      <x:c r="M318" s="39"/>
      <x:c r="N318" s="39"/>
      <x:c r="O318" s="42"/>
      <x:c r="P318" s="39"/>
      <x:c r="Q318" s="42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39"/>
      <x:c r="E319" s="39"/>
      <x:c r="F319" s="41"/>
      <x:c r="G319" s="41"/>
      <x:c r="H319" s="39"/>
      <x:c r="I319" s="35" t="str">
        <x:f>IF(A319="","",SUMIFS('CHI_TIẾT_BÁO_GIÁ'!$N$2:$N$500,'CHI_TIẾT_BÁO_GIÁ'!$B$2:$B$500,A319))</x:f>
      </x:c>
      <x:c r="J319" s="36" t="str">
        <x:f>IF(A319="","",IF(AND(H319="ĐÃ GỬI",G319&lt;TODAY()),"HẾT HẠN",""))</x:f>
      </x:c>
      <x:c r="K319" s="39"/>
      <x:c r="L319" s="39"/>
      <x:c r="M319" s="39"/>
      <x:c r="N319" s="39"/>
      <x:c r="O319" s="42"/>
      <x:c r="P319" s="39"/>
      <x:c r="Q319" s="42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39"/>
      <x:c r="E320" s="39"/>
      <x:c r="F320" s="41"/>
      <x:c r="G320" s="41"/>
      <x:c r="H320" s="39"/>
      <x:c r="I320" s="35" t="str">
        <x:f>IF(A320="","",SUMIFS('CHI_TIẾT_BÁO_GIÁ'!$N$2:$N$500,'CHI_TIẾT_BÁO_GIÁ'!$B$2:$B$500,A320))</x:f>
      </x:c>
      <x:c r="J320" s="36" t="str">
        <x:f>IF(A320="","",IF(AND(H320="ĐÃ GỬI",G320&lt;TODAY()),"HẾT HẠN",""))</x:f>
      </x:c>
      <x:c r="K320" s="39"/>
      <x:c r="L320" s="39"/>
      <x:c r="M320" s="39"/>
      <x:c r="N320" s="39"/>
      <x:c r="O320" s="42"/>
      <x:c r="P320" s="39"/>
      <x:c r="Q320" s="42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39"/>
      <x:c r="E321" s="39"/>
      <x:c r="F321" s="41"/>
      <x:c r="G321" s="41"/>
      <x:c r="H321" s="39"/>
      <x:c r="I321" s="35" t="str">
        <x:f>IF(A321="","",SUMIFS('CHI_TIẾT_BÁO_GIÁ'!$N$2:$N$500,'CHI_TIẾT_BÁO_GIÁ'!$B$2:$B$500,A321))</x:f>
      </x:c>
      <x:c r="J321" s="36" t="str">
        <x:f>IF(A321="","",IF(AND(H321="ĐÃ GỬI",G321&lt;TODAY()),"HẾT HẠN",""))</x:f>
      </x:c>
      <x:c r="K321" s="39"/>
      <x:c r="L321" s="39"/>
      <x:c r="M321" s="39"/>
      <x:c r="N321" s="39"/>
      <x:c r="O321" s="42"/>
      <x:c r="P321" s="39"/>
      <x:c r="Q321" s="42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39"/>
      <x:c r="E322" s="39"/>
      <x:c r="F322" s="41"/>
      <x:c r="G322" s="41"/>
      <x:c r="H322" s="39"/>
      <x:c r="I322" s="35" t="str">
        <x:f>IF(A322="","",SUMIFS('CHI_TIẾT_BÁO_GIÁ'!$N$2:$N$500,'CHI_TIẾT_BÁO_GIÁ'!$B$2:$B$500,A322))</x:f>
      </x:c>
      <x:c r="J322" s="36" t="str">
        <x:f>IF(A322="","",IF(AND(H322="ĐÃ GỬI",G322&lt;TODAY()),"HẾT HẠN",""))</x:f>
      </x:c>
      <x:c r="K322" s="39"/>
      <x:c r="L322" s="39"/>
      <x:c r="M322" s="39"/>
      <x:c r="N322" s="39"/>
      <x:c r="O322" s="42"/>
      <x:c r="P322" s="39"/>
      <x:c r="Q322" s="42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39"/>
      <x:c r="E323" s="39"/>
      <x:c r="F323" s="41"/>
      <x:c r="G323" s="41"/>
      <x:c r="H323" s="39"/>
      <x:c r="I323" s="35" t="str">
        <x:f>IF(A323="","",SUMIFS('CHI_TIẾT_BÁO_GIÁ'!$N$2:$N$500,'CHI_TIẾT_BÁO_GIÁ'!$B$2:$B$500,A323))</x:f>
      </x:c>
      <x:c r="J323" s="36" t="str">
        <x:f>IF(A323="","",IF(AND(H323="ĐÃ GỬI",G323&lt;TODAY()),"HẾT HẠN",""))</x:f>
      </x:c>
      <x:c r="K323" s="39"/>
      <x:c r="L323" s="39"/>
      <x:c r="M323" s="39"/>
      <x:c r="N323" s="39"/>
      <x:c r="O323" s="42"/>
      <x:c r="P323" s="39"/>
      <x:c r="Q323" s="42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39"/>
      <x:c r="E324" s="39"/>
      <x:c r="F324" s="41"/>
      <x:c r="G324" s="41"/>
      <x:c r="H324" s="39"/>
      <x:c r="I324" s="35" t="str">
        <x:f>IF(A324="","",SUMIFS('CHI_TIẾT_BÁO_GIÁ'!$N$2:$N$500,'CHI_TIẾT_BÁO_GIÁ'!$B$2:$B$500,A324))</x:f>
      </x:c>
      <x:c r="J324" s="36" t="str">
        <x:f>IF(A324="","",IF(AND(H324="ĐÃ GỬI",G324&lt;TODAY()),"HẾT HẠN",""))</x:f>
      </x:c>
      <x:c r="K324" s="39"/>
      <x:c r="L324" s="39"/>
      <x:c r="M324" s="39"/>
      <x:c r="N324" s="39"/>
      <x:c r="O324" s="42"/>
      <x:c r="P324" s="39"/>
      <x:c r="Q324" s="42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39"/>
      <x:c r="E325" s="39"/>
      <x:c r="F325" s="41"/>
      <x:c r="G325" s="41"/>
      <x:c r="H325" s="39"/>
      <x:c r="I325" s="35" t="str">
        <x:f>IF(A325="","",SUMIFS('CHI_TIẾT_BÁO_GIÁ'!$N$2:$N$500,'CHI_TIẾT_BÁO_GIÁ'!$B$2:$B$500,A325))</x:f>
      </x:c>
      <x:c r="J325" s="36" t="str">
        <x:f>IF(A325="","",IF(AND(H325="ĐÃ GỬI",G325&lt;TODAY()),"HẾT HẠN",""))</x:f>
      </x:c>
      <x:c r="K325" s="39"/>
      <x:c r="L325" s="39"/>
      <x:c r="M325" s="39"/>
      <x:c r="N325" s="39"/>
      <x:c r="O325" s="42"/>
      <x:c r="P325" s="39"/>
      <x:c r="Q325" s="42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39"/>
      <x:c r="E326" s="39"/>
      <x:c r="F326" s="41"/>
      <x:c r="G326" s="41"/>
      <x:c r="H326" s="39"/>
      <x:c r="I326" s="35" t="str">
        <x:f>IF(A326="","",SUMIFS('CHI_TIẾT_BÁO_GIÁ'!$N$2:$N$500,'CHI_TIẾT_BÁO_GIÁ'!$B$2:$B$500,A326))</x:f>
      </x:c>
      <x:c r="J326" s="36" t="str">
        <x:f>IF(A326="","",IF(AND(H326="ĐÃ GỬI",G326&lt;TODAY()),"HẾT HẠN",""))</x:f>
      </x:c>
      <x:c r="K326" s="39"/>
      <x:c r="L326" s="39"/>
      <x:c r="M326" s="39"/>
      <x:c r="N326" s="39"/>
      <x:c r="O326" s="42"/>
      <x:c r="P326" s="39"/>
      <x:c r="Q326" s="42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39"/>
      <x:c r="E327" s="39"/>
      <x:c r="F327" s="41"/>
      <x:c r="G327" s="41"/>
      <x:c r="H327" s="39"/>
      <x:c r="I327" s="35" t="str">
        <x:f>IF(A327="","",SUMIFS('CHI_TIẾT_BÁO_GIÁ'!$N$2:$N$500,'CHI_TIẾT_BÁO_GIÁ'!$B$2:$B$500,A327))</x:f>
      </x:c>
      <x:c r="J327" s="36" t="str">
        <x:f>IF(A327="","",IF(AND(H327="ĐÃ GỬI",G327&lt;TODAY()),"HẾT HẠN",""))</x:f>
      </x:c>
      <x:c r="K327" s="39"/>
      <x:c r="L327" s="39"/>
      <x:c r="M327" s="39"/>
      <x:c r="N327" s="39"/>
      <x:c r="O327" s="42"/>
      <x:c r="P327" s="39"/>
      <x:c r="Q327" s="42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39"/>
      <x:c r="E328" s="39"/>
      <x:c r="F328" s="41"/>
      <x:c r="G328" s="41"/>
      <x:c r="H328" s="39"/>
      <x:c r="I328" s="35" t="str">
        <x:f>IF(A328="","",SUMIFS('CHI_TIẾT_BÁO_GIÁ'!$N$2:$N$500,'CHI_TIẾT_BÁO_GIÁ'!$B$2:$B$500,A328))</x:f>
      </x:c>
      <x:c r="J328" s="36" t="str">
        <x:f>IF(A328="","",IF(AND(H328="ĐÃ GỬI",G328&lt;TODAY()),"HẾT HẠN",""))</x:f>
      </x:c>
      <x:c r="K328" s="39"/>
      <x:c r="L328" s="39"/>
      <x:c r="M328" s="39"/>
      <x:c r="N328" s="39"/>
      <x:c r="O328" s="42"/>
      <x:c r="P328" s="39"/>
      <x:c r="Q328" s="42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39"/>
      <x:c r="E329" s="39"/>
      <x:c r="F329" s="41"/>
      <x:c r="G329" s="41"/>
      <x:c r="H329" s="39"/>
      <x:c r="I329" s="35" t="str">
        <x:f>IF(A329="","",SUMIFS('CHI_TIẾT_BÁO_GIÁ'!$N$2:$N$500,'CHI_TIẾT_BÁO_GIÁ'!$B$2:$B$500,A329))</x:f>
      </x:c>
      <x:c r="J329" s="36" t="str">
        <x:f>IF(A329="","",IF(AND(H329="ĐÃ GỬI",G329&lt;TODAY()),"HẾT HẠN",""))</x:f>
      </x:c>
      <x:c r="K329" s="39"/>
      <x:c r="L329" s="39"/>
      <x:c r="M329" s="39"/>
      <x:c r="N329" s="39"/>
      <x:c r="O329" s="42"/>
      <x:c r="P329" s="39"/>
      <x:c r="Q329" s="42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39"/>
      <x:c r="E330" s="39"/>
      <x:c r="F330" s="41"/>
      <x:c r="G330" s="41"/>
      <x:c r="H330" s="39"/>
      <x:c r="I330" s="35" t="str">
        <x:f>IF(A330="","",SUMIFS('CHI_TIẾT_BÁO_GIÁ'!$N$2:$N$500,'CHI_TIẾT_BÁO_GIÁ'!$B$2:$B$500,A330))</x:f>
      </x:c>
      <x:c r="J330" s="36" t="str">
        <x:f>IF(A330="","",IF(AND(H330="ĐÃ GỬI",G330&lt;TODAY()),"HẾT HẠN",""))</x:f>
      </x:c>
      <x:c r="K330" s="39"/>
      <x:c r="L330" s="39"/>
      <x:c r="M330" s="39"/>
      <x:c r="N330" s="39"/>
      <x:c r="O330" s="42"/>
      <x:c r="P330" s="39"/>
      <x:c r="Q330" s="42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39"/>
      <x:c r="E331" s="39"/>
      <x:c r="F331" s="41"/>
      <x:c r="G331" s="41"/>
      <x:c r="H331" s="39"/>
      <x:c r="I331" s="35" t="str">
        <x:f>IF(A331="","",SUMIFS('CHI_TIẾT_BÁO_GIÁ'!$N$2:$N$500,'CHI_TIẾT_BÁO_GIÁ'!$B$2:$B$500,A331))</x:f>
      </x:c>
      <x:c r="J331" s="36" t="str">
        <x:f>IF(A331="","",IF(AND(H331="ĐÃ GỬI",G331&lt;TODAY()),"HẾT HẠN",""))</x:f>
      </x:c>
      <x:c r="K331" s="39"/>
      <x:c r="L331" s="39"/>
      <x:c r="M331" s="39"/>
      <x:c r="N331" s="39"/>
      <x:c r="O331" s="42"/>
      <x:c r="P331" s="39"/>
      <x:c r="Q331" s="42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39"/>
      <x:c r="E332" s="39"/>
      <x:c r="F332" s="41"/>
      <x:c r="G332" s="41"/>
      <x:c r="H332" s="39"/>
      <x:c r="I332" s="35" t="str">
        <x:f>IF(A332="","",SUMIFS('CHI_TIẾT_BÁO_GIÁ'!$N$2:$N$500,'CHI_TIẾT_BÁO_GIÁ'!$B$2:$B$500,A332))</x:f>
      </x:c>
      <x:c r="J332" s="36" t="str">
        <x:f>IF(A332="","",IF(AND(H332="ĐÃ GỬI",G332&lt;TODAY()),"HẾT HẠN",""))</x:f>
      </x:c>
      <x:c r="K332" s="39"/>
      <x:c r="L332" s="39"/>
      <x:c r="M332" s="39"/>
      <x:c r="N332" s="39"/>
      <x:c r="O332" s="42"/>
      <x:c r="P332" s="39"/>
      <x:c r="Q332" s="42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39"/>
      <x:c r="E333" s="39"/>
      <x:c r="F333" s="41"/>
      <x:c r="G333" s="41"/>
      <x:c r="H333" s="39"/>
      <x:c r="I333" s="35" t="str">
        <x:f>IF(A333="","",SUMIFS('CHI_TIẾT_BÁO_GIÁ'!$N$2:$N$500,'CHI_TIẾT_BÁO_GIÁ'!$B$2:$B$500,A333))</x:f>
      </x:c>
      <x:c r="J333" s="36" t="str">
        <x:f>IF(A333="","",IF(AND(H333="ĐÃ GỬI",G333&lt;TODAY()),"HẾT HẠN",""))</x:f>
      </x:c>
      <x:c r="K333" s="39"/>
      <x:c r="L333" s="39"/>
      <x:c r="M333" s="39"/>
      <x:c r="N333" s="39"/>
      <x:c r="O333" s="42"/>
      <x:c r="P333" s="39"/>
      <x:c r="Q333" s="42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39"/>
      <x:c r="E334" s="39"/>
      <x:c r="F334" s="41"/>
      <x:c r="G334" s="41"/>
      <x:c r="H334" s="39"/>
      <x:c r="I334" s="35" t="str">
        <x:f>IF(A334="","",SUMIFS('CHI_TIẾT_BÁO_GIÁ'!$N$2:$N$500,'CHI_TIẾT_BÁO_GIÁ'!$B$2:$B$500,A334))</x:f>
      </x:c>
      <x:c r="J334" s="36" t="str">
        <x:f>IF(A334="","",IF(AND(H334="ĐÃ GỬI",G334&lt;TODAY()),"HẾT HẠN",""))</x:f>
      </x:c>
      <x:c r="K334" s="39"/>
      <x:c r="L334" s="39"/>
      <x:c r="M334" s="39"/>
      <x:c r="N334" s="39"/>
      <x:c r="O334" s="42"/>
      <x:c r="P334" s="39"/>
      <x:c r="Q334" s="42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39"/>
      <x:c r="E335" s="39"/>
      <x:c r="F335" s="41"/>
      <x:c r="G335" s="41"/>
      <x:c r="H335" s="39"/>
      <x:c r="I335" s="35" t="str">
        <x:f>IF(A335="","",SUMIFS('CHI_TIẾT_BÁO_GIÁ'!$N$2:$N$500,'CHI_TIẾT_BÁO_GIÁ'!$B$2:$B$500,A335))</x:f>
      </x:c>
      <x:c r="J335" s="36" t="str">
        <x:f>IF(A335="","",IF(AND(H335="ĐÃ GỬI",G335&lt;TODAY()),"HẾT HẠN",""))</x:f>
      </x:c>
      <x:c r="K335" s="39"/>
      <x:c r="L335" s="39"/>
      <x:c r="M335" s="39"/>
      <x:c r="N335" s="39"/>
      <x:c r="O335" s="42"/>
      <x:c r="P335" s="39"/>
      <x:c r="Q335" s="42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39"/>
      <x:c r="E336" s="39"/>
      <x:c r="F336" s="41"/>
      <x:c r="G336" s="41"/>
      <x:c r="H336" s="39"/>
      <x:c r="I336" s="35" t="str">
        <x:f>IF(A336="","",SUMIFS('CHI_TIẾT_BÁO_GIÁ'!$N$2:$N$500,'CHI_TIẾT_BÁO_GIÁ'!$B$2:$B$500,A336))</x:f>
      </x:c>
      <x:c r="J336" s="36" t="str">
        <x:f>IF(A336="","",IF(AND(H336="ĐÃ GỬI",G336&lt;TODAY()),"HẾT HẠN",""))</x:f>
      </x:c>
      <x:c r="K336" s="39"/>
      <x:c r="L336" s="39"/>
      <x:c r="M336" s="39"/>
      <x:c r="N336" s="39"/>
      <x:c r="O336" s="42"/>
      <x:c r="P336" s="39"/>
      <x:c r="Q336" s="42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39"/>
      <x:c r="E337" s="39"/>
      <x:c r="F337" s="41"/>
      <x:c r="G337" s="41"/>
      <x:c r="H337" s="39"/>
      <x:c r="I337" s="35" t="str">
        <x:f>IF(A337="","",SUMIFS('CHI_TIẾT_BÁO_GIÁ'!$N$2:$N$500,'CHI_TIẾT_BÁO_GIÁ'!$B$2:$B$500,A337))</x:f>
      </x:c>
      <x:c r="J337" s="36" t="str">
        <x:f>IF(A337="","",IF(AND(H337="ĐÃ GỬI",G337&lt;TODAY()),"HẾT HẠN",""))</x:f>
      </x:c>
      <x:c r="K337" s="39"/>
      <x:c r="L337" s="39"/>
      <x:c r="M337" s="39"/>
      <x:c r="N337" s="39"/>
      <x:c r="O337" s="42"/>
      <x:c r="P337" s="39"/>
      <x:c r="Q337" s="42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39"/>
      <x:c r="E338" s="39"/>
      <x:c r="F338" s="41"/>
      <x:c r="G338" s="41"/>
      <x:c r="H338" s="39"/>
      <x:c r="I338" s="35" t="str">
        <x:f>IF(A338="","",SUMIFS('CHI_TIẾT_BÁO_GIÁ'!$N$2:$N$500,'CHI_TIẾT_BÁO_GIÁ'!$B$2:$B$500,A338))</x:f>
      </x:c>
      <x:c r="J338" s="36" t="str">
        <x:f>IF(A338="","",IF(AND(H338="ĐÃ GỬI",G338&lt;TODAY()),"HẾT HẠN",""))</x:f>
      </x:c>
      <x:c r="K338" s="39"/>
      <x:c r="L338" s="39"/>
      <x:c r="M338" s="39"/>
      <x:c r="N338" s="39"/>
      <x:c r="O338" s="42"/>
      <x:c r="P338" s="39"/>
      <x:c r="Q338" s="42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39"/>
      <x:c r="E339" s="39"/>
      <x:c r="F339" s="41"/>
      <x:c r="G339" s="41"/>
      <x:c r="H339" s="39"/>
      <x:c r="I339" s="35" t="str">
        <x:f>IF(A339="","",SUMIFS('CHI_TIẾT_BÁO_GIÁ'!$N$2:$N$500,'CHI_TIẾT_BÁO_GIÁ'!$B$2:$B$500,A339))</x:f>
      </x:c>
      <x:c r="J339" s="36" t="str">
        <x:f>IF(A339="","",IF(AND(H339="ĐÃ GỬI",G339&lt;TODAY()),"HẾT HẠN",""))</x:f>
      </x:c>
      <x:c r="K339" s="39"/>
      <x:c r="L339" s="39"/>
      <x:c r="M339" s="39"/>
      <x:c r="N339" s="39"/>
      <x:c r="O339" s="42"/>
      <x:c r="P339" s="39"/>
      <x:c r="Q339" s="42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39"/>
      <x:c r="E340" s="39"/>
      <x:c r="F340" s="41"/>
      <x:c r="G340" s="41"/>
      <x:c r="H340" s="39"/>
      <x:c r="I340" s="35" t="str">
        <x:f>IF(A340="","",SUMIFS('CHI_TIẾT_BÁO_GIÁ'!$N$2:$N$500,'CHI_TIẾT_BÁO_GIÁ'!$B$2:$B$500,A340))</x:f>
      </x:c>
      <x:c r="J340" s="36" t="str">
        <x:f>IF(A340="","",IF(AND(H340="ĐÃ GỬI",G340&lt;TODAY()),"HẾT HẠN",""))</x:f>
      </x:c>
      <x:c r="K340" s="39"/>
      <x:c r="L340" s="39"/>
      <x:c r="M340" s="39"/>
      <x:c r="N340" s="39"/>
      <x:c r="O340" s="42"/>
      <x:c r="P340" s="39"/>
      <x:c r="Q340" s="42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39"/>
      <x:c r="E341" s="39"/>
      <x:c r="F341" s="41"/>
      <x:c r="G341" s="41"/>
      <x:c r="H341" s="39"/>
      <x:c r="I341" s="35" t="str">
        <x:f>IF(A341="","",SUMIFS('CHI_TIẾT_BÁO_GIÁ'!$N$2:$N$500,'CHI_TIẾT_BÁO_GIÁ'!$B$2:$B$500,A341))</x:f>
      </x:c>
      <x:c r="J341" s="36" t="str">
        <x:f>IF(A341="","",IF(AND(H341="ĐÃ GỬI",G341&lt;TODAY()),"HẾT HẠN",""))</x:f>
      </x:c>
      <x:c r="K341" s="39"/>
      <x:c r="L341" s="39"/>
      <x:c r="M341" s="39"/>
      <x:c r="N341" s="39"/>
      <x:c r="O341" s="42"/>
      <x:c r="P341" s="39"/>
      <x:c r="Q341" s="42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39"/>
      <x:c r="E342" s="39"/>
      <x:c r="F342" s="41"/>
      <x:c r="G342" s="41"/>
      <x:c r="H342" s="39"/>
      <x:c r="I342" s="35" t="str">
        <x:f>IF(A342="","",SUMIFS('CHI_TIẾT_BÁO_GIÁ'!$N$2:$N$500,'CHI_TIẾT_BÁO_GIÁ'!$B$2:$B$500,A342))</x:f>
      </x:c>
      <x:c r="J342" s="36" t="str">
        <x:f>IF(A342="","",IF(AND(H342="ĐÃ GỬI",G342&lt;TODAY()),"HẾT HẠN",""))</x:f>
      </x:c>
      <x:c r="K342" s="39"/>
      <x:c r="L342" s="39"/>
      <x:c r="M342" s="39"/>
      <x:c r="N342" s="39"/>
      <x:c r="O342" s="42"/>
      <x:c r="P342" s="39"/>
      <x:c r="Q342" s="42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39"/>
      <x:c r="E343" s="39"/>
      <x:c r="F343" s="41"/>
      <x:c r="G343" s="41"/>
      <x:c r="H343" s="39"/>
      <x:c r="I343" s="35" t="str">
        <x:f>IF(A343="","",SUMIFS('CHI_TIẾT_BÁO_GIÁ'!$N$2:$N$500,'CHI_TIẾT_BÁO_GIÁ'!$B$2:$B$500,A343))</x:f>
      </x:c>
      <x:c r="J343" s="36" t="str">
        <x:f>IF(A343="","",IF(AND(H343="ĐÃ GỬI",G343&lt;TODAY()),"HẾT HẠN",""))</x:f>
      </x:c>
      <x:c r="K343" s="39"/>
      <x:c r="L343" s="39"/>
      <x:c r="M343" s="39"/>
      <x:c r="N343" s="39"/>
      <x:c r="O343" s="42"/>
      <x:c r="P343" s="39"/>
      <x:c r="Q343" s="42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39"/>
      <x:c r="E344" s="39"/>
      <x:c r="F344" s="41"/>
      <x:c r="G344" s="41"/>
      <x:c r="H344" s="39"/>
      <x:c r="I344" s="35" t="str">
        <x:f>IF(A344="","",SUMIFS('CHI_TIẾT_BÁO_GIÁ'!$N$2:$N$500,'CHI_TIẾT_BÁO_GIÁ'!$B$2:$B$500,A344))</x:f>
      </x:c>
      <x:c r="J344" s="36" t="str">
        <x:f>IF(A344="","",IF(AND(H344="ĐÃ GỬI",G344&lt;TODAY()),"HẾT HẠN",""))</x:f>
      </x:c>
      <x:c r="K344" s="39"/>
      <x:c r="L344" s="39"/>
      <x:c r="M344" s="39"/>
      <x:c r="N344" s="39"/>
      <x:c r="O344" s="42"/>
      <x:c r="P344" s="39"/>
      <x:c r="Q344" s="42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39"/>
      <x:c r="E345" s="39"/>
      <x:c r="F345" s="41"/>
      <x:c r="G345" s="41"/>
      <x:c r="H345" s="39"/>
      <x:c r="I345" s="35" t="str">
        <x:f>IF(A345="","",SUMIFS('CHI_TIẾT_BÁO_GIÁ'!$N$2:$N$500,'CHI_TIẾT_BÁO_GIÁ'!$B$2:$B$500,A345))</x:f>
      </x:c>
      <x:c r="J345" s="36" t="str">
        <x:f>IF(A345="","",IF(AND(H345="ĐÃ GỬI",G345&lt;TODAY()),"HẾT HẠN",""))</x:f>
      </x:c>
      <x:c r="K345" s="39"/>
      <x:c r="L345" s="39"/>
      <x:c r="M345" s="39"/>
      <x:c r="N345" s="39"/>
      <x:c r="O345" s="42"/>
      <x:c r="P345" s="39"/>
      <x:c r="Q345" s="42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39"/>
      <x:c r="E346" s="39"/>
      <x:c r="F346" s="41"/>
      <x:c r="G346" s="41"/>
      <x:c r="H346" s="39"/>
      <x:c r="I346" s="35" t="str">
        <x:f>IF(A346="","",SUMIFS('CHI_TIẾT_BÁO_GIÁ'!$N$2:$N$500,'CHI_TIẾT_BÁO_GIÁ'!$B$2:$B$500,A346))</x:f>
      </x:c>
      <x:c r="J346" s="36" t="str">
        <x:f>IF(A346="","",IF(AND(H346="ĐÃ GỬI",G346&lt;TODAY()),"HẾT HẠN",""))</x:f>
      </x:c>
      <x:c r="K346" s="39"/>
      <x:c r="L346" s="39"/>
      <x:c r="M346" s="39"/>
      <x:c r="N346" s="39"/>
      <x:c r="O346" s="42"/>
      <x:c r="P346" s="39"/>
      <x:c r="Q346" s="42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39"/>
      <x:c r="E347" s="39"/>
      <x:c r="F347" s="41"/>
      <x:c r="G347" s="41"/>
      <x:c r="H347" s="39"/>
      <x:c r="I347" s="35" t="str">
        <x:f>IF(A347="","",SUMIFS('CHI_TIẾT_BÁO_GIÁ'!$N$2:$N$500,'CHI_TIẾT_BÁO_GIÁ'!$B$2:$B$500,A347))</x:f>
      </x:c>
      <x:c r="J347" s="36" t="str">
        <x:f>IF(A347="","",IF(AND(H347="ĐÃ GỬI",G347&lt;TODAY()),"HẾT HẠN",""))</x:f>
      </x:c>
      <x:c r="K347" s="39"/>
      <x:c r="L347" s="39"/>
      <x:c r="M347" s="39"/>
      <x:c r="N347" s="39"/>
      <x:c r="O347" s="42"/>
      <x:c r="P347" s="39"/>
      <x:c r="Q347" s="42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39"/>
      <x:c r="E348" s="39"/>
      <x:c r="F348" s="41"/>
      <x:c r="G348" s="41"/>
      <x:c r="H348" s="39"/>
      <x:c r="I348" s="35" t="str">
        <x:f>IF(A348="","",SUMIFS('CHI_TIẾT_BÁO_GIÁ'!$N$2:$N$500,'CHI_TIẾT_BÁO_GIÁ'!$B$2:$B$500,A348))</x:f>
      </x:c>
      <x:c r="J348" s="36" t="str">
        <x:f>IF(A348="","",IF(AND(H348="ĐÃ GỬI",G348&lt;TODAY()),"HẾT HẠN",""))</x:f>
      </x:c>
      <x:c r="K348" s="39"/>
      <x:c r="L348" s="39"/>
      <x:c r="M348" s="39"/>
      <x:c r="N348" s="39"/>
      <x:c r="O348" s="42"/>
      <x:c r="P348" s="39"/>
      <x:c r="Q348" s="42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39"/>
      <x:c r="E349" s="39"/>
      <x:c r="F349" s="41"/>
      <x:c r="G349" s="41"/>
      <x:c r="H349" s="39"/>
      <x:c r="I349" s="35" t="str">
        <x:f>IF(A349="","",SUMIFS('CHI_TIẾT_BÁO_GIÁ'!$N$2:$N$500,'CHI_TIẾT_BÁO_GIÁ'!$B$2:$B$500,A349))</x:f>
      </x:c>
      <x:c r="J349" s="36" t="str">
        <x:f>IF(A349="","",IF(AND(H349="ĐÃ GỬI",G349&lt;TODAY()),"HẾT HẠN",""))</x:f>
      </x:c>
      <x:c r="K349" s="39"/>
      <x:c r="L349" s="39"/>
      <x:c r="M349" s="39"/>
      <x:c r="N349" s="39"/>
      <x:c r="O349" s="42"/>
      <x:c r="P349" s="39"/>
      <x:c r="Q349" s="42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39"/>
      <x:c r="E350" s="39"/>
      <x:c r="F350" s="41"/>
      <x:c r="G350" s="41"/>
      <x:c r="H350" s="39"/>
      <x:c r="I350" s="35" t="str">
        <x:f>IF(A350="","",SUMIFS('CHI_TIẾT_BÁO_GIÁ'!$N$2:$N$500,'CHI_TIẾT_BÁO_GIÁ'!$B$2:$B$500,A350))</x:f>
      </x:c>
      <x:c r="J350" s="36" t="str">
        <x:f>IF(A350="","",IF(AND(H350="ĐÃ GỬI",G350&lt;TODAY()),"HẾT HẠN",""))</x:f>
      </x:c>
      <x:c r="K350" s="39"/>
      <x:c r="L350" s="39"/>
      <x:c r="M350" s="39"/>
      <x:c r="N350" s="39"/>
      <x:c r="O350" s="42"/>
      <x:c r="P350" s="39"/>
      <x:c r="Q350" s="42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39"/>
      <x:c r="E351" s="39"/>
      <x:c r="F351" s="41"/>
      <x:c r="G351" s="41"/>
      <x:c r="H351" s="39"/>
      <x:c r="I351" s="35" t="str">
        <x:f>IF(A351="","",SUMIFS('CHI_TIẾT_BÁO_GIÁ'!$N$2:$N$500,'CHI_TIẾT_BÁO_GIÁ'!$B$2:$B$500,A351))</x:f>
      </x:c>
      <x:c r="J351" s="36" t="str">
        <x:f>IF(A351="","",IF(AND(H351="ĐÃ GỬI",G351&lt;TODAY()),"HẾT HẠN",""))</x:f>
      </x:c>
      <x:c r="K351" s="39"/>
      <x:c r="L351" s="39"/>
      <x:c r="M351" s="39"/>
      <x:c r="N351" s="39"/>
      <x:c r="O351" s="42"/>
      <x:c r="P351" s="39"/>
      <x:c r="Q351" s="42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39"/>
      <x:c r="E352" s="39"/>
      <x:c r="F352" s="41"/>
      <x:c r="G352" s="41"/>
      <x:c r="H352" s="39"/>
      <x:c r="I352" s="35" t="str">
        <x:f>IF(A352="","",SUMIFS('CHI_TIẾT_BÁO_GIÁ'!$N$2:$N$500,'CHI_TIẾT_BÁO_GIÁ'!$B$2:$B$500,A352))</x:f>
      </x:c>
      <x:c r="J352" s="36" t="str">
        <x:f>IF(A352="","",IF(AND(H352="ĐÃ GỬI",G352&lt;TODAY()),"HẾT HẠN",""))</x:f>
      </x:c>
      <x:c r="K352" s="39"/>
      <x:c r="L352" s="39"/>
      <x:c r="M352" s="39"/>
      <x:c r="N352" s="39"/>
      <x:c r="O352" s="42"/>
      <x:c r="P352" s="39"/>
      <x:c r="Q352" s="42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39"/>
      <x:c r="E353" s="39"/>
      <x:c r="F353" s="41"/>
      <x:c r="G353" s="41"/>
      <x:c r="H353" s="39"/>
      <x:c r="I353" s="35" t="str">
        <x:f>IF(A353="","",SUMIFS('CHI_TIẾT_BÁO_GIÁ'!$N$2:$N$500,'CHI_TIẾT_BÁO_GIÁ'!$B$2:$B$500,A353))</x:f>
      </x:c>
      <x:c r="J353" s="36" t="str">
        <x:f>IF(A353="","",IF(AND(H353="ĐÃ GỬI",G353&lt;TODAY()),"HẾT HẠN",""))</x:f>
      </x:c>
      <x:c r="K353" s="39"/>
      <x:c r="L353" s="39"/>
      <x:c r="M353" s="39"/>
      <x:c r="N353" s="39"/>
      <x:c r="O353" s="42"/>
      <x:c r="P353" s="39"/>
      <x:c r="Q353" s="42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39"/>
      <x:c r="E354" s="39"/>
      <x:c r="F354" s="41"/>
      <x:c r="G354" s="41"/>
      <x:c r="H354" s="39"/>
      <x:c r="I354" s="35" t="str">
        <x:f>IF(A354="","",SUMIFS('CHI_TIẾT_BÁO_GIÁ'!$N$2:$N$500,'CHI_TIẾT_BÁO_GIÁ'!$B$2:$B$500,A354))</x:f>
      </x:c>
      <x:c r="J354" s="36" t="str">
        <x:f>IF(A354="","",IF(AND(H354="ĐÃ GỬI",G354&lt;TODAY()),"HẾT HẠN",""))</x:f>
      </x:c>
      <x:c r="K354" s="39"/>
      <x:c r="L354" s="39"/>
      <x:c r="M354" s="39"/>
      <x:c r="N354" s="39"/>
      <x:c r="O354" s="42"/>
      <x:c r="P354" s="39"/>
      <x:c r="Q354" s="42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39"/>
      <x:c r="E355" s="39"/>
      <x:c r="F355" s="41"/>
      <x:c r="G355" s="41"/>
      <x:c r="H355" s="39"/>
      <x:c r="I355" s="35" t="str">
        <x:f>IF(A355="","",SUMIFS('CHI_TIẾT_BÁO_GIÁ'!$N$2:$N$500,'CHI_TIẾT_BÁO_GIÁ'!$B$2:$B$500,A355))</x:f>
      </x:c>
      <x:c r="J355" s="36" t="str">
        <x:f>IF(A355="","",IF(AND(H355="ĐÃ GỬI",G355&lt;TODAY()),"HẾT HẠN",""))</x:f>
      </x:c>
      <x:c r="K355" s="39"/>
      <x:c r="L355" s="39"/>
      <x:c r="M355" s="39"/>
      <x:c r="N355" s="39"/>
      <x:c r="O355" s="42"/>
      <x:c r="P355" s="39"/>
      <x:c r="Q355" s="42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39"/>
      <x:c r="E356" s="39"/>
      <x:c r="F356" s="41"/>
      <x:c r="G356" s="41"/>
      <x:c r="H356" s="39"/>
      <x:c r="I356" s="35" t="str">
        <x:f>IF(A356="","",SUMIFS('CHI_TIẾT_BÁO_GIÁ'!$N$2:$N$500,'CHI_TIẾT_BÁO_GIÁ'!$B$2:$B$500,A356))</x:f>
      </x:c>
      <x:c r="J356" s="36" t="str">
        <x:f>IF(A356="","",IF(AND(H356="ĐÃ GỬI",G356&lt;TODAY()),"HẾT HẠN",""))</x:f>
      </x:c>
      <x:c r="K356" s="39"/>
      <x:c r="L356" s="39"/>
      <x:c r="M356" s="39"/>
      <x:c r="N356" s="39"/>
      <x:c r="O356" s="42"/>
      <x:c r="P356" s="39"/>
      <x:c r="Q356" s="42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39"/>
      <x:c r="E357" s="39"/>
      <x:c r="F357" s="41"/>
      <x:c r="G357" s="41"/>
      <x:c r="H357" s="39"/>
      <x:c r="I357" s="35" t="str">
        <x:f>IF(A357="","",SUMIFS('CHI_TIẾT_BÁO_GIÁ'!$N$2:$N$500,'CHI_TIẾT_BÁO_GIÁ'!$B$2:$B$500,A357))</x:f>
      </x:c>
      <x:c r="J357" s="36" t="str">
        <x:f>IF(A357="","",IF(AND(H357="ĐÃ GỬI",G357&lt;TODAY()),"HẾT HẠN",""))</x:f>
      </x:c>
      <x:c r="K357" s="39"/>
      <x:c r="L357" s="39"/>
      <x:c r="M357" s="39"/>
      <x:c r="N357" s="39"/>
      <x:c r="O357" s="42"/>
      <x:c r="P357" s="39"/>
      <x:c r="Q357" s="42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39"/>
      <x:c r="E358" s="39"/>
      <x:c r="F358" s="41"/>
      <x:c r="G358" s="41"/>
      <x:c r="H358" s="39"/>
      <x:c r="I358" s="35" t="str">
        <x:f>IF(A358="","",SUMIFS('CHI_TIẾT_BÁO_GIÁ'!$N$2:$N$500,'CHI_TIẾT_BÁO_GIÁ'!$B$2:$B$500,A358))</x:f>
      </x:c>
      <x:c r="J358" s="36" t="str">
        <x:f>IF(A358="","",IF(AND(H358="ĐÃ GỬI",G358&lt;TODAY()),"HẾT HẠN",""))</x:f>
      </x:c>
      <x:c r="K358" s="39"/>
      <x:c r="L358" s="39"/>
      <x:c r="M358" s="39"/>
      <x:c r="N358" s="39"/>
      <x:c r="O358" s="42"/>
      <x:c r="P358" s="39"/>
      <x:c r="Q358" s="42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39"/>
      <x:c r="E359" s="39"/>
      <x:c r="F359" s="41"/>
      <x:c r="G359" s="41"/>
      <x:c r="H359" s="39"/>
      <x:c r="I359" s="35" t="str">
        <x:f>IF(A359="","",SUMIFS('CHI_TIẾT_BÁO_GIÁ'!$N$2:$N$500,'CHI_TIẾT_BÁO_GIÁ'!$B$2:$B$500,A359))</x:f>
      </x:c>
      <x:c r="J359" s="36" t="str">
        <x:f>IF(A359="","",IF(AND(H359="ĐÃ GỬI",G359&lt;TODAY()),"HẾT HẠN",""))</x:f>
      </x:c>
      <x:c r="K359" s="39"/>
      <x:c r="L359" s="39"/>
      <x:c r="M359" s="39"/>
      <x:c r="N359" s="39"/>
      <x:c r="O359" s="42"/>
      <x:c r="P359" s="39"/>
      <x:c r="Q359" s="42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39"/>
      <x:c r="E360" s="39"/>
      <x:c r="F360" s="41"/>
      <x:c r="G360" s="41"/>
      <x:c r="H360" s="39"/>
      <x:c r="I360" s="35" t="str">
        <x:f>IF(A360="","",SUMIFS('CHI_TIẾT_BÁO_GIÁ'!$N$2:$N$500,'CHI_TIẾT_BÁO_GIÁ'!$B$2:$B$500,A360))</x:f>
      </x:c>
      <x:c r="J360" s="36" t="str">
        <x:f>IF(A360="","",IF(AND(H360="ĐÃ GỬI",G360&lt;TODAY()),"HẾT HẠN",""))</x:f>
      </x:c>
      <x:c r="K360" s="39"/>
      <x:c r="L360" s="39"/>
      <x:c r="M360" s="39"/>
      <x:c r="N360" s="39"/>
      <x:c r="O360" s="42"/>
      <x:c r="P360" s="39"/>
      <x:c r="Q360" s="42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39"/>
      <x:c r="E361" s="39"/>
      <x:c r="F361" s="41"/>
      <x:c r="G361" s="41"/>
      <x:c r="H361" s="39"/>
      <x:c r="I361" s="35" t="str">
        <x:f>IF(A361="","",SUMIFS('CHI_TIẾT_BÁO_GIÁ'!$N$2:$N$500,'CHI_TIẾT_BÁO_GIÁ'!$B$2:$B$500,A361))</x:f>
      </x:c>
      <x:c r="J361" s="36" t="str">
        <x:f>IF(A361="","",IF(AND(H361="ĐÃ GỬI",G361&lt;TODAY()),"HẾT HẠN",""))</x:f>
      </x:c>
      <x:c r="K361" s="39"/>
      <x:c r="L361" s="39"/>
      <x:c r="M361" s="39"/>
      <x:c r="N361" s="39"/>
      <x:c r="O361" s="42"/>
      <x:c r="P361" s="39"/>
      <x:c r="Q361" s="42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39"/>
      <x:c r="E362" s="39"/>
      <x:c r="F362" s="41"/>
      <x:c r="G362" s="41"/>
      <x:c r="H362" s="39"/>
      <x:c r="I362" s="35" t="str">
        <x:f>IF(A362="","",SUMIFS('CHI_TIẾT_BÁO_GIÁ'!$N$2:$N$500,'CHI_TIẾT_BÁO_GIÁ'!$B$2:$B$500,A362))</x:f>
      </x:c>
      <x:c r="J362" s="36" t="str">
        <x:f>IF(A362="","",IF(AND(H362="ĐÃ GỬI",G362&lt;TODAY()),"HẾT HẠN",""))</x:f>
      </x:c>
      <x:c r="K362" s="39"/>
      <x:c r="L362" s="39"/>
      <x:c r="M362" s="39"/>
      <x:c r="N362" s="39"/>
      <x:c r="O362" s="42"/>
      <x:c r="P362" s="39"/>
      <x:c r="Q362" s="42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39"/>
      <x:c r="E363" s="39"/>
      <x:c r="F363" s="41"/>
      <x:c r="G363" s="41"/>
      <x:c r="H363" s="39"/>
      <x:c r="I363" s="35" t="str">
        <x:f>IF(A363="","",SUMIFS('CHI_TIẾT_BÁO_GIÁ'!$N$2:$N$500,'CHI_TIẾT_BÁO_GIÁ'!$B$2:$B$500,A363))</x:f>
      </x:c>
      <x:c r="J363" s="36" t="str">
        <x:f>IF(A363="","",IF(AND(H363="ĐÃ GỬI",G363&lt;TODAY()),"HẾT HẠN",""))</x:f>
      </x:c>
      <x:c r="K363" s="39"/>
      <x:c r="L363" s="39"/>
      <x:c r="M363" s="39"/>
      <x:c r="N363" s="39"/>
      <x:c r="O363" s="42"/>
      <x:c r="P363" s="39"/>
      <x:c r="Q363" s="42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39"/>
      <x:c r="E364" s="39"/>
      <x:c r="F364" s="41"/>
      <x:c r="G364" s="41"/>
      <x:c r="H364" s="39"/>
      <x:c r="I364" s="35" t="str">
        <x:f>IF(A364="","",SUMIFS('CHI_TIẾT_BÁO_GIÁ'!$N$2:$N$500,'CHI_TIẾT_BÁO_GIÁ'!$B$2:$B$500,A364))</x:f>
      </x:c>
      <x:c r="J364" s="36" t="str">
        <x:f>IF(A364="","",IF(AND(H364="ĐÃ GỬI",G364&lt;TODAY()),"HẾT HẠN",""))</x:f>
      </x:c>
      <x:c r="K364" s="39"/>
      <x:c r="L364" s="39"/>
      <x:c r="M364" s="39"/>
      <x:c r="N364" s="39"/>
      <x:c r="O364" s="42"/>
      <x:c r="P364" s="39"/>
      <x:c r="Q364" s="42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39"/>
      <x:c r="E365" s="39"/>
      <x:c r="F365" s="41"/>
      <x:c r="G365" s="41"/>
      <x:c r="H365" s="39"/>
      <x:c r="I365" s="35" t="str">
        <x:f>IF(A365="","",SUMIFS('CHI_TIẾT_BÁO_GIÁ'!$N$2:$N$500,'CHI_TIẾT_BÁO_GIÁ'!$B$2:$B$500,A365))</x:f>
      </x:c>
      <x:c r="J365" s="36" t="str">
        <x:f>IF(A365="","",IF(AND(H365="ĐÃ GỬI",G365&lt;TODAY()),"HẾT HẠN",""))</x:f>
      </x:c>
      <x:c r="K365" s="39"/>
      <x:c r="L365" s="39"/>
      <x:c r="M365" s="39"/>
      <x:c r="N365" s="39"/>
      <x:c r="O365" s="42"/>
      <x:c r="P365" s="39"/>
      <x:c r="Q365" s="42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39"/>
      <x:c r="E366" s="39"/>
      <x:c r="F366" s="41"/>
      <x:c r="G366" s="41"/>
      <x:c r="H366" s="39"/>
      <x:c r="I366" s="35" t="str">
        <x:f>IF(A366="","",SUMIFS('CHI_TIẾT_BÁO_GIÁ'!$N$2:$N$500,'CHI_TIẾT_BÁO_GIÁ'!$B$2:$B$500,A366))</x:f>
      </x:c>
      <x:c r="J366" s="36" t="str">
        <x:f>IF(A366="","",IF(AND(H366="ĐÃ GỬI",G366&lt;TODAY()),"HẾT HẠN",""))</x:f>
      </x:c>
      <x:c r="K366" s="39"/>
      <x:c r="L366" s="39"/>
      <x:c r="M366" s="39"/>
      <x:c r="N366" s="39"/>
      <x:c r="O366" s="42"/>
      <x:c r="P366" s="39"/>
      <x:c r="Q366" s="42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39"/>
      <x:c r="E367" s="39"/>
      <x:c r="F367" s="41"/>
      <x:c r="G367" s="41"/>
      <x:c r="H367" s="39"/>
      <x:c r="I367" s="35" t="str">
        <x:f>IF(A367="","",SUMIFS('CHI_TIẾT_BÁO_GIÁ'!$N$2:$N$500,'CHI_TIẾT_BÁO_GIÁ'!$B$2:$B$500,A367))</x:f>
      </x:c>
      <x:c r="J367" s="36" t="str">
        <x:f>IF(A367="","",IF(AND(H367="ĐÃ GỬI",G367&lt;TODAY()),"HẾT HẠN",""))</x:f>
      </x:c>
      <x:c r="K367" s="39"/>
      <x:c r="L367" s="39"/>
      <x:c r="M367" s="39"/>
      <x:c r="N367" s="39"/>
      <x:c r="O367" s="42"/>
      <x:c r="P367" s="39"/>
      <x:c r="Q367" s="42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39"/>
      <x:c r="E368" s="39"/>
      <x:c r="F368" s="41"/>
      <x:c r="G368" s="41"/>
      <x:c r="H368" s="39"/>
      <x:c r="I368" s="35" t="str">
        <x:f>IF(A368="","",SUMIFS('CHI_TIẾT_BÁO_GIÁ'!$N$2:$N$500,'CHI_TIẾT_BÁO_GIÁ'!$B$2:$B$500,A368))</x:f>
      </x:c>
      <x:c r="J368" s="36" t="str">
        <x:f>IF(A368="","",IF(AND(H368="ĐÃ GỬI",G368&lt;TODAY()),"HẾT HẠN",""))</x:f>
      </x:c>
      <x:c r="K368" s="39"/>
      <x:c r="L368" s="39"/>
      <x:c r="M368" s="39"/>
      <x:c r="N368" s="39"/>
      <x:c r="O368" s="42"/>
      <x:c r="P368" s="39"/>
      <x:c r="Q368" s="42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39"/>
      <x:c r="E369" s="39"/>
      <x:c r="F369" s="41"/>
      <x:c r="G369" s="41"/>
      <x:c r="H369" s="39"/>
      <x:c r="I369" s="35" t="str">
        <x:f>IF(A369="","",SUMIFS('CHI_TIẾT_BÁO_GIÁ'!$N$2:$N$500,'CHI_TIẾT_BÁO_GIÁ'!$B$2:$B$500,A369))</x:f>
      </x:c>
      <x:c r="J369" s="36" t="str">
        <x:f>IF(A369="","",IF(AND(H369="ĐÃ GỬI",G369&lt;TODAY()),"HẾT HẠN",""))</x:f>
      </x:c>
      <x:c r="K369" s="39"/>
      <x:c r="L369" s="39"/>
      <x:c r="M369" s="39"/>
      <x:c r="N369" s="39"/>
      <x:c r="O369" s="42"/>
      <x:c r="P369" s="39"/>
      <x:c r="Q369" s="42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39"/>
      <x:c r="E370" s="39"/>
      <x:c r="F370" s="41"/>
      <x:c r="G370" s="41"/>
      <x:c r="H370" s="39"/>
      <x:c r="I370" s="35" t="str">
        <x:f>IF(A370="","",SUMIFS('CHI_TIẾT_BÁO_GIÁ'!$N$2:$N$500,'CHI_TIẾT_BÁO_GIÁ'!$B$2:$B$500,A370))</x:f>
      </x:c>
      <x:c r="J370" s="36" t="str">
        <x:f>IF(A370="","",IF(AND(H370="ĐÃ GỬI",G370&lt;TODAY()),"HẾT HẠN",""))</x:f>
      </x:c>
      <x:c r="K370" s="39"/>
      <x:c r="L370" s="39"/>
      <x:c r="M370" s="39"/>
      <x:c r="N370" s="39"/>
      <x:c r="O370" s="42"/>
      <x:c r="P370" s="39"/>
      <x:c r="Q370" s="42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39"/>
      <x:c r="E371" s="39"/>
      <x:c r="F371" s="41"/>
      <x:c r="G371" s="41"/>
      <x:c r="H371" s="39"/>
      <x:c r="I371" s="35" t="str">
        <x:f>IF(A371="","",SUMIFS('CHI_TIẾT_BÁO_GIÁ'!$N$2:$N$500,'CHI_TIẾT_BÁO_GIÁ'!$B$2:$B$500,A371))</x:f>
      </x:c>
      <x:c r="J371" s="36" t="str">
        <x:f>IF(A371="","",IF(AND(H371="ĐÃ GỬI",G371&lt;TODAY()),"HẾT HẠN",""))</x:f>
      </x:c>
      <x:c r="K371" s="39"/>
      <x:c r="L371" s="39"/>
      <x:c r="M371" s="39"/>
      <x:c r="N371" s="39"/>
      <x:c r="O371" s="42"/>
      <x:c r="P371" s="39"/>
      <x:c r="Q371" s="42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39"/>
      <x:c r="E372" s="39"/>
      <x:c r="F372" s="41"/>
      <x:c r="G372" s="41"/>
      <x:c r="H372" s="39"/>
      <x:c r="I372" s="35" t="str">
        <x:f>IF(A372="","",SUMIFS('CHI_TIẾT_BÁO_GIÁ'!$N$2:$N$500,'CHI_TIẾT_BÁO_GIÁ'!$B$2:$B$500,A372))</x:f>
      </x:c>
      <x:c r="J372" s="36" t="str">
        <x:f>IF(A372="","",IF(AND(H372="ĐÃ GỬI",G372&lt;TODAY()),"HẾT HẠN",""))</x:f>
      </x:c>
      <x:c r="K372" s="39"/>
      <x:c r="L372" s="39"/>
      <x:c r="M372" s="39"/>
      <x:c r="N372" s="39"/>
      <x:c r="O372" s="42"/>
      <x:c r="P372" s="39"/>
      <x:c r="Q372" s="42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39"/>
      <x:c r="E373" s="39"/>
      <x:c r="F373" s="41"/>
      <x:c r="G373" s="41"/>
      <x:c r="H373" s="39"/>
      <x:c r="I373" s="35" t="str">
        <x:f>IF(A373="","",SUMIFS('CHI_TIẾT_BÁO_GIÁ'!$N$2:$N$500,'CHI_TIẾT_BÁO_GIÁ'!$B$2:$B$500,A373))</x:f>
      </x:c>
      <x:c r="J373" s="36" t="str">
        <x:f>IF(A373="","",IF(AND(H373="ĐÃ GỬI",G373&lt;TODAY()),"HẾT HẠN",""))</x:f>
      </x:c>
      <x:c r="K373" s="39"/>
      <x:c r="L373" s="39"/>
      <x:c r="M373" s="39"/>
      <x:c r="N373" s="39"/>
      <x:c r="O373" s="42"/>
      <x:c r="P373" s="39"/>
      <x:c r="Q373" s="42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39"/>
      <x:c r="E374" s="39"/>
      <x:c r="F374" s="41"/>
      <x:c r="G374" s="41"/>
      <x:c r="H374" s="39"/>
      <x:c r="I374" s="35" t="str">
        <x:f>IF(A374="","",SUMIFS('CHI_TIẾT_BÁO_GIÁ'!$N$2:$N$500,'CHI_TIẾT_BÁO_GIÁ'!$B$2:$B$500,A374))</x:f>
      </x:c>
      <x:c r="J374" s="36" t="str">
        <x:f>IF(A374="","",IF(AND(H374="ĐÃ GỬI",G374&lt;TODAY()),"HẾT HẠN",""))</x:f>
      </x:c>
      <x:c r="K374" s="39"/>
      <x:c r="L374" s="39"/>
      <x:c r="M374" s="39"/>
      <x:c r="N374" s="39"/>
      <x:c r="O374" s="42"/>
      <x:c r="P374" s="39"/>
      <x:c r="Q374" s="42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39"/>
      <x:c r="E375" s="39"/>
      <x:c r="F375" s="41"/>
      <x:c r="G375" s="41"/>
      <x:c r="H375" s="39"/>
      <x:c r="I375" s="35" t="str">
        <x:f>IF(A375="","",SUMIFS('CHI_TIẾT_BÁO_GIÁ'!$N$2:$N$500,'CHI_TIẾT_BÁO_GIÁ'!$B$2:$B$500,A375))</x:f>
      </x:c>
      <x:c r="J375" s="36" t="str">
        <x:f>IF(A375="","",IF(AND(H375="ĐÃ GỬI",G375&lt;TODAY()),"HẾT HẠN",""))</x:f>
      </x:c>
      <x:c r="K375" s="39"/>
      <x:c r="L375" s="39"/>
      <x:c r="M375" s="39"/>
      <x:c r="N375" s="39"/>
      <x:c r="O375" s="42"/>
      <x:c r="P375" s="39"/>
      <x:c r="Q375" s="42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39"/>
      <x:c r="E376" s="39"/>
      <x:c r="F376" s="41"/>
      <x:c r="G376" s="41"/>
      <x:c r="H376" s="39"/>
      <x:c r="I376" s="35" t="str">
        <x:f>IF(A376="","",SUMIFS('CHI_TIẾT_BÁO_GIÁ'!$N$2:$N$500,'CHI_TIẾT_BÁO_GIÁ'!$B$2:$B$500,A376))</x:f>
      </x:c>
      <x:c r="J376" s="36" t="str">
        <x:f>IF(A376="","",IF(AND(H376="ĐÃ GỬI",G376&lt;TODAY()),"HẾT HẠN",""))</x:f>
      </x:c>
      <x:c r="K376" s="39"/>
      <x:c r="L376" s="39"/>
      <x:c r="M376" s="39"/>
      <x:c r="N376" s="39"/>
      <x:c r="O376" s="42"/>
      <x:c r="P376" s="39"/>
      <x:c r="Q376" s="42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39"/>
      <x:c r="E377" s="39"/>
      <x:c r="F377" s="41"/>
      <x:c r="G377" s="41"/>
      <x:c r="H377" s="39"/>
      <x:c r="I377" s="35" t="str">
        <x:f>IF(A377="","",SUMIFS('CHI_TIẾT_BÁO_GIÁ'!$N$2:$N$500,'CHI_TIẾT_BÁO_GIÁ'!$B$2:$B$500,A377))</x:f>
      </x:c>
      <x:c r="J377" s="36" t="str">
        <x:f>IF(A377="","",IF(AND(H377="ĐÃ GỬI",G377&lt;TODAY()),"HẾT HẠN",""))</x:f>
      </x:c>
      <x:c r="K377" s="39"/>
      <x:c r="L377" s="39"/>
      <x:c r="M377" s="39"/>
      <x:c r="N377" s="39"/>
      <x:c r="O377" s="42"/>
      <x:c r="P377" s="39"/>
      <x:c r="Q377" s="42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39"/>
      <x:c r="E378" s="39"/>
      <x:c r="F378" s="41"/>
      <x:c r="G378" s="41"/>
      <x:c r="H378" s="39"/>
      <x:c r="I378" s="35" t="str">
        <x:f>IF(A378="","",SUMIFS('CHI_TIẾT_BÁO_GIÁ'!$N$2:$N$500,'CHI_TIẾT_BÁO_GIÁ'!$B$2:$B$500,A378))</x:f>
      </x:c>
      <x:c r="J378" s="36" t="str">
        <x:f>IF(A378="","",IF(AND(H378="ĐÃ GỬI",G378&lt;TODAY()),"HẾT HẠN",""))</x:f>
      </x:c>
      <x:c r="K378" s="39"/>
      <x:c r="L378" s="39"/>
      <x:c r="M378" s="39"/>
      <x:c r="N378" s="39"/>
      <x:c r="O378" s="42"/>
      <x:c r="P378" s="39"/>
      <x:c r="Q378" s="42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39"/>
      <x:c r="E379" s="39"/>
      <x:c r="F379" s="41"/>
      <x:c r="G379" s="41"/>
      <x:c r="H379" s="39"/>
      <x:c r="I379" s="35" t="str">
        <x:f>IF(A379="","",SUMIFS('CHI_TIẾT_BÁO_GIÁ'!$N$2:$N$500,'CHI_TIẾT_BÁO_GIÁ'!$B$2:$B$500,A379))</x:f>
      </x:c>
      <x:c r="J379" s="36" t="str">
        <x:f>IF(A379="","",IF(AND(H379="ĐÃ GỬI",G379&lt;TODAY()),"HẾT HẠN",""))</x:f>
      </x:c>
      <x:c r="K379" s="39"/>
      <x:c r="L379" s="39"/>
      <x:c r="M379" s="39"/>
      <x:c r="N379" s="39"/>
      <x:c r="O379" s="42"/>
      <x:c r="P379" s="39"/>
      <x:c r="Q379" s="42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39"/>
      <x:c r="E380" s="39"/>
      <x:c r="F380" s="41"/>
      <x:c r="G380" s="41"/>
      <x:c r="H380" s="39"/>
      <x:c r="I380" s="35" t="str">
        <x:f>IF(A380="","",SUMIFS('CHI_TIẾT_BÁO_GIÁ'!$N$2:$N$500,'CHI_TIẾT_BÁO_GIÁ'!$B$2:$B$500,A380))</x:f>
      </x:c>
      <x:c r="J380" s="36" t="str">
        <x:f>IF(A380="","",IF(AND(H380="ĐÃ GỬI",G380&lt;TODAY()),"HẾT HẠN",""))</x:f>
      </x:c>
      <x:c r="K380" s="39"/>
      <x:c r="L380" s="39"/>
      <x:c r="M380" s="39"/>
      <x:c r="N380" s="39"/>
      <x:c r="O380" s="42"/>
      <x:c r="P380" s="39"/>
      <x:c r="Q380" s="42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39"/>
      <x:c r="E381" s="39"/>
      <x:c r="F381" s="41"/>
      <x:c r="G381" s="41"/>
      <x:c r="H381" s="39"/>
      <x:c r="I381" s="35" t="str">
        <x:f>IF(A381="","",SUMIFS('CHI_TIẾT_BÁO_GIÁ'!$N$2:$N$500,'CHI_TIẾT_BÁO_GIÁ'!$B$2:$B$500,A381))</x:f>
      </x:c>
      <x:c r="J381" s="36" t="str">
        <x:f>IF(A381="","",IF(AND(H381="ĐÃ GỬI",G381&lt;TODAY()),"HẾT HẠN",""))</x:f>
      </x:c>
      <x:c r="K381" s="39"/>
      <x:c r="L381" s="39"/>
      <x:c r="M381" s="39"/>
      <x:c r="N381" s="39"/>
      <x:c r="O381" s="42"/>
      <x:c r="P381" s="39"/>
      <x:c r="Q381" s="42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39"/>
      <x:c r="E382" s="39"/>
      <x:c r="F382" s="41"/>
      <x:c r="G382" s="41"/>
      <x:c r="H382" s="39"/>
      <x:c r="I382" s="35" t="str">
        <x:f>IF(A382="","",SUMIFS('CHI_TIẾT_BÁO_GIÁ'!$N$2:$N$500,'CHI_TIẾT_BÁO_GIÁ'!$B$2:$B$500,A382))</x:f>
      </x:c>
      <x:c r="J382" s="36" t="str">
        <x:f>IF(A382="","",IF(AND(H382="ĐÃ GỬI",G382&lt;TODAY()),"HẾT HẠN",""))</x:f>
      </x:c>
      <x:c r="K382" s="39"/>
      <x:c r="L382" s="39"/>
      <x:c r="M382" s="39"/>
      <x:c r="N382" s="39"/>
      <x:c r="O382" s="42"/>
      <x:c r="P382" s="39"/>
      <x:c r="Q382" s="42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39"/>
      <x:c r="E383" s="39"/>
      <x:c r="F383" s="41"/>
      <x:c r="G383" s="41"/>
      <x:c r="H383" s="39"/>
      <x:c r="I383" s="35" t="str">
        <x:f>IF(A383="","",SUMIFS('CHI_TIẾT_BÁO_GIÁ'!$N$2:$N$500,'CHI_TIẾT_BÁO_GIÁ'!$B$2:$B$500,A383))</x:f>
      </x:c>
      <x:c r="J383" s="36" t="str">
        <x:f>IF(A383="","",IF(AND(H383="ĐÃ GỬI",G383&lt;TODAY()),"HẾT HẠN",""))</x:f>
      </x:c>
      <x:c r="K383" s="39"/>
      <x:c r="L383" s="39"/>
      <x:c r="M383" s="39"/>
      <x:c r="N383" s="39"/>
      <x:c r="O383" s="42"/>
      <x:c r="P383" s="39"/>
      <x:c r="Q383" s="42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39"/>
      <x:c r="E384" s="39"/>
      <x:c r="F384" s="41"/>
      <x:c r="G384" s="41"/>
      <x:c r="H384" s="39"/>
      <x:c r="I384" s="35" t="str">
        <x:f>IF(A384="","",SUMIFS('CHI_TIẾT_BÁO_GIÁ'!$N$2:$N$500,'CHI_TIẾT_BÁO_GIÁ'!$B$2:$B$500,A384))</x:f>
      </x:c>
      <x:c r="J384" s="36" t="str">
        <x:f>IF(A384="","",IF(AND(H384="ĐÃ GỬI",G384&lt;TODAY()),"HẾT HẠN",""))</x:f>
      </x:c>
      <x:c r="K384" s="39"/>
      <x:c r="L384" s="39"/>
      <x:c r="M384" s="39"/>
      <x:c r="N384" s="39"/>
      <x:c r="O384" s="42"/>
      <x:c r="P384" s="39"/>
      <x:c r="Q384" s="42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39"/>
      <x:c r="E385" s="39"/>
      <x:c r="F385" s="41"/>
      <x:c r="G385" s="41"/>
      <x:c r="H385" s="39"/>
      <x:c r="I385" s="35" t="str">
        <x:f>IF(A385="","",SUMIFS('CHI_TIẾT_BÁO_GIÁ'!$N$2:$N$500,'CHI_TIẾT_BÁO_GIÁ'!$B$2:$B$500,A385))</x:f>
      </x:c>
      <x:c r="J385" s="36" t="str">
        <x:f>IF(A385="","",IF(AND(H385="ĐÃ GỬI",G385&lt;TODAY()),"HẾT HẠN",""))</x:f>
      </x:c>
      <x:c r="K385" s="39"/>
      <x:c r="L385" s="39"/>
      <x:c r="M385" s="39"/>
      <x:c r="N385" s="39"/>
      <x:c r="O385" s="42"/>
      <x:c r="P385" s="39"/>
      <x:c r="Q385" s="42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39"/>
      <x:c r="E386" s="39"/>
      <x:c r="F386" s="41"/>
      <x:c r="G386" s="41"/>
      <x:c r="H386" s="39"/>
      <x:c r="I386" s="35" t="str">
        <x:f>IF(A386="","",SUMIFS('CHI_TIẾT_BÁO_GIÁ'!$N$2:$N$500,'CHI_TIẾT_BÁO_GIÁ'!$B$2:$B$500,A386))</x:f>
      </x:c>
      <x:c r="J386" s="36" t="str">
        <x:f>IF(A386="","",IF(AND(H386="ĐÃ GỬI",G386&lt;TODAY()),"HẾT HẠN",""))</x:f>
      </x:c>
      <x:c r="K386" s="39"/>
      <x:c r="L386" s="39"/>
      <x:c r="M386" s="39"/>
      <x:c r="N386" s="39"/>
      <x:c r="O386" s="42"/>
      <x:c r="P386" s="39"/>
      <x:c r="Q386" s="42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39"/>
      <x:c r="E387" s="39"/>
      <x:c r="F387" s="41"/>
      <x:c r="G387" s="41"/>
      <x:c r="H387" s="39"/>
      <x:c r="I387" s="35" t="str">
        <x:f>IF(A387="","",SUMIFS('CHI_TIẾT_BÁO_GIÁ'!$N$2:$N$500,'CHI_TIẾT_BÁO_GIÁ'!$B$2:$B$500,A387))</x:f>
      </x:c>
      <x:c r="J387" s="36" t="str">
        <x:f>IF(A387="","",IF(AND(H387="ĐÃ GỬI",G387&lt;TODAY()),"HẾT HẠN",""))</x:f>
      </x:c>
      <x:c r="K387" s="39"/>
      <x:c r="L387" s="39"/>
      <x:c r="M387" s="39"/>
      <x:c r="N387" s="39"/>
      <x:c r="O387" s="42"/>
      <x:c r="P387" s="39"/>
      <x:c r="Q387" s="42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39"/>
      <x:c r="E388" s="39"/>
      <x:c r="F388" s="41"/>
      <x:c r="G388" s="41"/>
      <x:c r="H388" s="39"/>
      <x:c r="I388" s="35" t="str">
        <x:f>IF(A388="","",SUMIFS('CHI_TIẾT_BÁO_GIÁ'!$N$2:$N$500,'CHI_TIẾT_BÁO_GIÁ'!$B$2:$B$500,A388))</x:f>
      </x:c>
      <x:c r="J388" s="36" t="str">
        <x:f>IF(A388="","",IF(AND(H388="ĐÃ GỬI",G388&lt;TODAY()),"HẾT HẠN",""))</x:f>
      </x:c>
      <x:c r="K388" s="39"/>
      <x:c r="L388" s="39"/>
      <x:c r="M388" s="39"/>
      <x:c r="N388" s="39"/>
      <x:c r="O388" s="42"/>
      <x:c r="P388" s="39"/>
      <x:c r="Q388" s="42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39"/>
      <x:c r="E389" s="39"/>
      <x:c r="F389" s="41"/>
      <x:c r="G389" s="41"/>
      <x:c r="H389" s="39"/>
      <x:c r="I389" s="35" t="str">
        <x:f>IF(A389="","",SUMIFS('CHI_TIẾT_BÁO_GIÁ'!$N$2:$N$500,'CHI_TIẾT_BÁO_GIÁ'!$B$2:$B$500,A389))</x:f>
      </x:c>
      <x:c r="J389" s="36" t="str">
        <x:f>IF(A389="","",IF(AND(H389="ĐÃ GỬI",G389&lt;TODAY()),"HẾT HẠN",""))</x:f>
      </x:c>
      <x:c r="K389" s="39"/>
      <x:c r="L389" s="39"/>
      <x:c r="M389" s="39"/>
      <x:c r="N389" s="39"/>
      <x:c r="O389" s="42"/>
      <x:c r="P389" s="39"/>
      <x:c r="Q389" s="42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39"/>
      <x:c r="E390" s="39"/>
      <x:c r="F390" s="41"/>
      <x:c r="G390" s="41"/>
      <x:c r="H390" s="39"/>
      <x:c r="I390" s="35" t="str">
        <x:f>IF(A390="","",SUMIFS('CHI_TIẾT_BÁO_GIÁ'!$N$2:$N$500,'CHI_TIẾT_BÁO_GIÁ'!$B$2:$B$500,A390))</x:f>
      </x:c>
      <x:c r="J390" s="36" t="str">
        <x:f>IF(A390="","",IF(AND(H390="ĐÃ GỬI",G390&lt;TODAY()),"HẾT HẠN",""))</x:f>
      </x:c>
      <x:c r="K390" s="39"/>
      <x:c r="L390" s="39"/>
      <x:c r="M390" s="39"/>
      <x:c r="N390" s="39"/>
      <x:c r="O390" s="42"/>
      <x:c r="P390" s="39"/>
      <x:c r="Q390" s="42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39"/>
      <x:c r="E391" s="39"/>
      <x:c r="F391" s="41"/>
      <x:c r="G391" s="41"/>
      <x:c r="H391" s="39"/>
      <x:c r="I391" s="35" t="str">
        <x:f>IF(A391="","",SUMIFS('CHI_TIẾT_BÁO_GIÁ'!$N$2:$N$500,'CHI_TIẾT_BÁO_GIÁ'!$B$2:$B$500,A391))</x:f>
      </x:c>
      <x:c r="J391" s="36" t="str">
        <x:f>IF(A391="","",IF(AND(H391="ĐÃ GỬI",G391&lt;TODAY()),"HẾT HẠN",""))</x:f>
      </x:c>
      <x:c r="K391" s="39"/>
      <x:c r="L391" s="39"/>
      <x:c r="M391" s="39"/>
      <x:c r="N391" s="39"/>
      <x:c r="O391" s="42"/>
      <x:c r="P391" s="39"/>
      <x:c r="Q391" s="42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39"/>
      <x:c r="E392" s="39"/>
      <x:c r="F392" s="41"/>
      <x:c r="G392" s="41"/>
      <x:c r="H392" s="39"/>
      <x:c r="I392" s="35" t="str">
        <x:f>IF(A392="","",SUMIFS('CHI_TIẾT_BÁO_GIÁ'!$N$2:$N$500,'CHI_TIẾT_BÁO_GIÁ'!$B$2:$B$500,A392))</x:f>
      </x:c>
      <x:c r="J392" s="36" t="str">
        <x:f>IF(A392="","",IF(AND(H392="ĐÃ GỬI",G392&lt;TODAY()),"HẾT HẠN",""))</x:f>
      </x:c>
      <x:c r="K392" s="39"/>
      <x:c r="L392" s="39"/>
      <x:c r="M392" s="39"/>
      <x:c r="N392" s="39"/>
      <x:c r="O392" s="42"/>
      <x:c r="P392" s="39"/>
      <x:c r="Q392" s="42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39"/>
      <x:c r="E393" s="39"/>
      <x:c r="F393" s="41"/>
      <x:c r="G393" s="41"/>
      <x:c r="H393" s="39"/>
      <x:c r="I393" s="35" t="str">
        <x:f>IF(A393="","",SUMIFS('CHI_TIẾT_BÁO_GIÁ'!$N$2:$N$500,'CHI_TIẾT_BÁO_GIÁ'!$B$2:$B$500,A393))</x:f>
      </x:c>
      <x:c r="J393" s="36" t="str">
        <x:f>IF(A393="","",IF(AND(H393="ĐÃ GỬI",G393&lt;TODAY()),"HẾT HẠN",""))</x:f>
      </x:c>
      <x:c r="K393" s="39"/>
      <x:c r="L393" s="39"/>
      <x:c r="M393" s="39"/>
      <x:c r="N393" s="39"/>
      <x:c r="O393" s="42"/>
      <x:c r="P393" s="39"/>
      <x:c r="Q393" s="42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39"/>
      <x:c r="E394" s="39"/>
      <x:c r="F394" s="41"/>
      <x:c r="G394" s="41"/>
      <x:c r="H394" s="39"/>
      <x:c r="I394" s="35" t="str">
        <x:f>IF(A394="","",SUMIFS('CHI_TIẾT_BÁO_GIÁ'!$N$2:$N$500,'CHI_TIẾT_BÁO_GIÁ'!$B$2:$B$500,A394))</x:f>
      </x:c>
      <x:c r="J394" s="36" t="str">
        <x:f>IF(A394="","",IF(AND(H394="ĐÃ GỬI",G394&lt;TODAY()),"HẾT HẠN",""))</x:f>
      </x:c>
      <x:c r="K394" s="39"/>
      <x:c r="L394" s="39"/>
      <x:c r="M394" s="39"/>
      <x:c r="N394" s="39"/>
      <x:c r="O394" s="42"/>
      <x:c r="P394" s="39"/>
      <x:c r="Q394" s="42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39"/>
      <x:c r="E395" s="39"/>
      <x:c r="F395" s="41"/>
      <x:c r="G395" s="41"/>
      <x:c r="H395" s="39"/>
      <x:c r="I395" s="35" t="str">
        <x:f>IF(A395="","",SUMIFS('CHI_TIẾT_BÁO_GIÁ'!$N$2:$N$500,'CHI_TIẾT_BÁO_GIÁ'!$B$2:$B$500,A395))</x:f>
      </x:c>
      <x:c r="J395" s="36" t="str">
        <x:f>IF(A395="","",IF(AND(H395="ĐÃ GỬI",G395&lt;TODAY()),"HẾT HẠN",""))</x:f>
      </x:c>
      <x:c r="K395" s="39"/>
      <x:c r="L395" s="39"/>
      <x:c r="M395" s="39"/>
      <x:c r="N395" s="39"/>
      <x:c r="O395" s="42"/>
      <x:c r="P395" s="39"/>
      <x:c r="Q395" s="42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39"/>
      <x:c r="E396" s="39"/>
      <x:c r="F396" s="41"/>
      <x:c r="G396" s="41"/>
      <x:c r="H396" s="39"/>
      <x:c r="I396" s="35" t="str">
        <x:f>IF(A396="","",SUMIFS('CHI_TIẾT_BÁO_GIÁ'!$N$2:$N$500,'CHI_TIẾT_BÁO_GIÁ'!$B$2:$B$500,A396))</x:f>
      </x:c>
      <x:c r="J396" s="36" t="str">
        <x:f>IF(A396="","",IF(AND(H396="ĐÃ GỬI",G396&lt;TODAY()),"HẾT HẠN",""))</x:f>
      </x:c>
      <x:c r="K396" s="39"/>
      <x:c r="L396" s="39"/>
      <x:c r="M396" s="39"/>
      <x:c r="N396" s="39"/>
      <x:c r="O396" s="42"/>
      <x:c r="P396" s="39"/>
      <x:c r="Q396" s="42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39"/>
      <x:c r="E397" s="39"/>
      <x:c r="F397" s="41"/>
      <x:c r="G397" s="41"/>
      <x:c r="H397" s="39"/>
      <x:c r="I397" s="35" t="str">
        <x:f>IF(A397="","",SUMIFS('CHI_TIẾT_BÁO_GIÁ'!$N$2:$N$500,'CHI_TIẾT_BÁO_GIÁ'!$B$2:$B$500,A397))</x:f>
      </x:c>
      <x:c r="J397" s="36" t="str">
        <x:f>IF(A397="","",IF(AND(H397="ĐÃ GỬI",G397&lt;TODAY()),"HẾT HẠN",""))</x:f>
      </x:c>
      <x:c r="K397" s="39"/>
      <x:c r="L397" s="39"/>
      <x:c r="M397" s="39"/>
      <x:c r="N397" s="39"/>
      <x:c r="O397" s="42"/>
      <x:c r="P397" s="39"/>
      <x:c r="Q397" s="42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39"/>
      <x:c r="E398" s="39"/>
      <x:c r="F398" s="41"/>
      <x:c r="G398" s="41"/>
      <x:c r="H398" s="39"/>
      <x:c r="I398" s="35" t="str">
        <x:f>IF(A398="","",SUMIFS('CHI_TIẾT_BÁO_GIÁ'!$N$2:$N$500,'CHI_TIẾT_BÁO_GIÁ'!$B$2:$B$500,A398))</x:f>
      </x:c>
      <x:c r="J398" s="36" t="str">
        <x:f>IF(A398="","",IF(AND(H398="ĐÃ GỬI",G398&lt;TODAY()),"HẾT HẠN",""))</x:f>
      </x:c>
      <x:c r="K398" s="39"/>
      <x:c r="L398" s="39"/>
      <x:c r="M398" s="39"/>
      <x:c r="N398" s="39"/>
      <x:c r="O398" s="42"/>
      <x:c r="P398" s="39"/>
      <x:c r="Q398" s="42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39"/>
      <x:c r="E399" s="39"/>
      <x:c r="F399" s="41"/>
      <x:c r="G399" s="41"/>
      <x:c r="H399" s="39"/>
      <x:c r="I399" s="35" t="str">
        <x:f>IF(A399="","",SUMIFS('CHI_TIẾT_BÁO_GIÁ'!$N$2:$N$500,'CHI_TIẾT_BÁO_GIÁ'!$B$2:$B$500,A399))</x:f>
      </x:c>
      <x:c r="J399" s="36" t="str">
        <x:f>IF(A399="","",IF(AND(H399="ĐÃ GỬI",G399&lt;TODAY()),"HẾT HẠN",""))</x:f>
      </x:c>
      <x:c r="K399" s="39"/>
      <x:c r="L399" s="39"/>
      <x:c r="M399" s="39"/>
      <x:c r="N399" s="39"/>
      <x:c r="O399" s="42"/>
      <x:c r="P399" s="39"/>
      <x:c r="Q399" s="42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39"/>
      <x:c r="E400" s="39"/>
      <x:c r="F400" s="41"/>
      <x:c r="G400" s="41"/>
      <x:c r="H400" s="39"/>
      <x:c r="I400" s="35" t="str">
        <x:f>IF(A400="","",SUMIFS('CHI_TIẾT_BÁO_GIÁ'!$N$2:$N$500,'CHI_TIẾT_BÁO_GIÁ'!$B$2:$B$500,A400))</x:f>
      </x:c>
      <x:c r="J400" s="36" t="str">
        <x:f>IF(A400="","",IF(AND(H400="ĐÃ GỬI",G400&lt;TODAY()),"HẾT HẠN",""))</x:f>
      </x:c>
      <x:c r="K400" s="39"/>
      <x:c r="L400" s="39"/>
      <x:c r="M400" s="39"/>
      <x:c r="N400" s="39"/>
      <x:c r="O400" s="42"/>
      <x:c r="P400" s="39"/>
      <x:c r="Q400" s="42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39"/>
      <x:c r="E401" s="39"/>
      <x:c r="F401" s="41"/>
      <x:c r="G401" s="41"/>
      <x:c r="H401" s="39"/>
      <x:c r="I401" s="35" t="str">
        <x:f>IF(A401="","",SUMIFS('CHI_TIẾT_BÁO_GIÁ'!$N$2:$N$500,'CHI_TIẾT_BÁO_GIÁ'!$B$2:$B$500,A401))</x:f>
      </x:c>
      <x:c r="J401" s="36" t="str">
        <x:f>IF(A401="","",IF(AND(H401="ĐÃ GỬI",G401&lt;TODAY()),"HẾT HẠN",""))</x:f>
      </x:c>
      <x:c r="K401" s="39"/>
      <x:c r="L401" s="39"/>
      <x:c r="M401" s="39"/>
      <x:c r="N401" s="39"/>
      <x:c r="O401" s="42"/>
      <x:c r="P401" s="39"/>
      <x:c r="Q401" s="42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39"/>
      <x:c r="E402" s="39"/>
      <x:c r="F402" s="41"/>
      <x:c r="G402" s="41"/>
      <x:c r="H402" s="39"/>
      <x:c r="I402" s="35" t="str">
        <x:f>IF(A402="","",SUMIFS('CHI_TIẾT_BÁO_GIÁ'!$N$2:$N$500,'CHI_TIẾT_BÁO_GIÁ'!$B$2:$B$500,A402))</x:f>
      </x:c>
      <x:c r="J402" s="36" t="str">
        <x:f>IF(A402="","",IF(AND(H402="ĐÃ GỬI",G402&lt;TODAY()),"HẾT HẠN",""))</x:f>
      </x:c>
      <x:c r="K402" s="39"/>
      <x:c r="L402" s="39"/>
      <x:c r="M402" s="39"/>
      <x:c r="N402" s="39"/>
      <x:c r="O402" s="42"/>
      <x:c r="P402" s="39"/>
      <x:c r="Q402" s="42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39"/>
      <x:c r="E403" s="39"/>
      <x:c r="F403" s="41"/>
      <x:c r="G403" s="41"/>
      <x:c r="H403" s="39"/>
      <x:c r="I403" s="35" t="str">
        <x:f>IF(A403="","",SUMIFS('CHI_TIẾT_BÁO_GIÁ'!$N$2:$N$500,'CHI_TIẾT_BÁO_GIÁ'!$B$2:$B$500,A403))</x:f>
      </x:c>
      <x:c r="J403" s="36" t="str">
        <x:f>IF(A403="","",IF(AND(H403="ĐÃ GỬI",G403&lt;TODAY()),"HẾT HẠN",""))</x:f>
      </x:c>
      <x:c r="K403" s="39"/>
      <x:c r="L403" s="39"/>
      <x:c r="M403" s="39"/>
      <x:c r="N403" s="39"/>
      <x:c r="O403" s="42"/>
      <x:c r="P403" s="39"/>
      <x:c r="Q403" s="42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39"/>
      <x:c r="E404" s="39"/>
      <x:c r="F404" s="41"/>
      <x:c r="G404" s="41"/>
      <x:c r="H404" s="39"/>
      <x:c r="I404" s="35" t="str">
        <x:f>IF(A404="","",SUMIFS('CHI_TIẾT_BÁO_GIÁ'!$N$2:$N$500,'CHI_TIẾT_BÁO_GIÁ'!$B$2:$B$500,A404))</x:f>
      </x:c>
      <x:c r="J404" s="36" t="str">
        <x:f>IF(A404="","",IF(AND(H404="ĐÃ GỬI",G404&lt;TODAY()),"HẾT HẠN",""))</x:f>
      </x:c>
      <x:c r="K404" s="39"/>
      <x:c r="L404" s="39"/>
      <x:c r="M404" s="39"/>
      <x:c r="N404" s="39"/>
      <x:c r="O404" s="42"/>
      <x:c r="P404" s="39"/>
      <x:c r="Q404" s="42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39"/>
      <x:c r="E405" s="39"/>
      <x:c r="F405" s="41"/>
      <x:c r="G405" s="41"/>
      <x:c r="H405" s="39"/>
      <x:c r="I405" s="35" t="str">
        <x:f>IF(A405="","",SUMIFS('CHI_TIẾT_BÁO_GIÁ'!$N$2:$N$500,'CHI_TIẾT_BÁO_GIÁ'!$B$2:$B$500,A405))</x:f>
      </x:c>
      <x:c r="J405" s="36" t="str">
        <x:f>IF(A405="","",IF(AND(H405="ĐÃ GỬI",G405&lt;TODAY()),"HẾT HẠN",""))</x:f>
      </x:c>
      <x:c r="K405" s="39"/>
      <x:c r="L405" s="39"/>
      <x:c r="M405" s="39"/>
      <x:c r="N405" s="39"/>
      <x:c r="O405" s="42"/>
      <x:c r="P405" s="39"/>
      <x:c r="Q405" s="42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39"/>
      <x:c r="E406" s="39"/>
      <x:c r="F406" s="41"/>
      <x:c r="G406" s="41"/>
      <x:c r="H406" s="39"/>
      <x:c r="I406" s="35" t="str">
        <x:f>IF(A406="","",SUMIFS('CHI_TIẾT_BÁO_GIÁ'!$N$2:$N$500,'CHI_TIẾT_BÁO_GIÁ'!$B$2:$B$500,A406))</x:f>
      </x:c>
      <x:c r="J406" s="36" t="str">
        <x:f>IF(A406="","",IF(AND(H406="ĐÃ GỬI",G406&lt;TODAY()),"HẾT HẠN",""))</x:f>
      </x:c>
      <x:c r="K406" s="39"/>
      <x:c r="L406" s="39"/>
      <x:c r="M406" s="39"/>
      <x:c r="N406" s="39"/>
      <x:c r="O406" s="42"/>
      <x:c r="P406" s="39"/>
      <x:c r="Q406" s="42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39"/>
      <x:c r="E407" s="39"/>
      <x:c r="F407" s="41"/>
      <x:c r="G407" s="41"/>
      <x:c r="H407" s="39"/>
      <x:c r="I407" s="35" t="str">
        <x:f>IF(A407="","",SUMIFS('CHI_TIẾT_BÁO_GIÁ'!$N$2:$N$500,'CHI_TIẾT_BÁO_GIÁ'!$B$2:$B$500,A407))</x:f>
      </x:c>
      <x:c r="J407" s="36" t="str">
        <x:f>IF(A407="","",IF(AND(H407="ĐÃ GỬI",G407&lt;TODAY()),"HẾT HẠN",""))</x:f>
      </x:c>
      <x:c r="K407" s="39"/>
      <x:c r="L407" s="39"/>
      <x:c r="M407" s="39"/>
      <x:c r="N407" s="39"/>
      <x:c r="O407" s="42"/>
      <x:c r="P407" s="39"/>
      <x:c r="Q407" s="42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39"/>
      <x:c r="E408" s="39"/>
      <x:c r="F408" s="41"/>
      <x:c r="G408" s="41"/>
      <x:c r="H408" s="39"/>
      <x:c r="I408" s="35" t="str">
        <x:f>IF(A408="","",SUMIFS('CHI_TIẾT_BÁO_GIÁ'!$N$2:$N$500,'CHI_TIẾT_BÁO_GIÁ'!$B$2:$B$500,A408))</x:f>
      </x:c>
      <x:c r="J408" s="36" t="str">
        <x:f>IF(A408="","",IF(AND(H408="ĐÃ GỬI",G408&lt;TODAY()),"HẾT HẠN",""))</x:f>
      </x:c>
      <x:c r="K408" s="39"/>
      <x:c r="L408" s="39"/>
      <x:c r="M408" s="39"/>
      <x:c r="N408" s="39"/>
      <x:c r="O408" s="42"/>
      <x:c r="P408" s="39"/>
      <x:c r="Q408" s="42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39"/>
      <x:c r="E409" s="39"/>
      <x:c r="F409" s="41"/>
      <x:c r="G409" s="41"/>
      <x:c r="H409" s="39"/>
      <x:c r="I409" s="35" t="str">
        <x:f>IF(A409="","",SUMIFS('CHI_TIẾT_BÁO_GIÁ'!$N$2:$N$500,'CHI_TIẾT_BÁO_GIÁ'!$B$2:$B$500,A409))</x:f>
      </x:c>
      <x:c r="J409" s="36" t="str">
        <x:f>IF(A409="","",IF(AND(H409="ĐÃ GỬI",G409&lt;TODAY()),"HẾT HẠN",""))</x:f>
      </x:c>
      <x:c r="K409" s="39"/>
      <x:c r="L409" s="39"/>
      <x:c r="M409" s="39"/>
      <x:c r="N409" s="39"/>
      <x:c r="O409" s="42"/>
      <x:c r="P409" s="39"/>
      <x:c r="Q409" s="42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39"/>
      <x:c r="E410" s="39"/>
      <x:c r="F410" s="41"/>
      <x:c r="G410" s="41"/>
      <x:c r="H410" s="39"/>
      <x:c r="I410" s="35" t="str">
        <x:f>IF(A410="","",SUMIFS('CHI_TIẾT_BÁO_GIÁ'!$N$2:$N$500,'CHI_TIẾT_BÁO_GIÁ'!$B$2:$B$500,A410))</x:f>
      </x:c>
      <x:c r="J410" s="36" t="str">
        <x:f>IF(A410="","",IF(AND(H410="ĐÃ GỬI",G410&lt;TODAY()),"HẾT HẠN",""))</x:f>
      </x:c>
      <x:c r="K410" s="39"/>
      <x:c r="L410" s="39"/>
      <x:c r="M410" s="39"/>
      <x:c r="N410" s="39"/>
      <x:c r="O410" s="42"/>
      <x:c r="P410" s="39"/>
      <x:c r="Q410" s="42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39"/>
      <x:c r="E411" s="39"/>
      <x:c r="F411" s="41"/>
      <x:c r="G411" s="41"/>
      <x:c r="H411" s="39"/>
      <x:c r="I411" s="35" t="str">
        <x:f>IF(A411="","",SUMIFS('CHI_TIẾT_BÁO_GIÁ'!$N$2:$N$500,'CHI_TIẾT_BÁO_GIÁ'!$B$2:$B$500,A411))</x:f>
      </x:c>
      <x:c r="J411" s="36" t="str">
        <x:f>IF(A411="","",IF(AND(H411="ĐÃ GỬI",G411&lt;TODAY()),"HẾT HẠN",""))</x:f>
      </x:c>
      <x:c r="K411" s="39"/>
      <x:c r="L411" s="39"/>
      <x:c r="M411" s="39"/>
      <x:c r="N411" s="39"/>
      <x:c r="O411" s="42"/>
      <x:c r="P411" s="39"/>
      <x:c r="Q411" s="42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39"/>
      <x:c r="E412" s="39"/>
      <x:c r="F412" s="41"/>
      <x:c r="G412" s="41"/>
      <x:c r="H412" s="39"/>
      <x:c r="I412" s="35" t="str">
        <x:f>IF(A412="","",SUMIFS('CHI_TIẾT_BÁO_GIÁ'!$N$2:$N$500,'CHI_TIẾT_BÁO_GIÁ'!$B$2:$B$500,A412))</x:f>
      </x:c>
      <x:c r="J412" s="36" t="str">
        <x:f>IF(A412="","",IF(AND(H412="ĐÃ GỬI",G412&lt;TODAY()),"HẾT HẠN",""))</x:f>
      </x:c>
      <x:c r="K412" s="39"/>
      <x:c r="L412" s="39"/>
      <x:c r="M412" s="39"/>
      <x:c r="N412" s="39"/>
      <x:c r="O412" s="42"/>
      <x:c r="P412" s="39"/>
      <x:c r="Q412" s="42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39"/>
      <x:c r="E413" s="39"/>
      <x:c r="F413" s="41"/>
      <x:c r="G413" s="41"/>
      <x:c r="H413" s="39"/>
      <x:c r="I413" s="35" t="str">
        <x:f>IF(A413="","",SUMIFS('CHI_TIẾT_BÁO_GIÁ'!$N$2:$N$500,'CHI_TIẾT_BÁO_GIÁ'!$B$2:$B$500,A413))</x:f>
      </x:c>
      <x:c r="J413" s="36" t="str">
        <x:f>IF(A413="","",IF(AND(H413="ĐÃ GỬI",G413&lt;TODAY()),"HẾT HẠN",""))</x:f>
      </x:c>
      <x:c r="K413" s="39"/>
      <x:c r="L413" s="39"/>
      <x:c r="M413" s="39"/>
      <x:c r="N413" s="39"/>
      <x:c r="O413" s="42"/>
      <x:c r="P413" s="39"/>
      <x:c r="Q413" s="42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39"/>
      <x:c r="E414" s="39"/>
      <x:c r="F414" s="41"/>
      <x:c r="G414" s="41"/>
      <x:c r="H414" s="39"/>
      <x:c r="I414" s="35" t="str">
        <x:f>IF(A414="","",SUMIFS('CHI_TIẾT_BÁO_GIÁ'!$N$2:$N$500,'CHI_TIẾT_BÁO_GIÁ'!$B$2:$B$500,A414))</x:f>
      </x:c>
      <x:c r="J414" s="36" t="str">
        <x:f>IF(A414="","",IF(AND(H414="ĐÃ GỬI",G414&lt;TODAY()),"HẾT HẠN",""))</x:f>
      </x:c>
      <x:c r="K414" s="39"/>
      <x:c r="L414" s="39"/>
      <x:c r="M414" s="39"/>
      <x:c r="N414" s="39"/>
      <x:c r="O414" s="42"/>
      <x:c r="P414" s="39"/>
      <x:c r="Q414" s="42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39"/>
      <x:c r="E415" s="39"/>
      <x:c r="F415" s="41"/>
      <x:c r="G415" s="41"/>
      <x:c r="H415" s="39"/>
      <x:c r="I415" s="35" t="str">
        <x:f>IF(A415="","",SUMIFS('CHI_TIẾT_BÁO_GIÁ'!$N$2:$N$500,'CHI_TIẾT_BÁO_GIÁ'!$B$2:$B$500,A415))</x:f>
      </x:c>
      <x:c r="J415" s="36" t="str">
        <x:f>IF(A415="","",IF(AND(H415="ĐÃ GỬI",G415&lt;TODAY()),"HẾT HẠN",""))</x:f>
      </x:c>
      <x:c r="K415" s="39"/>
      <x:c r="L415" s="39"/>
      <x:c r="M415" s="39"/>
      <x:c r="N415" s="39"/>
      <x:c r="O415" s="42"/>
      <x:c r="P415" s="39"/>
      <x:c r="Q415" s="42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39"/>
      <x:c r="E416" s="39"/>
      <x:c r="F416" s="41"/>
      <x:c r="G416" s="41"/>
      <x:c r="H416" s="39"/>
      <x:c r="I416" s="35" t="str">
        <x:f>IF(A416="","",SUMIFS('CHI_TIẾT_BÁO_GIÁ'!$N$2:$N$500,'CHI_TIẾT_BÁO_GIÁ'!$B$2:$B$500,A416))</x:f>
      </x:c>
      <x:c r="J416" s="36" t="str">
        <x:f>IF(A416="","",IF(AND(H416="ĐÃ GỬI",G416&lt;TODAY()),"HẾT HẠN",""))</x:f>
      </x:c>
      <x:c r="K416" s="39"/>
      <x:c r="L416" s="39"/>
      <x:c r="M416" s="39"/>
      <x:c r="N416" s="39"/>
      <x:c r="O416" s="42"/>
      <x:c r="P416" s="39"/>
      <x:c r="Q416" s="42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39"/>
      <x:c r="E417" s="39"/>
      <x:c r="F417" s="41"/>
      <x:c r="G417" s="41"/>
      <x:c r="H417" s="39"/>
      <x:c r="I417" s="35" t="str">
        <x:f>IF(A417="","",SUMIFS('CHI_TIẾT_BÁO_GIÁ'!$N$2:$N$500,'CHI_TIẾT_BÁO_GIÁ'!$B$2:$B$500,A417))</x:f>
      </x:c>
      <x:c r="J417" s="36" t="str">
        <x:f>IF(A417="","",IF(AND(H417="ĐÃ GỬI",G417&lt;TODAY()),"HẾT HẠN",""))</x:f>
      </x:c>
      <x:c r="K417" s="39"/>
      <x:c r="L417" s="39"/>
      <x:c r="M417" s="39"/>
      <x:c r="N417" s="39"/>
      <x:c r="O417" s="42"/>
      <x:c r="P417" s="39"/>
      <x:c r="Q417" s="42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39"/>
      <x:c r="E418" s="39"/>
      <x:c r="F418" s="41"/>
      <x:c r="G418" s="41"/>
      <x:c r="H418" s="39"/>
      <x:c r="I418" s="35" t="str">
        <x:f>IF(A418="","",SUMIFS('CHI_TIẾT_BÁO_GIÁ'!$N$2:$N$500,'CHI_TIẾT_BÁO_GIÁ'!$B$2:$B$500,A418))</x:f>
      </x:c>
      <x:c r="J418" s="36" t="str">
        <x:f>IF(A418="","",IF(AND(H418="ĐÃ GỬI",G418&lt;TODAY()),"HẾT HẠN",""))</x:f>
      </x:c>
      <x:c r="K418" s="39"/>
      <x:c r="L418" s="39"/>
      <x:c r="M418" s="39"/>
      <x:c r="N418" s="39"/>
      <x:c r="O418" s="42"/>
      <x:c r="P418" s="39"/>
      <x:c r="Q418" s="42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39"/>
      <x:c r="E419" s="39"/>
      <x:c r="F419" s="41"/>
      <x:c r="G419" s="41"/>
      <x:c r="H419" s="39"/>
      <x:c r="I419" s="35" t="str">
        <x:f>IF(A419="","",SUMIFS('CHI_TIẾT_BÁO_GIÁ'!$N$2:$N$500,'CHI_TIẾT_BÁO_GIÁ'!$B$2:$B$500,A419))</x:f>
      </x:c>
      <x:c r="J419" s="36" t="str">
        <x:f>IF(A419="","",IF(AND(H419="ĐÃ GỬI",G419&lt;TODAY()),"HẾT HẠN",""))</x:f>
      </x:c>
      <x:c r="K419" s="39"/>
      <x:c r="L419" s="39"/>
      <x:c r="M419" s="39"/>
      <x:c r="N419" s="39"/>
      <x:c r="O419" s="42"/>
      <x:c r="P419" s="39"/>
      <x:c r="Q419" s="42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39"/>
      <x:c r="E420" s="39"/>
      <x:c r="F420" s="41"/>
      <x:c r="G420" s="41"/>
      <x:c r="H420" s="39"/>
      <x:c r="I420" s="35" t="str">
        <x:f>IF(A420="","",SUMIFS('CHI_TIẾT_BÁO_GIÁ'!$N$2:$N$500,'CHI_TIẾT_BÁO_GIÁ'!$B$2:$B$500,A420))</x:f>
      </x:c>
      <x:c r="J420" s="36" t="str">
        <x:f>IF(A420="","",IF(AND(H420="ĐÃ GỬI",G420&lt;TODAY()),"HẾT HẠN",""))</x:f>
      </x:c>
      <x:c r="K420" s="39"/>
      <x:c r="L420" s="39"/>
      <x:c r="M420" s="39"/>
      <x:c r="N420" s="39"/>
      <x:c r="O420" s="42"/>
      <x:c r="P420" s="39"/>
      <x:c r="Q420" s="42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39"/>
      <x:c r="E421" s="39"/>
      <x:c r="F421" s="41"/>
      <x:c r="G421" s="41"/>
      <x:c r="H421" s="39"/>
      <x:c r="I421" s="35" t="str">
        <x:f>IF(A421="","",SUMIFS('CHI_TIẾT_BÁO_GIÁ'!$N$2:$N$500,'CHI_TIẾT_BÁO_GIÁ'!$B$2:$B$500,A421))</x:f>
      </x:c>
      <x:c r="J421" s="36" t="str">
        <x:f>IF(A421="","",IF(AND(H421="ĐÃ GỬI",G421&lt;TODAY()),"HẾT HẠN",""))</x:f>
      </x:c>
      <x:c r="K421" s="39"/>
      <x:c r="L421" s="39"/>
      <x:c r="M421" s="39"/>
      <x:c r="N421" s="39"/>
      <x:c r="O421" s="42"/>
      <x:c r="P421" s="39"/>
      <x:c r="Q421" s="42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39"/>
      <x:c r="E422" s="39"/>
      <x:c r="F422" s="41"/>
      <x:c r="G422" s="41"/>
      <x:c r="H422" s="39"/>
      <x:c r="I422" s="35" t="str">
        <x:f>IF(A422="","",SUMIFS('CHI_TIẾT_BÁO_GIÁ'!$N$2:$N$500,'CHI_TIẾT_BÁO_GIÁ'!$B$2:$B$500,A422))</x:f>
      </x:c>
      <x:c r="J422" s="36" t="str">
        <x:f>IF(A422="","",IF(AND(H422="ĐÃ GỬI",G422&lt;TODAY()),"HẾT HẠN",""))</x:f>
      </x:c>
      <x:c r="K422" s="39"/>
      <x:c r="L422" s="39"/>
      <x:c r="M422" s="39"/>
      <x:c r="N422" s="39"/>
      <x:c r="O422" s="42"/>
      <x:c r="P422" s="39"/>
      <x:c r="Q422" s="42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39"/>
      <x:c r="E423" s="39"/>
      <x:c r="F423" s="41"/>
      <x:c r="G423" s="41"/>
      <x:c r="H423" s="39"/>
      <x:c r="I423" s="35" t="str">
        <x:f>IF(A423="","",SUMIFS('CHI_TIẾT_BÁO_GIÁ'!$N$2:$N$500,'CHI_TIẾT_BÁO_GIÁ'!$B$2:$B$500,A423))</x:f>
      </x:c>
      <x:c r="J423" s="36" t="str">
        <x:f>IF(A423="","",IF(AND(H423="ĐÃ GỬI",G423&lt;TODAY()),"HẾT HẠN",""))</x:f>
      </x:c>
      <x:c r="K423" s="39"/>
      <x:c r="L423" s="39"/>
      <x:c r="M423" s="39"/>
      <x:c r="N423" s="39"/>
      <x:c r="O423" s="42"/>
      <x:c r="P423" s="39"/>
      <x:c r="Q423" s="42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39"/>
      <x:c r="E424" s="39"/>
      <x:c r="F424" s="41"/>
      <x:c r="G424" s="41"/>
      <x:c r="H424" s="39"/>
      <x:c r="I424" s="35" t="str">
        <x:f>IF(A424="","",SUMIFS('CHI_TIẾT_BÁO_GIÁ'!$N$2:$N$500,'CHI_TIẾT_BÁO_GIÁ'!$B$2:$B$500,A424))</x:f>
      </x:c>
      <x:c r="J424" s="36" t="str">
        <x:f>IF(A424="","",IF(AND(H424="ĐÃ GỬI",G424&lt;TODAY()),"HẾT HẠN",""))</x:f>
      </x:c>
      <x:c r="K424" s="39"/>
      <x:c r="L424" s="39"/>
      <x:c r="M424" s="39"/>
      <x:c r="N424" s="39"/>
      <x:c r="O424" s="42"/>
      <x:c r="P424" s="39"/>
      <x:c r="Q424" s="42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39"/>
      <x:c r="E425" s="39"/>
      <x:c r="F425" s="41"/>
      <x:c r="G425" s="41"/>
      <x:c r="H425" s="39"/>
      <x:c r="I425" s="35" t="str">
        <x:f>IF(A425="","",SUMIFS('CHI_TIẾT_BÁO_GIÁ'!$N$2:$N$500,'CHI_TIẾT_BÁO_GIÁ'!$B$2:$B$500,A425))</x:f>
      </x:c>
      <x:c r="J425" s="36" t="str">
        <x:f>IF(A425="","",IF(AND(H425="ĐÃ GỬI",G425&lt;TODAY()),"HẾT HẠN",""))</x:f>
      </x:c>
      <x:c r="K425" s="39"/>
      <x:c r="L425" s="39"/>
      <x:c r="M425" s="39"/>
      <x:c r="N425" s="39"/>
      <x:c r="O425" s="42"/>
      <x:c r="P425" s="39"/>
      <x:c r="Q425" s="42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39"/>
      <x:c r="E426" s="39"/>
      <x:c r="F426" s="41"/>
      <x:c r="G426" s="41"/>
      <x:c r="H426" s="39"/>
      <x:c r="I426" s="35" t="str">
        <x:f>IF(A426="","",SUMIFS('CHI_TIẾT_BÁO_GIÁ'!$N$2:$N$500,'CHI_TIẾT_BÁO_GIÁ'!$B$2:$B$500,A426))</x:f>
      </x:c>
      <x:c r="J426" s="36" t="str">
        <x:f>IF(A426="","",IF(AND(H426="ĐÃ GỬI",G426&lt;TODAY()),"HẾT HẠN",""))</x:f>
      </x:c>
      <x:c r="K426" s="39"/>
      <x:c r="L426" s="39"/>
      <x:c r="M426" s="39"/>
      <x:c r="N426" s="39"/>
      <x:c r="O426" s="42"/>
      <x:c r="P426" s="39"/>
      <x:c r="Q426" s="42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39"/>
      <x:c r="E427" s="39"/>
      <x:c r="F427" s="41"/>
      <x:c r="G427" s="41"/>
      <x:c r="H427" s="39"/>
      <x:c r="I427" s="35" t="str">
        <x:f>IF(A427="","",SUMIFS('CHI_TIẾT_BÁO_GIÁ'!$N$2:$N$500,'CHI_TIẾT_BÁO_GIÁ'!$B$2:$B$500,A427))</x:f>
      </x:c>
      <x:c r="J427" s="36" t="str">
        <x:f>IF(A427="","",IF(AND(H427="ĐÃ GỬI",G427&lt;TODAY()),"HẾT HẠN",""))</x:f>
      </x:c>
      <x:c r="K427" s="39"/>
      <x:c r="L427" s="39"/>
      <x:c r="M427" s="39"/>
      <x:c r="N427" s="39"/>
      <x:c r="O427" s="42"/>
      <x:c r="P427" s="39"/>
      <x:c r="Q427" s="42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39"/>
      <x:c r="E428" s="39"/>
      <x:c r="F428" s="41"/>
      <x:c r="G428" s="41"/>
      <x:c r="H428" s="39"/>
      <x:c r="I428" s="35" t="str">
        <x:f>IF(A428="","",SUMIFS('CHI_TIẾT_BÁO_GIÁ'!$N$2:$N$500,'CHI_TIẾT_BÁO_GIÁ'!$B$2:$B$500,A428))</x:f>
      </x:c>
      <x:c r="J428" s="36" t="str">
        <x:f>IF(A428="","",IF(AND(H428="ĐÃ GỬI",G428&lt;TODAY()),"HẾT HẠN",""))</x:f>
      </x:c>
      <x:c r="K428" s="39"/>
      <x:c r="L428" s="39"/>
      <x:c r="M428" s="39"/>
      <x:c r="N428" s="39"/>
      <x:c r="O428" s="42"/>
      <x:c r="P428" s="39"/>
      <x:c r="Q428" s="42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39"/>
      <x:c r="E429" s="39"/>
      <x:c r="F429" s="41"/>
      <x:c r="G429" s="41"/>
      <x:c r="H429" s="39"/>
      <x:c r="I429" s="35" t="str">
        <x:f>IF(A429="","",SUMIFS('CHI_TIẾT_BÁO_GIÁ'!$N$2:$N$500,'CHI_TIẾT_BÁO_GIÁ'!$B$2:$B$500,A429))</x:f>
      </x:c>
      <x:c r="J429" s="36" t="str">
        <x:f>IF(A429="","",IF(AND(H429="ĐÃ GỬI",G429&lt;TODAY()),"HẾT HẠN",""))</x:f>
      </x:c>
      <x:c r="K429" s="39"/>
      <x:c r="L429" s="39"/>
      <x:c r="M429" s="39"/>
      <x:c r="N429" s="39"/>
      <x:c r="O429" s="42"/>
      <x:c r="P429" s="39"/>
      <x:c r="Q429" s="42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39"/>
      <x:c r="E430" s="39"/>
      <x:c r="F430" s="41"/>
      <x:c r="G430" s="41"/>
      <x:c r="H430" s="39"/>
      <x:c r="I430" s="35" t="str">
        <x:f>IF(A430="","",SUMIFS('CHI_TIẾT_BÁO_GIÁ'!$N$2:$N$500,'CHI_TIẾT_BÁO_GIÁ'!$B$2:$B$500,A430))</x:f>
      </x:c>
      <x:c r="J430" s="36" t="str">
        <x:f>IF(A430="","",IF(AND(H430="ĐÃ GỬI",G430&lt;TODAY()),"HẾT HẠN",""))</x:f>
      </x:c>
      <x:c r="K430" s="39"/>
      <x:c r="L430" s="39"/>
      <x:c r="M430" s="39"/>
      <x:c r="N430" s="39"/>
      <x:c r="O430" s="42"/>
      <x:c r="P430" s="39"/>
      <x:c r="Q430" s="42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39"/>
      <x:c r="E431" s="39"/>
      <x:c r="F431" s="41"/>
      <x:c r="G431" s="41"/>
      <x:c r="H431" s="39"/>
      <x:c r="I431" s="35" t="str">
        <x:f>IF(A431="","",SUMIFS('CHI_TIẾT_BÁO_GIÁ'!$N$2:$N$500,'CHI_TIẾT_BÁO_GIÁ'!$B$2:$B$500,A431))</x:f>
      </x:c>
      <x:c r="J431" s="36" t="str">
        <x:f>IF(A431="","",IF(AND(H431="ĐÃ GỬI",G431&lt;TODAY()),"HẾT HẠN",""))</x:f>
      </x:c>
      <x:c r="K431" s="39"/>
      <x:c r="L431" s="39"/>
      <x:c r="M431" s="39"/>
      <x:c r="N431" s="39"/>
      <x:c r="O431" s="42"/>
      <x:c r="P431" s="39"/>
      <x:c r="Q431" s="42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39"/>
      <x:c r="E432" s="39"/>
      <x:c r="F432" s="41"/>
      <x:c r="G432" s="41"/>
      <x:c r="H432" s="39"/>
      <x:c r="I432" s="35" t="str">
        <x:f>IF(A432="","",SUMIFS('CHI_TIẾT_BÁO_GIÁ'!$N$2:$N$500,'CHI_TIẾT_BÁO_GIÁ'!$B$2:$B$500,A432))</x:f>
      </x:c>
      <x:c r="J432" s="36" t="str">
        <x:f>IF(A432="","",IF(AND(H432="ĐÃ GỬI",G432&lt;TODAY()),"HẾT HẠN",""))</x:f>
      </x:c>
      <x:c r="K432" s="39"/>
      <x:c r="L432" s="39"/>
      <x:c r="M432" s="39"/>
      <x:c r="N432" s="39"/>
      <x:c r="O432" s="42"/>
      <x:c r="P432" s="39"/>
      <x:c r="Q432" s="42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39"/>
      <x:c r="E433" s="39"/>
      <x:c r="F433" s="41"/>
      <x:c r="G433" s="41"/>
      <x:c r="H433" s="39"/>
      <x:c r="I433" s="35" t="str">
        <x:f>IF(A433="","",SUMIFS('CHI_TIẾT_BÁO_GIÁ'!$N$2:$N$500,'CHI_TIẾT_BÁO_GIÁ'!$B$2:$B$500,A433))</x:f>
      </x:c>
      <x:c r="J433" s="36" t="str">
        <x:f>IF(A433="","",IF(AND(H433="ĐÃ GỬI",G433&lt;TODAY()),"HẾT HẠN",""))</x:f>
      </x:c>
      <x:c r="K433" s="39"/>
      <x:c r="L433" s="39"/>
      <x:c r="M433" s="39"/>
      <x:c r="N433" s="39"/>
      <x:c r="O433" s="42"/>
      <x:c r="P433" s="39"/>
      <x:c r="Q433" s="42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39"/>
      <x:c r="E434" s="39"/>
      <x:c r="F434" s="41"/>
      <x:c r="G434" s="41"/>
      <x:c r="H434" s="39"/>
      <x:c r="I434" s="35" t="str">
        <x:f>IF(A434="","",SUMIFS('CHI_TIẾT_BÁO_GIÁ'!$N$2:$N$500,'CHI_TIẾT_BÁO_GIÁ'!$B$2:$B$500,A434))</x:f>
      </x:c>
      <x:c r="J434" s="36" t="str">
        <x:f>IF(A434="","",IF(AND(H434="ĐÃ GỬI",G434&lt;TODAY()),"HẾT HẠN",""))</x:f>
      </x:c>
      <x:c r="K434" s="39"/>
      <x:c r="L434" s="39"/>
      <x:c r="M434" s="39"/>
      <x:c r="N434" s="39"/>
      <x:c r="O434" s="42"/>
      <x:c r="P434" s="39"/>
      <x:c r="Q434" s="42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39"/>
      <x:c r="E435" s="39"/>
      <x:c r="F435" s="41"/>
      <x:c r="G435" s="41"/>
      <x:c r="H435" s="39"/>
      <x:c r="I435" s="35" t="str">
        <x:f>IF(A435="","",SUMIFS('CHI_TIẾT_BÁO_GIÁ'!$N$2:$N$500,'CHI_TIẾT_BÁO_GIÁ'!$B$2:$B$500,A435))</x:f>
      </x:c>
      <x:c r="J435" s="36" t="str">
        <x:f>IF(A435="","",IF(AND(H435="ĐÃ GỬI",G435&lt;TODAY()),"HẾT HẠN",""))</x:f>
      </x:c>
      <x:c r="K435" s="39"/>
      <x:c r="L435" s="39"/>
      <x:c r="M435" s="39"/>
      <x:c r="N435" s="39"/>
      <x:c r="O435" s="42"/>
      <x:c r="P435" s="39"/>
      <x:c r="Q435" s="42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39"/>
      <x:c r="E436" s="39"/>
      <x:c r="F436" s="41"/>
      <x:c r="G436" s="41"/>
      <x:c r="H436" s="39"/>
      <x:c r="I436" s="35" t="str">
        <x:f>IF(A436="","",SUMIFS('CHI_TIẾT_BÁO_GIÁ'!$N$2:$N$500,'CHI_TIẾT_BÁO_GIÁ'!$B$2:$B$500,A436))</x:f>
      </x:c>
      <x:c r="J436" s="36" t="str">
        <x:f>IF(A436="","",IF(AND(H436="ĐÃ GỬI",G436&lt;TODAY()),"HẾT HẠN",""))</x:f>
      </x:c>
      <x:c r="K436" s="39"/>
      <x:c r="L436" s="39"/>
      <x:c r="M436" s="39"/>
      <x:c r="N436" s="39"/>
      <x:c r="O436" s="42"/>
      <x:c r="P436" s="39"/>
      <x:c r="Q436" s="42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39"/>
      <x:c r="E437" s="39"/>
      <x:c r="F437" s="41"/>
      <x:c r="G437" s="41"/>
      <x:c r="H437" s="39"/>
      <x:c r="I437" s="35" t="str">
        <x:f>IF(A437="","",SUMIFS('CHI_TIẾT_BÁO_GIÁ'!$N$2:$N$500,'CHI_TIẾT_BÁO_GIÁ'!$B$2:$B$500,A437))</x:f>
      </x:c>
      <x:c r="J437" s="36" t="str">
        <x:f>IF(A437="","",IF(AND(H437="ĐÃ GỬI",G437&lt;TODAY()),"HẾT HẠN",""))</x:f>
      </x:c>
      <x:c r="K437" s="39"/>
      <x:c r="L437" s="39"/>
      <x:c r="M437" s="39"/>
      <x:c r="N437" s="39"/>
      <x:c r="O437" s="42"/>
      <x:c r="P437" s="39"/>
      <x:c r="Q437" s="42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39"/>
      <x:c r="E438" s="39"/>
      <x:c r="F438" s="41"/>
      <x:c r="G438" s="41"/>
      <x:c r="H438" s="39"/>
      <x:c r="I438" s="35" t="str">
        <x:f>IF(A438="","",SUMIFS('CHI_TIẾT_BÁO_GIÁ'!$N$2:$N$500,'CHI_TIẾT_BÁO_GIÁ'!$B$2:$B$500,A438))</x:f>
      </x:c>
      <x:c r="J438" s="36" t="str">
        <x:f>IF(A438="","",IF(AND(H438="ĐÃ GỬI",G438&lt;TODAY()),"HẾT HẠN",""))</x:f>
      </x:c>
      <x:c r="K438" s="39"/>
      <x:c r="L438" s="39"/>
      <x:c r="M438" s="39"/>
      <x:c r="N438" s="39"/>
      <x:c r="O438" s="42"/>
      <x:c r="P438" s="39"/>
      <x:c r="Q438" s="42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39"/>
      <x:c r="E439" s="39"/>
      <x:c r="F439" s="41"/>
      <x:c r="G439" s="41"/>
      <x:c r="H439" s="39"/>
      <x:c r="I439" s="35" t="str">
        <x:f>IF(A439="","",SUMIFS('CHI_TIẾT_BÁO_GIÁ'!$N$2:$N$500,'CHI_TIẾT_BÁO_GIÁ'!$B$2:$B$500,A439))</x:f>
      </x:c>
      <x:c r="J439" s="36" t="str">
        <x:f>IF(A439="","",IF(AND(H439="ĐÃ GỬI",G439&lt;TODAY()),"HẾT HẠN",""))</x:f>
      </x:c>
      <x:c r="K439" s="39"/>
      <x:c r="L439" s="39"/>
      <x:c r="M439" s="39"/>
      <x:c r="N439" s="39"/>
      <x:c r="O439" s="42"/>
      <x:c r="P439" s="39"/>
      <x:c r="Q439" s="42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39"/>
      <x:c r="E440" s="39"/>
      <x:c r="F440" s="41"/>
      <x:c r="G440" s="41"/>
      <x:c r="H440" s="39"/>
      <x:c r="I440" s="35" t="str">
        <x:f>IF(A440="","",SUMIFS('CHI_TIẾT_BÁO_GIÁ'!$N$2:$N$500,'CHI_TIẾT_BÁO_GIÁ'!$B$2:$B$500,A440))</x:f>
      </x:c>
      <x:c r="J440" s="36" t="str">
        <x:f>IF(A440="","",IF(AND(H440="ĐÃ GỬI",G440&lt;TODAY()),"HẾT HẠN",""))</x:f>
      </x:c>
      <x:c r="K440" s="39"/>
      <x:c r="L440" s="39"/>
      <x:c r="M440" s="39"/>
      <x:c r="N440" s="39"/>
      <x:c r="O440" s="42"/>
      <x:c r="P440" s="39"/>
      <x:c r="Q440" s="42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39"/>
      <x:c r="E441" s="39"/>
      <x:c r="F441" s="41"/>
      <x:c r="G441" s="41"/>
      <x:c r="H441" s="39"/>
      <x:c r="I441" s="35" t="str">
        <x:f>IF(A441="","",SUMIFS('CHI_TIẾT_BÁO_GIÁ'!$N$2:$N$500,'CHI_TIẾT_BÁO_GIÁ'!$B$2:$B$500,A441))</x:f>
      </x:c>
      <x:c r="J441" s="36" t="str">
        <x:f>IF(A441="","",IF(AND(H441="ĐÃ GỬI",G441&lt;TODAY()),"HẾT HẠN",""))</x:f>
      </x:c>
      <x:c r="K441" s="39"/>
      <x:c r="L441" s="39"/>
      <x:c r="M441" s="39"/>
      <x:c r="N441" s="39"/>
      <x:c r="O441" s="42"/>
      <x:c r="P441" s="39"/>
      <x:c r="Q441" s="42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39"/>
      <x:c r="E442" s="39"/>
      <x:c r="F442" s="41"/>
      <x:c r="G442" s="41"/>
      <x:c r="H442" s="39"/>
      <x:c r="I442" s="35" t="str">
        <x:f>IF(A442="","",SUMIFS('CHI_TIẾT_BÁO_GIÁ'!$N$2:$N$500,'CHI_TIẾT_BÁO_GIÁ'!$B$2:$B$500,A442))</x:f>
      </x:c>
      <x:c r="J442" s="36" t="str">
        <x:f>IF(A442="","",IF(AND(H442="ĐÃ GỬI",G442&lt;TODAY()),"HẾT HẠN",""))</x:f>
      </x:c>
      <x:c r="K442" s="39"/>
      <x:c r="L442" s="39"/>
      <x:c r="M442" s="39"/>
      <x:c r="N442" s="39"/>
      <x:c r="O442" s="42"/>
      <x:c r="P442" s="39"/>
      <x:c r="Q442" s="42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39"/>
      <x:c r="E443" s="39"/>
      <x:c r="F443" s="41"/>
      <x:c r="G443" s="41"/>
      <x:c r="H443" s="39"/>
      <x:c r="I443" s="35" t="str">
        <x:f>IF(A443="","",SUMIFS('CHI_TIẾT_BÁO_GIÁ'!$N$2:$N$500,'CHI_TIẾT_BÁO_GIÁ'!$B$2:$B$500,A443))</x:f>
      </x:c>
      <x:c r="J443" s="36" t="str">
        <x:f>IF(A443="","",IF(AND(H443="ĐÃ GỬI",G443&lt;TODAY()),"HẾT HẠN",""))</x:f>
      </x:c>
      <x:c r="K443" s="39"/>
      <x:c r="L443" s="39"/>
      <x:c r="M443" s="39"/>
      <x:c r="N443" s="39"/>
      <x:c r="O443" s="42"/>
      <x:c r="P443" s="39"/>
      <x:c r="Q443" s="42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39"/>
      <x:c r="E444" s="39"/>
      <x:c r="F444" s="41"/>
      <x:c r="G444" s="41"/>
      <x:c r="H444" s="39"/>
      <x:c r="I444" s="35" t="str">
        <x:f>IF(A444="","",SUMIFS('CHI_TIẾT_BÁO_GIÁ'!$N$2:$N$500,'CHI_TIẾT_BÁO_GIÁ'!$B$2:$B$500,A444))</x:f>
      </x:c>
      <x:c r="J444" s="36" t="str">
        <x:f>IF(A444="","",IF(AND(H444="ĐÃ GỬI",G444&lt;TODAY()),"HẾT HẠN",""))</x:f>
      </x:c>
      <x:c r="K444" s="39"/>
      <x:c r="L444" s="39"/>
      <x:c r="M444" s="39"/>
      <x:c r="N444" s="39"/>
      <x:c r="O444" s="42"/>
      <x:c r="P444" s="39"/>
      <x:c r="Q444" s="42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39"/>
      <x:c r="E445" s="39"/>
      <x:c r="F445" s="41"/>
      <x:c r="G445" s="41"/>
      <x:c r="H445" s="39"/>
      <x:c r="I445" s="35" t="str">
        <x:f>IF(A445="","",SUMIFS('CHI_TIẾT_BÁO_GIÁ'!$N$2:$N$500,'CHI_TIẾT_BÁO_GIÁ'!$B$2:$B$500,A445))</x:f>
      </x:c>
      <x:c r="J445" s="36" t="str">
        <x:f>IF(A445="","",IF(AND(H445="ĐÃ GỬI",G445&lt;TODAY()),"HẾT HẠN",""))</x:f>
      </x:c>
      <x:c r="K445" s="39"/>
      <x:c r="L445" s="39"/>
      <x:c r="M445" s="39"/>
      <x:c r="N445" s="39"/>
      <x:c r="O445" s="42"/>
      <x:c r="P445" s="39"/>
      <x:c r="Q445" s="42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39"/>
      <x:c r="E446" s="39"/>
      <x:c r="F446" s="41"/>
      <x:c r="G446" s="41"/>
      <x:c r="H446" s="39"/>
      <x:c r="I446" s="35" t="str">
        <x:f>IF(A446="","",SUMIFS('CHI_TIẾT_BÁO_GIÁ'!$N$2:$N$500,'CHI_TIẾT_BÁO_GIÁ'!$B$2:$B$500,A446))</x:f>
      </x:c>
      <x:c r="J446" s="36" t="str">
        <x:f>IF(A446="","",IF(AND(H446="ĐÃ GỬI",G446&lt;TODAY()),"HẾT HẠN",""))</x:f>
      </x:c>
      <x:c r="K446" s="39"/>
      <x:c r="L446" s="39"/>
      <x:c r="M446" s="39"/>
      <x:c r="N446" s="39"/>
      <x:c r="O446" s="42"/>
      <x:c r="P446" s="39"/>
      <x:c r="Q446" s="42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39"/>
      <x:c r="E447" s="39"/>
      <x:c r="F447" s="41"/>
      <x:c r="G447" s="41"/>
      <x:c r="H447" s="39"/>
      <x:c r="I447" s="35" t="str">
        <x:f>IF(A447="","",SUMIFS('CHI_TIẾT_BÁO_GIÁ'!$N$2:$N$500,'CHI_TIẾT_BÁO_GIÁ'!$B$2:$B$500,A447))</x:f>
      </x:c>
      <x:c r="J447" s="36" t="str">
        <x:f>IF(A447="","",IF(AND(H447="ĐÃ GỬI",G447&lt;TODAY()),"HẾT HẠN",""))</x:f>
      </x:c>
      <x:c r="K447" s="39"/>
      <x:c r="L447" s="39"/>
      <x:c r="M447" s="39"/>
      <x:c r="N447" s="39"/>
      <x:c r="O447" s="42"/>
      <x:c r="P447" s="39"/>
      <x:c r="Q447" s="42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39"/>
      <x:c r="E448" s="39"/>
      <x:c r="F448" s="41"/>
      <x:c r="G448" s="41"/>
      <x:c r="H448" s="39"/>
      <x:c r="I448" s="35" t="str">
        <x:f>IF(A448="","",SUMIFS('CHI_TIẾT_BÁO_GIÁ'!$N$2:$N$500,'CHI_TIẾT_BÁO_GIÁ'!$B$2:$B$500,A448))</x:f>
      </x:c>
      <x:c r="J448" s="36" t="str">
        <x:f>IF(A448="","",IF(AND(H448="ĐÃ GỬI",G448&lt;TODAY()),"HẾT HẠN",""))</x:f>
      </x:c>
      <x:c r="K448" s="39"/>
      <x:c r="L448" s="39"/>
      <x:c r="M448" s="39"/>
      <x:c r="N448" s="39"/>
      <x:c r="O448" s="42"/>
      <x:c r="P448" s="39"/>
      <x:c r="Q448" s="42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39"/>
      <x:c r="E449" s="39"/>
      <x:c r="F449" s="41"/>
      <x:c r="G449" s="41"/>
      <x:c r="H449" s="39"/>
      <x:c r="I449" s="35" t="str">
        <x:f>IF(A449="","",SUMIFS('CHI_TIẾT_BÁO_GIÁ'!$N$2:$N$500,'CHI_TIẾT_BÁO_GIÁ'!$B$2:$B$500,A449))</x:f>
      </x:c>
      <x:c r="J449" s="36" t="str">
        <x:f>IF(A449="","",IF(AND(H449="ĐÃ GỬI",G449&lt;TODAY()),"HẾT HẠN",""))</x:f>
      </x:c>
      <x:c r="K449" s="39"/>
      <x:c r="L449" s="39"/>
      <x:c r="M449" s="39"/>
      <x:c r="N449" s="39"/>
      <x:c r="O449" s="42"/>
      <x:c r="P449" s="39"/>
      <x:c r="Q449" s="42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39"/>
      <x:c r="E450" s="39"/>
      <x:c r="F450" s="41"/>
      <x:c r="G450" s="41"/>
      <x:c r="H450" s="39"/>
      <x:c r="I450" s="35" t="str">
        <x:f>IF(A450="","",SUMIFS('CHI_TIẾT_BÁO_GIÁ'!$N$2:$N$500,'CHI_TIẾT_BÁO_GIÁ'!$B$2:$B$500,A450))</x:f>
      </x:c>
      <x:c r="J450" s="36" t="str">
        <x:f>IF(A450="","",IF(AND(H450="ĐÃ GỬI",G450&lt;TODAY()),"HẾT HẠN",""))</x:f>
      </x:c>
      <x:c r="K450" s="39"/>
      <x:c r="L450" s="39"/>
      <x:c r="M450" s="39"/>
      <x:c r="N450" s="39"/>
      <x:c r="O450" s="42"/>
      <x:c r="P450" s="39"/>
      <x:c r="Q450" s="42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39"/>
      <x:c r="E451" s="39"/>
      <x:c r="F451" s="41"/>
      <x:c r="G451" s="41"/>
      <x:c r="H451" s="39"/>
      <x:c r="I451" s="35" t="str">
        <x:f>IF(A451="","",SUMIFS('CHI_TIẾT_BÁO_GIÁ'!$N$2:$N$500,'CHI_TIẾT_BÁO_GIÁ'!$B$2:$B$500,A451))</x:f>
      </x:c>
      <x:c r="J451" s="36" t="str">
        <x:f>IF(A451="","",IF(AND(H451="ĐÃ GỬI",G451&lt;TODAY()),"HẾT HẠN",""))</x:f>
      </x:c>
      <x:c r="K451" s="39"/>
      <x:c r="L451" s="39"/>
      <x:c r="M451" s="39"/>
      <x:c r="N451" s="39"/>
      <x:c r="O451" s="42"/>
      <x:c r="P451" s="39"/>
      <x:c r="Q451" s="42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39"/>
      <x:c r="E452" s="39"/>
      <x:c r="F452" s="41"/>
      <x:c r="G452" s="41"/>
      <x:c r="H452" s="39"/>
      <x:c r="I452" s="35" t="str">
        <x:f>IF(A452="","",SUMIFS('CHI_TIẾT_BÁO_GIÁ'!$N$2:$N$500,'CHI_TIẾT_BÁO_GIÁ'!$B$2:$B$500,A452))</x:f>
      </x:c>
      <x:c r="J452" s="36" t="str">
        <x:f>IF(A452="","",IF(AND(H452="ĐÃ GỬI",G452&lt;TODAY()),"HẾT HẠN",""))</x:f>
      </x:c>
      <x:c r="K452" s="39"/>
      <x:c r="L452" s="39"/>
      <x:c r="M452" s="39"/>
      <x:c r="N452" s="39"/>
      <x:c r="O452" s="42"/>
      <x:c r="P452" s="39"/>
      <x:c r="Q452" s="42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39"/>
      <x:c r="E453" s="39"/>
      <x:c r="F453" s="41"/>
      <x:c r="G453" s="41"/>
      <x:c r="H453" s="39"/>
      <x:c r="I453" s="35" t="str">
        <x:f>IF(A453="","",SUMIFS('CHI_TIẾT_BÁO_GIÁ'!$N$2:$N$500,'CHI_TIẾT_BÁO_GIÁ'!$B$2:$B$500,A453))</x:f>
      </x:c>
      <x:c r="J453" s="36" t="str">
        <x:f>IF(A453="","",IF(AND(H453="ĐÃ GỬI",G453&lt;TODAY()),"HẾT HẠN",""))</x:f>
      </x:c>
      <x:c r="K453" s="39"/>
      <x:c r="L453" s="39"/>
      <x:c r="M453" s="39"/>
      <x:c r="N453" s="39"/>
      <x:c r="O453" s="42"/>
      <x:c r="P453" s="39"/>
      <x:c r="Q453" s="42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39"/>
      <x:c r="E454" s="39"/>
      <x:c r="F454" s="41"/>
      <x:c r="G454" s="41"/>
      <x:c r="H454" s="39"/>
      <x:c r="I454" s="35" t="str">
        <x:f>IF(A454="","",SUMIFS('CHI_TIẾT_BÁO_GIÁ'!$N$2:$N$500,'CHI_TIẾT_BÁO_GIÁ'!$B$2:$B$500,A454))</x:f>
      </x:c>
      <x:c r="J454" s="36" t="str">
        <x:f>IF(A454="","",IF(AND(H454="ĐÃ GỬI",G454&lt;TODAY()),"HẾT HẠN",""))</x:f>
      </x:c>
      <x:c r="K454" s="39"/>
      <x:c r="L454" s="39"/>
      <x:c r="M454" s="39"/>
      <x:c r="N454" s="39"/>
      <x:c r="O454" s="42"/>
      <x:c r="P454" s="39"/>
      <x:c r="Q454" s="42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39"/>
      <x:c r="E455" s="39"/>
      <x:c r="F455" s="41"/>
      <x:c r="G455" s="41"/>
      <x:c r="H455" s="39"/>
      <x:c r="I455" s="35" t="str">
        <x:f>IF(A455="","",SUMIFS('CHI_TIẾT_BÁO_GIÁ'!$N$2:$N$500,'CHI_TIẾT_BÁO_GIÁ'!$B$2:$B$500,A455))</x:f>
      </x:c>
      <x:c r="J455" s="36" t="str">
        <x:f>IF(A455="","",IF(AND(H455="ĐÃ GỬI",G455&lt;TODAY()),"HẾT HẠN",""))</x:f>
      </x:c>
      <x:c r="K455" s="39"/>
      <x:c r="L455" s="39"/>
      <x:c r="M455" s="39"/>
      <x:c r="N455" s="39"/>
      <x:c r="O455" s="42"/>
      <x:c r="P455" s="39"/>
      <x:c r="Q455" s="42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39"/>
      <x:c r="E456" s="39"/>
      <x:c r="F456" s="41"/>
      <x:c r="G456" s="41"/>
      <x:c r="H456" s="39"/>
      <x:c r="I456" s="35" t="str">
        <x:f>IF(A456="","",SUMIFS('CHI_TIẾT_BÁO_GIÁ'!$N$2:$N$500,'CHI_TIẾT_BÁO_GIÁ'!$B$2:$B$500,A456))</x:f>
      </x:c>
      <x:c r="J456" s="36" t="str">
        <x:f>IF(A456="","",IF(AND(H456="ĐÃ GỬI",G456&lt;TODAY()),"HẾT HẠN",""))</x:f>
      </x:c>
      <x:c r="K456" s="39"/>
      <x:c r="L456" s="39"/>
      <x:c r="M456" s="39"/>
      <x:c r="N456" s="39"/>
      <x:c r="O456" s="42"/>
      <x:c r="P456" s="39"/>
      <x:c r="Q456" s="42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39"/>
      <x:c r="E457" s="39"/>
      <x:c r="F457" s="41"/>
      <x:c r="G457" s="41"/>
      <x:c r="H457" s="39"/>
      <x:c r="I457" s="35" t="str">
        <x:f>IF(A457="","",SUMIFS('CHI_TIẾT_BÁO_GIÁ'!$N$2:$N$500,'CHI_TIẾT_BÁO_GIÁ'!$B$2:$B$500,A457))</x:f>
      </x:c>
      <x:c r="J457" s="36" t="str">
        <x:f>IF(A457="","",IF(AND(H457="ĐÃ GỬI",G457&lt;TODAY()),"HẾT HẠN",""))</x:f>
      </x:c>
      <x:c r="K457" s="39"/>
      <x:c r="L457" s="39"/>
      <x:c r="M457" s="39"/>
      <x:c r="N457" s="39"/>
      <x:c r="O457" s="42"/>
      <x:c r="P457" s="39"/>
      <x:c r="Q457" s="42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39"/>
      <x:c r="E458" s="39"/>
      <x:c r="F458" s="41"/>
      <x:c r="G458" s="41"/>
      <x:c r="H458" s="39"/>
      <x:c r="I458" s="35" t="str">
        <x:f>IF(A458="","",SUMIFS('CHI_TIẾT_BÁO_GIÁ'!$N$2:$N$500,'CHI_TIẾT_BÁO_GIÁ'!$B$2:$B$500,A458))</x:f>
      </x:c>
      <x:c r="J458" s="36" t="str">
        <x:f>IF(A458="","",IF(AND(H458="ĐÃ GỬI",G458&lt;TODAY()),"HẾT HẠN",""))</x:f>
      </x:c>
      <x:c r="K458" s="39"/>
      <x:c r="L458" s="39"/>
      <x:c r="M458" s="39"/>
      <x:c r="N458" s="39"/>
      <x:c r="O458" s="42"/>
      <x:c r="P458" s="39"/>
      <x:c r="Q458" s="42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39"/>
      <x:c r="E459" s="39"/>
      <x:c r="F459" s="41"/>
      <x:c r="G459" s="41"/>
      <x:c r="H459" s="39"/>
      <x:c r="I459" s="35" t="str">
        <x:f>IF(A459="","",SUMIFS('CHI_TIẾT_BÁO_GIÁ'!$N$2:$N$500,'CHI_TIẾT_BÁO_GIÁ'!$B$2:$B$500,A459))</x:f>
      </x:c>
      <x:c r="J459" s="36" t="str">
        <x:f>IF(A459="","",IF(AND(H459="ĐÃ GỬI",G459&lt;TODAY()),"HẾT HẠN",""))</x:f>
      </x:c>
      <x:c r="K459" s="39"/>
      <x:c r="L459" s="39"/>
      <x:c r="M459" s="39"/>
      <x:c r="N459" s="39"/>
      <x:c r="O459" s="42"/>
      <x:c r="P459" s="39"/>
      <x:c r="Q459" s="42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39"/>
      <x:c r="E460" s="39"/>
      <x:c r="F460" s="41"/>
      <x:c r="G460" s="41"/>
      <x:c r="H460" s="39"/>
      <x:c r="I460" s="35" t="str">
        <x:f>IF(A460="","",SUMIFS('CHI_TIẾT_BÁO_GIÁ'!$N$2:$N$500,'CHI_TIẾT_BÁO_GIÁ'!$B$2:$B$500,A460))</x:f>
      </x:c>
      <x:c r="J460" s="36" t="str">
        <x:f>IF(A460="","",IF(AND(H460="ĐÃ GỬI",G460&lt;TODAY()),"HẾT HẠN",""))</x:f>
      </x:c>
      <x:c r="K460" s="39"/>
      <x:c r="L460" s="39"/>
      <x:c r="M460" s="39"/>
      <x:c r="N460" s="39"/>
      <x:c r="O460" s="42"/>
      <x:c r="P460" s="39"/>
      <x:c r="Q460" s="42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39"/>
      <x:c r="E461" s="39"/>
      <x:c r="F461" s="41"/>
      <x:c r="G461" s="41"/>
      <x:c r="H461" s="39"/>
      <x:c r="I461" s="35" t="str">
        <x:f>IF(A461="","",SUMIFS('CHI_TIẾT_BÁO_GIÁ'!$N$2:$N$500,'CHI_TIẾT_BÁO_GIÁ'!$B$2:$B$500,A461))</x:f>
      </x:c>
      <x:c r="J461" s="36" t="str">
        <x:f>IF(A461="","",IF(AND(H461="ĐÃ GỬI",G461&lt;TODAY()),"HẾT HẠN",""))</x:f>
      </x:c>
      <x:c r="K461" s="39"/>
      <x:c r="L461" s="39"/>
      <x:c r="M461" s="39"/>
      <x:c r="N461" s="39"/>
      <x:c r="O461" s="42"/>
      <x:c r="P461" s="39"/>
      <x:c r="Q461" s="42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39"/>
      <x:c r="E462" s="39"/>
      <x:c r="F462" s="41"/>
      <x:c r="G462" s="41"/>
      <x:c r="H462" s="39"/>
      <x:c r="I462" s="35" t="str">
        <x:f>IF(A462="","",SUMIFS('CHI_TIẾT_BÁO_GIÁ'!$N$2:$N$500,'CHI_TIẾT_BÁO_GIÁ'!$B$2:$B$500,A462))</x:f>
      </x:c>
      <x:c r="J462" s="36" t="str">
        <x:f>IF(A462="","",IF(AND(H462="ĐÃ GỬI",G462&lt;TODAY()),"HẾT HẠN",""))</x:f>
      </x:c>
      <x:c r="K462" s="39"/>
      <x:c r="L462" s="39"/>
      <x:c r="M462" s="39"/>
      <x:c r="N462" s="39"/>
      <x:c r="O462" s="42"/>
      <x:c r="P462" s="39"/>
      <x:c r="Q462" s="42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39"/>
      <x:c r="E463" s="39"/>
      <x:c r="F463" s="41"/>
      <x:c r="G463" s="41"/>
      <x:c r="H463" s="39"/>
      <x:c r="I463" s="35" t="str">
        <x:f>IF(A463="","",SUMIFS('CHI_TIẾT_BÁO_GIÁ'!$N$2:$N$500,'CHI_TIẾT_BÁO_GIÁ'!$B$2:$B$500,A463))</x:f>
      </x:c>
      <x:c r="J463" s="36" t="str">
        <x:f>IF(A463="","",IF(AND(H463="ĐÃ GỬI",G463&lt;TODAY()),"HẾT HẠN",""))</x:f>
      </x:c>
      <x:c r="K463" s="39"/>
      <x:c r="L463" s="39"/>
      <x:c r="M463" s="39"/>
      <x:c r="N463" s="39"/>
      <x:c r="O463" s="42"/>
      <x:c r="P463" s="39"/>
      <x:c r="Q463" s="42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39"/>
      <x:c r="E464" s="39"/>
      <x:c r="F464" s="41"/>
      <x:c r="G464" s="41"/>
      <x:c r="H464" s="39"/>
      <x:c r="I464" s="35" t="str">
        <x:f>IF(A464="","",SUMIFS('CHI_TIẾT_BÁO_GIÁ'!$N$2:$N$500,'CHI_TIẾT_BÁO_GIÁ'!$B$2:$B$500,A464))</x:f>
      </x:c>
      <x:c r="J464" s="36" t="str">
        <x:f>IF(A464="","",IF(AND(H464="ĐÃ GỬI",G464&lt;TODAY()),"HẾT HẠN",""))</x:f>
      </x:c>
      <x:c r="K464" s="39"/>
      <x:c r="L464" s="39"/>
      <x:c r="M464" s="39"/>
      <x:c r="N464" s="39"/>
      <x:c r="O464" s="42"/>
      <x:c r="P464" s="39"/>
      <x:c r="Q464" s="42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39"/>
      <x:c r="E465" s="39"/>
      <x:c r="F465" s="41"/>
      <x:c r="G465" s="41"/>
      <x:c r="H465" s="39"/>
      <x:c r="I465" s="35" t="str">
        <x:f>IF(A465="","",SUMIFS('CHI_TIẾT_BÁO_GIÁ'!$N$2:$N$500,'CHI_TIẾT_BÁO_GIÁ'!$B$2:$B$500,A465))</x:f>
      </x:c>
      <x:c r="J465" s="36" t="str">
        <x:f>IF(A465="","",IF(AND(H465="ĐÃ GỬI",G465&lt;TODAY()),"HẾT HẠN",""))</x:f>
      </x:c>
      <x:c r="K465" s="39"/>
      <x:c r="L465" s="39"/>
      <x:c r="M465" s="39"/>
      <x:c r="N465" s="39"/>
      <x:c r="O465" s="42"/>
      <x:c r="P465" s="39"/>
      <x:c r="Q465" s="42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39"/>
      <x:c r="E466" s="39"/>
      <x:c r="F466" s="41"/>
      <x:c r="G466" s="41"/>
      <x:c r="H466" s="39"/>
      <x:c r="I466" s="35" t="str">
        <x:f>IF(A466="","",SUMIFS('CHI_TIẾT_BÁO_GIÁ'!$N$2:$N$500,'CHI_TIẾT_BÁO_GIÁ'!$B$2:$B$500,A466))</x:f>
      </x:c>
      <x:c r="J466" s="36" t="str">
        <x:f>IF(A466="","",IF(AND(H466="ĐÃ GỬI",G466&lt;TODAY()),"HẾT HẠN",""))</x:f>
      </x:c>
      <x:c r="K466" s="39"/>
      <x:c r="L466" s="39"/>
      <x:c r="M466" s="39"/>
      <x:c r="N466" s="39"/>
      <x:c r="O466" s="42"/>
      <x:c r="P466" s="39"/>
      <x:c r="Q466" s="42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39"/>
      <x:c r="E467" s="39"/>
      <x:c r="F467" s="41"/>
      <x:c r="G467" s="41"/>
      <x:c r="H467" s="39"/>
      <x:c r="I467" s="35" t="str">
        <x:f>IF(A467="","",SUMIFS('CHI_TIẾT_BÁO_GIÁ'!$N$2:$N$500,'CHI_TIẾT_BÁO_GIÁ'!$B$2:$B$500,A467))</x:f>
      </x:c>
      <x:c r="J467" s="36" t="str">
        <x:f>IF(A467="","",IF(AND(H467="ĐÃ GỬI",G467&lt;TODAY()),"HẾT HẠN",""))</x:f>
      </x:c>
      <x:c r="K467" s="39"/>
      <x:c r="L467" s="39"/>
      <x:c r="M467" s="39"/>
      <x:c r="N467" s="39"/>
      <x:c r="O467" s="42"/>
      <x:c r="P467" s="39"/>
      <x:c r="Q467" s="42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39"/>
      <x:c r="E468" s="39"/>
      <x:c r="F468" s="41"/>
      <x:c r="G468" s="41"/>
      <x:c r="H468" s="39"/>
      <x:c r="I468" s="35" t="str">
        <x:f>IF(A468="","",SUMIFS('CHI_TIẾT_BÁO_GIÁ'!$N$2:$N$500,'CHI_TIẾT_BÁO_GIÁ'!$B$2:$B$500,A468))</x:f>
      </x:c>
      <x:c r="J468" s="36" t="str">
        <x:f>IF(A468="","",IF(AND(H468="ĐÃ GỬI",G468&lt;TODAY()),"HẾT HẠN",""))</x:f>
      </x:c>
      <x:c r="K468" s="39"/>
      <x:c r="L468" s="39"/>
      <x:c r="M468" s="39"/>
      <x:c r="N468" s="39"/>
      <x:c r="O468" s="42"/>
      <x:c r="P468" s="39"/>
      <x:c r="Q468" s="42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39"/>
      <x:c r="E469" s="39"/>
      <x:c r="F469" s="41"/>
      <x:c r="G469" s="41"/>
      <x:c r="H469" s="39"/>
      <x:c r="I469" s="35" t="str">
        <x:f>IF(A469="","",SUMIFS('CHI_TIẾT_BÁO_GIÁ'!$N$2:$N$500,'CHI_TIẾT_BÁO_GIÁ'!$B$2:$B$500,A469))</x:f>
      </x:c>
      <x:c r="J469" s="36" t="str">
        <x:f>IF(A469="","",IF(AND(H469="ĐÃ GỬI",G469&lt;TODAY()),"HẾT HẠN",""))</x:f>
      </x:c>
      <x:c r="K469" s="39"/>
      <x:c r="L469" s="39"/>
      <x:c r="M469" s="39"/>
      <x:c r="N469" s="39"/>
      <x:c r="O469" s="42"/>
      <x:c r="P469" s="39"/>
      <x:c r="Q469" s="42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39"/>
      <x:c r="E470" s="39"/>
      <x:c r="F470" s="41"/>
      <x:c r="G470" s="41"/>
      <x:c r="H470" s="39"/>
      <x:c r="I470" s="35" t="str">
        <x:f>IF(A470="","",SUMIFS('CHI_TIẾT_BÁO_GIÁ'!$N$2:$N$500,'CHI_TIẾT_BÁO_GIÁ'!$B$2:$B$500,A470))</x:f>
      </x:c>
      <x:c r="J470" s="36" t="str">
        <x:f>IF(A470="","",IF(AND(H470="ĐÃ GỬI",G470&lt;TODAY()),"HẾT HẠN",""))</x:f>
      </x:c>
      <x:c r="K470" s="39"/>
      <x:c r="L470" s="39"/>
      <x:c r="M470" s="39"/>
      <x:c r="N470" s="39"/>
      <x:c r="O470" s="42"/>
      <x:c r="P470" s="39"/>
      <x:c r="Q470" s="42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39"/>
      <x:c r="E471" s="39"/>
      <x:c r="F471" s="41"/>
      <x:c r="G471" s="41"/>
      <x:c r="H471" s="39"/>
      <x:c r="I471" s="35" t="str">
        <x:f>IF(A471="","",SUMIFS('CHI_TIẾT_BÁO_GIÁ'!$N$2:$N$500,'CHI_TIẾT_BÁO_GIÁ'!$B$2:$B$500,A471))</x:f>
      </x:c>
      <x:c r="J471" s="36" t="str">
        <x:f>IF(A471="","",IF(AND(H471="ĐÃ GỬI",G471&lt;TODAY()),"HẾT HẠN",""))</x:f>
      </x:c>
      <x:c r="K471" s="39"/>
      <x:c r="L471" s="39"/>
      <x:c r="M471" s="39"/>
      <x:c r="N471" s="39"/>
      <x:c r="O471" s="42"/>
      <x:c r="P471" s="39"/>
      <x:c r="Q471" s="42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39"/>
      <x:c r="E472" s="39"/>
      <x:c r="F472" s="41"/>
      <x:c r="G472" s="41"/>
      <x:c r="H472" s="39"/>
      <x:c r="I472" s="35" t="str">
        <x:f>IF(A472="","",SUMIFS('CHI_TIẾT_BÁO_GIÁ'!$N$2:$N$500,'CHI_TIẾT_BÁO_GIÁ'!$B$2:$B$500,A472))</x:f>
      </x:c>
      <x:c r="J472" s="36" t="str">
        <x:f>IF(A472="","",IF(AND(H472="ĐÃ GỬI",G472&lt;TODAY()),"HẾT HẠN",""))</x:f>
      </x:c>
      <x:c r="K472" s="39"/>
      <x:c r="L472" s="39"/>
      <x:c r="M472" s="39"/>
      <x:c r="N472" s="39"/>
      <x:c r="O472" s="42"/>
      <x:c r="P472" s="39"/>
      <x:c r="Q472" s="42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39"/>
      <x:c r="E473" s="39"/>
      <x:c r="F473" s="41"/>
      <x:c r="G473" s="41"/>
      <x:c r="H473" s="39"/>
      <x:c r="I473" s="35" t="str">
        <x:f>IF(A473="","",SUMIFS('CHI_TIẾT_BÁO_GIÁ'!$N$2:$N$500,'CHI_TIẾT_BÁO_GIÁ'!$B$2:$B$500,A473))</x:f>
      </x:c>
      <x:c r="J473" s="36" t="str">
        <x:f>IF(A473="","",IF(AND(H473="ĐÃ GỬI",G473&lt;TODAY()),"HẾT HẠN",""))</x:f>
      </x:c>
      <x:c r="K473" s="39"/>
      <x:c r="L473" s="39"/>
      <x:c r="M473" s="39"/>
      <x:c r="N473" s="39"/>
      <x:c r="O473" s="42"/>
      <x:c r="P473" s="39"/>
      <x:c r="Q473" s="42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39"/>
      <x:c r="E474" s="39"/>
      <x:c r="F474" s="41"/>
      <x:c r="G474" s="41"/>
      <x:c r="H474" s="39"/>
      <x:c r="I474" s="35" t="str">
        <x:f>IF(A474="","",SUMIFS('CHI_TIẾT_BÁO_GIÁ'!$N$2:$N$500,'CHI_TIẾT_BÁO_GIÁ'!$B$2:$B$500,A474))</x:f>
      </x:c>
      <x:c r="J474" s="36" t="str">
        <x:f>IF(A474="","",IF(AND(H474="ĐÃ GỬI",G474&lt;TODAY()),"HẾT HẠN",""))</x:f>
      </x:c>
      <x:c r="K474" s="39"/>
      <x:c r="L474" s="39"/>
      <x:c r="M474" s="39"/>
      <x:c r="N474" s="39"/>
      <x:c r="O474" s="42"/>
      <x:c r="P474" s="39"/>
      <x:c r="Q474" s="42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39"/>
      <x:c r="E475" s="39"/>
      <x:c r="F475" s="41"/>
      <x:c r="G475" s="41"/>
      <x:c r="H475" s="39"/>
      <x:c r="I475" s="35" t="str">
        <x:f>IF(A475="","",SUMIFS('CHI_TIẾT_BÁO_GIÁ'!$N$2:$N$500,'CHI_TIẾT_BÁO_GIÁ'!$B$2:$B$500,A475))</x:f>
      </x:c>
      <x:c r="J475" s="36" t="str">
        <x:f>IF(A475="","",IF(AND(H475="ĐÃ GỬI",G475&lt;TODAY()),"HẾT HẠN",""))</x:f>
      </x:c>
      <x:c r="K475" s="39"/>
      <x:c r="L475" s="39"/>
      <x:c r="M475" s="39"/>
      <x:c r="N475" s="39"/>
      <x:c r="O475" s="42"/>
      <x:c r="P475" s="39"/>
      <x:c r="Q475" s="42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39"/>
      <x:c r="E476" s="39"/>
      <x:c r="F476" s="41"/>
      <x:c r="G476" s="41"/>
      <x:c r="H476" s="39"/>
      <x:c r="I476" s="35" t="str">
        <x:f>IF(A476="","",SUMIFS('CHI_TIẾT_BÁO_GIÁ'!$N$2:$N$500,'CHI_TIẾT_BÁO_GIÁ'!$B$2:$B$500,A476))</x:f>
      </x:c>
      <x:c r="J476" s="36" t="str">
        <x:f>IF(A476="","",IF(AND(H476="ĐÃ GỬI",G476&lt;TODAY()),"HẾT HẠN",""))</x:f>
      </x:c>
      <x:c r="K476" s="39"/>
      <x:c r="L476" s="39"/>
      <x:c r="M476" s="39"/>
      <x:c r="N476" s="39"/>
      <x:c r="O476" s="42"/>
      <x:c r="P476" s="39"/>
      <x:c r="Q476" s="42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39"/>
      <x:c r="E477" s="39"/>
      <x:c r="F477" s="41"/>
      <x:c r="G477" s="41"/>
      <x:c r="H477" s="39"/>
      <x:c r="I477" s="35" t="str">
        <x:f>IF(A477="","",SUMIFS('CHI_TIẾT_BÁO_GIÁ'!$N$2:$N$500,'CHI_TIẾT_BÁO_GIÁ'!$B$2:$B$500,A477))</x:f>
      </x:c>
      <x:c r="J477" s="36" t="str">
        <x:f>IF(A477="","",IF(AND(H477="ĐÃ GỬI",G477&lt;TODAY()),"HẾT HẠN",""))</x:f>
      </x:c>
      <x:c r="K477" s="39"/>
      <x:c r="L477" s="39"/>
      <x:c r="M477" s="39"/>
      <x:c r="N477" s="39"/>
      <x:c r="O477" s="42"/>
      <x:c r="P477" s="39"/>
      <x:c r="Q477" s="42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39"/>
      <x:c r="E478" s="39"/>
      <x:c r="F478" s="41"/>
      <x:c r="G478" s="41"/>
      <x:c r="H478" s="39"/>
      <x:c r="I478" s="35" t="str">
        <x:f>IF(A478="","",SUMIFS('CHI_TIẾT_BÁO_GIÁ'!$N$2:$N$500,'CHI_TIẾT_BÁO_GIÁ'!$B$2:$B$500,A478))</x:f>
      </x:c>
      <x:c r="J478" s="36" t="str">
        <x:f>IF(A478="","",IF(AND(H478="ĐÃ GỬI",G478&lt;TODAY()),"HẾT HẠN",""))</x:f>
      </x:c>
      <x:c r="K478" s="39"/>
      <x:c r="L478" s="39"/>
      <x:c r="M478" s="39"/>
      <x:c r="N478" s="39"/>
      <x:c r="O478" s="42"/>
      <x:c r="P478" s="39"/>
      <x:c r="Q478" s="42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39"/>
      <x:c r="E479" s="39"/>
      <x:c r="F479" s="41"/>
      <x:c r="G479" s="41"/>
      <x:c r="H479" s="39"/>
      <x:c r="I479" s="35" t="str">
        <x:f>IF(A479="","",SUMIFS('CHI_TIẾT_BÁO_GIÁ'!$N$2:$N$500,'CHI_TIẾT_BÁO_GIÁ'!$B$2:$B$500,A479))</x:f>
      </x:c>
      <x:c r="J479" s="36" t="str">
        <x:f>IF(A479="","",IF(AND(H479="ĐÃ GỬI",G479&lt;TODAY()),"HẾT HẠN",""))</x:f>
      </x:c>
      <x:c r="K479" s="39"/>
      <x:c r="L479" s="39"/>
      <x:c r="M479" s="39"/>
      <x:c r="N479" s="39"/>
      <x:c r="O479" s="42"/>
      <x:c r="P479" s="39"/>
      <x:c r="Q479" s="42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39"/>
      <x:c r="E480" s="39"/>
      <x:c r="F480" s="41"/>
      <x:c r="G480" s="41"/>
      <x:c r="H480" s="39"/>
      <x:c r="I480" s="35" t="str">
        <x:f>IF(A480="","",SUMIFS('CHI_TIẾT_BÁO_GIÁ'!$N$2:$N$500,'CHI_TIẾT_BÁO_GIÁ'!$B$2:$B$500,A480))</x:f>
      </x:c>
      <x:c r="J480" s="36" t="str">
        <x:f>IF(A480="","",IF(AND(H480="ĐÃ GỬI",G480&lt;TODAY()),"HẾT HẠN",""))</x:f>
      </x:c>
      <x:c r="K480" s="39"/>
      <x:c r="L480" s="39"/>
      <x:c r="M480" s="39"/>
      <x:c r="N480" s="39"/>
      <x:c r="O480" s="42"/>
      <x:c r="P480" s="39"/>
      <x:c r="Q480" s="42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39"/>
      <x:c r="E481" s="39"/>
      <x:c r="F481" s="41"/>
      <x:c r="G481" s="41"/>
      <x:c r="H481" s="39"/>
      <x:c r="I481" s="35" t="str">
        <x:f>IF(A481="","",SUMIFS('CHI_TIẾT_BÁO_GIÁ'!$N$2:$N$500,'CHI_TIẾT_BÁO_GIÁ'!$B$2:$B$500,A481))</x:f>
      </x:c>
      <x:c r="J481" s="36" t="str">
        <x:f>IF(A481="","",IF(AND(H481="ĐÃ GỬI",G481&lt;TODAY()),"HẾT HẠN",""))</x:f>
      </x:c>
      <x:c r="K481" s="39"/>
      <x:c r="L481" s="39"/>
      <x:c r="M481" s="39"/>
      <x:c r="N481" s="39"/>
      <x:c r="O481" s="42"/>
      <x:c r="P481" s="39"/>
      <x:c r="Q481" s="42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39"/>
      <x:c r="E482" s="39"/>
      <x:c r="F482" s="41"/>
      <x:c r="G482" s="41"/>
      <x:c r="H482" s="39"/>
      <x:c r="I482" s="35" t="str">
        <x:f>IF(A482="","",SUMIFS('CHI_TIẾT_BÁO_GIÁ'!$N$2:$N$500,'CHI_TIẾT_BÁO_GIÁ'!$B$2:$B$500,A482))</x:f>
      </x:c>
      <x:c r="J482" s="36" t="str">
        <x:f>IF(A482="","",IF(AND(H482="ĐÃ GỬI",G482&lt;TODAY()),"HẾT HẠN",""))</x:f>
      </x:c>
      <x:c r="K482" s="39"/>
      <x:c r="L482" s="39"/>
      <x:c r="M482" s="39"/>
      <x:c r="N482" s="39"/>
      <x:c r="O482" s="42"/>
      <x:c r="P482" s="39"/>
      <x:c r="Q482" s="42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39"/>
      <x:c r="E483" s="39"/>
      <x:c r="F483" s="41"/>
      <x:c r="G483" s="41"/>
      <x:c r="H483" s="39"/>
      <x:c r="I483" s="35" t="str">
        <x:f>IF(A483="","",SUMIFS('CHI_TIẾT_BÁO_GIÁ'!$N$2:$N$500,'CHI_TIẾT_BÁO_GIÁ'!$B$2:$B$500,A483))</x:f>
      </x:c>
      <x:c r="J483" s="36" t="str">
        <x:f>IF(A483="","",IF(AND(H483="ĐÃ GỬI",G483&lt;TODAY()),"HẾT HẠN",""))</x:f>
      </x:c>
      <x:c r="K483" s="39"/>
      <x:c r="L483" s="39"/>
      <x:c r="M483" s="39"/>
      <x:c r="N483" s="39"/>
      <x:c r="O483" s="42"/>
      <x:c r="P483" s="39"/>
      <x:c r="Q483" s="42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39"/>
      <x:c r="E484" s="39"/>
      <x:c r="F484" s="41"/>
      <x:c r="G484" s="41"/>
      <x:c r="H484" s="39"/>
      <x:c r="I484" s="35" t="str">
        <x:f>IF(A484="","",SUMIFS('CHI_TIẾT_BÁO_GIÁ'!$N$2:$N$500,'CHI_TIẾT_BÁO_GIÁ'!$B$2:$B$500,A484))</x:f>
      </x:c>
      <x:c r="J484" s="36" t="str">
        <x:f>IF(A484="","",IF(AND(H484="ĐÃ GỬI",G484&lt;TODAY()),"HẾT HẠN",""))</x:f>
      </x:c>
      <x:c r="K484" s="39"/>
      <x:c r="L484" s="39"/>
      <x:c r="M484" s="39"/>
      <x:c r="N484" s="39"/>
      <x:c r="O484" s="42"/>
      <x:c r="P484" s="39"/>
      <x:c r="Q484" s="42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39"/>
      <x:c r="E485" s="39"/>
      <x:c r="F485" s="41"/>
      <x:c r="G485" s="41"/>
      <x:c r="H485" s="39"/>
      <x:c r="I485" s="35" t="str">
        <x:f>IF(A485="","",SUMIFS('CHI_TIẾT_BÁO_GIÁ'!$N$2:$N$500,'CHI_TIẾT_BÁO_GIÁ'!$B$2:$B$500,A485))</x:f>
      </x:c>
      <x:c r="J485" s="36" t="str">
        <x:f>IF(A485="","",IF(AND(H485="ĐÃ GỬI",G485&lt;TODAY()),"HẾT HẠN",""))</x:f>
      </x:c>
      <x:c r="K485" s="39"/>
      <x:c r="L485" s="39"/>
      <x:c r="M485" s="39"/>
      <x:c r="N485" s="39"/>
      <x:c r="O485" s="42"/>
      <x:c r="P485" s="39"/>
      <x:c r="Q485" s="42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39"/>
      <x:c r="E486" s="39"/>
      <x:c r="F486" s="41"/>
      <x:c r="G486" s="41"/>
      <x:c r="H486" s="39"/>
      <x:c r="I486" s="35" t="str">
        <x:f>IF(A486="","",SUMIFS('CHI_TIẾT_BÁO_GIÁ'!$N$2:$N$500,'CHI_TIẾT_BÁO_GIÁ'!$B$2:$B$500,A486))</x:f>
      </x:c>
      <x:c r="J486" s="36" t="str">
        <x:f>IF(A486="","",IF(AND(H486="ĐÃ GỬI",G486&lt;TODAY()),"HẾT HẠN",""))</x:f>
      </x:c>
      <x:c r="K486" s="39"/>
      <x:c r="L486" s="39"/>
      <x:c r="M486" s="39"/>
      <x:c r="N486" s="39"/>
      <x:c r="O486" s="42"/>
      <x:c r="P486" s="39"/>
      <x:c r="Q486" s="42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39"/>
      <x:c r="E487" s="39"/>
      <x:c r="F487" s="41"/>
      <x:c r="G487" s="41"/>
      <x:c r="H487" s="39"/>
      <x:c r="I487" s="35" t="str">
        <x:f>IF(A487="","",SUMIFS('CHI_TIẾT_BÁO_GIÁ'!$N$2:$N$500,'CHI_TIẾT_BÁO_GIÁ'!$B$2:$B$500,A487))</x:f>
      </x:c>
      <x:c r="J487" s="36" t="str">
        <x:f>IF(A487="","",IF(AND(H487="ĐÃ GỬI",G487&lt;TODAY()),"HẾT HẠN",""))</x:f>
      </x:c>
      <x:c r="K487" s="39"/>
      <x:c r="L487" s="39"/>
      <x:c r="M487" s="39"/>
      <x:c r="N487" s="39"/>
      <x:c r="O487" s="42"/>
      <x:c r="P487" s="39"/>
      <x:c r="Q487" s="42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39"/>
      <x:c r="E488" s="39"/>
      <x:c r="F488" s="41"/>
      <x:c r="G488" s="41"/>
      <x:c r="H488" s="39"/>
      <x:c r="I488" s="35" t="str">
        <x:f>IF(A488="","",SUMIFS('CHI_TIẾT_BÁO_GIÁ'!$N$2:$N$500,'CHI_TIẾT_BÁO_GIÁ'!$B$2:$B$500,A488))</x:f>
      </x:c>
      <x:c r="J488" s="36" t="str">
        <x:f>IF(A488="","",IF(AND(H488="ĐÃ GỬI",G488&lt;TODAY()),"HẾT HẠN",""))</x:f>
      </x:c>
      <x:c r="K488" s="39"/>
      <x:c r="L488" s="39"/>
      <x:c r="M488" s="39"/>
      <x:c r="N488" s="39"/>
      <x:c r="O488" s="42"/>
      <x:c r="P488" s="39"/>
      <x:c r="Q488" s="42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39"/>
      <x:c r="E489" s="39"/>
      <x:c r="F489" s="41"/>
      <x:c r="G489" s="41"/>
      <x:c r="H489" s="39"/>
      <x:c r="I489" s="35" t="str">
        <x:f>IF(A489="","",SUMIFS('CHI_TIẾT_BÁO_GIÁ'!$N$2:$N$500,'CHI_TIẾT_BÁO_GIÁ'!$B$2:$B$500,A489))</x:f>
      </x:c>
      <x:c r="J489" s="36" t="str">
        <x:f>IF(A489="","",IF(AND(H489="ĐÃ GỬI",G489&lt;TODAY()),"HẾT HẠN",""))</x:f>
      </x:c>
      <x:c r="K489" s="39"/>
      <x:c r="L489" s="39"/>
      <x:c r="M489" s="39"/>
      <x:c r="N489" s="39"/>
      <x:c r="O489" s="42"/>
      <x:c r="P489" s="39"/>
      <x:c r="Q489" s="42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39"/>
      <x:c r="E490" s="39"/>
      <x:c r="F490" s="41"/>
      <x:c r="G490" s="41"/>
      <x:c r="H490" s="39"/>
      <x:c r="I490" s="35" t="str">
        <x:f>IF(A490="","",SUMIFS('CHI_TIẾT_BÁO_GIÁ'!$N$2:$N$500,'CHI_TIẾT_BÁO_GIÁ'!$B$2:$B$500,A490))</x:f>
      </x:c>
      <x:c r="J490" s="36" t="str">
        <x:f>IF(A490="","",IF(AND(H490="ĐÃ GỬI",G490&lt;TODAY()),"HẾT HẠN",""))</x:f>
      </x:c>
      <x:c r="K490" s="39"/>
      <x:c r="L490" s="39"/>
      <x:c r="M490" s="39"/>
      <x:c r="N490" s="39"/>
      <x:c r="O490" s="42"/>
      <x:c r="P490" s="39"/>
      <x:c r="Q490" s="42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39"/>
      <x:c r="E491" s="39"/>
      <x:c r="F491" s="41"/>
      <x:c r="G491" s="41"/>
      <x:c r="H491" s="39"/>
      <x:c r="I491" s="35" t="str">
        <x:f>IF(A491="","",SUMIFS('CHI_TIẾT_BÁO_GIÁ'!$N$2:$N$500,'CHI_TIẾT_BÁO_GIÁ'!$B$2:$B$500,A491))</x:f>
      </x:c>
      <x:c r="J491" s="36" t="str">
        <x:f>IF(A491="","",IF(AND(H491="ĐÃ GỬI",G491&lt;TODAY()),"HẾT HẠN",""))</x:f>
      </x:c>
      <x:c r="K491" s="39"/>
      <x:c r="L491" s="39"/>
      <x:c r="M491" s="39"/>
      <x:c r="N491" s="39"/>
      <x:c r="O491" s="42"/>
      <x:c r="P491" s="39"/>
      <x:c r="Q491" s="42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39"/>
      <x:c r="E492" s="39"/>
      <x:c r="F492" s="41"/>
      <x:c r="G492" s="41"/>
      <x:c r="H492" s="39"/>
      <x:c r="I492" s="35" t="str">
        <x:f>IF(A492="","",SUMIFS('CHI_TIẾT_BÁO_GIÁ'!$N$2:$N$500,'CHI_TIẾT_BÁO_GIÁ'!$B$2:$B$500,A492))</x:f>
      </x:c>
      <x:c r="J492" s="36" t="str">
        <x:f>IF(A492="","",IF(AND(H492="ĐÃ GỬI",G492&lt;TODAY()),"HẾT HẠN",""))</x:f>
      </x:c>
      <x:c r="K492" s="39"/>
      <x:c r="L492" s="39"/>
      <x:c r="M492" s="39"/>
      <x:c r="N492" s="39"/>
      <x:c r="O492" s="42"/>
      <x:c r="P492" s="39"/>
      <x:c r="Q492" s="42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39"/>
      <x:c r="E493" s="39"/>
      <x:c r="F493" s="41"/>
      <x:c r="G493" s="41"/>
      <x:c r="H493" s="39"/>
      <x:c r="I493" s="35" t="str">
        <x:f>IF(A493="","",SUMIFS('CHI_TIẾT_BÁO_GIÁ'!$N$2:$N$500,'CHI_TIẾT_BÁO_GIÁ'!$B$2:$B$500,A493))</x:f>
      </x:c>
      <x:c r="J493" s="36" t="str">
        <x:f>IF(A493="","",IF(AND(H493="ĐÃ GỬI",G493&lt;TODAY()),"HẾT HẠN",""))</x:f>
      </x:c>
      <x:c r="K493" s="39"/>
      <x:c r="L493" s="39"/>
      <x:c r="M493" s="39"/>
      <x:c r="N493" s="39"/>
      <x:c r="O493" s="42"/>
      <x:c r="P493" s="39"/>
      <x:c r="Q493" s="42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39"/>
      <x:c r="E494" s="39"/>
      <x:c r="F494" s="41"/>
      <x:c r="G494" s="41"/>
      <x:c r="H494" s="39"/>
      <x:c r="I494" s="35" t="str">
        <x:f>IF(A494="","",SUMIFS('CHI_TIẾT_BÁO_GIÁ'!$N$2:$N$500,'CHI_TIẾT_BÁO_GIÁ'!$B$2:$B$500,A494))</x:f>
      </x:c>
      <x:c r="J494" s="36" t="str">
        <x:f>IF(A494="","",IF(AND(H494="ĐÃ GỬI",G494&lt;TODAY()),"HẾT HẠN",""))</x:f>
      </x:c>
      <x:c r="K494" s="39"/>
      <x:c r="L494" s="39"/>
      <x:c r="M494" s="39"/>
      <x:c r="N494" s="39"/>
      <x:c r="O494" s="42"/>
      <x:c r="P494" s="39"/>
      <x:c r="Q494" s="42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39"/>
      <x:c r="E495" s="39"/>
      <x:c r="F495" s="41"/>
      <x:c r="G495" s="41"/>
      <x:c r="H495" s="39"/>
      <x:c r="I495" s="35" t="str">
        <x:f>IF(A495="","",SUMIFS('CHI_TIẾT_BÁO_GIÁ'!$N$2:$N$500,'CHI_TIẾT_BÁO_GIÁ'!$B$2:$B$500,A495))</x:f>
      </x:c>
      <x:c r="J495" s="36" t="str">
        <x:f>IF(A495="","",IF(AND(H495="ĐÃ GỬI",G495&lt;TODAY()),"HẾT HẠN",""))</x:f>
      </x:c>
      <x:c r="K495" s="39"/>
      <x:c r="L495" s="39"/>
      <x:c r="M495" s="39"/>
      <x:c r="N495" s="39"/>
      <x:c r="O495" s="42"/>
      <x:c r="P495" s="39"/>
      <x:c r="Q495" s="42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39"/>
      <x:c r="E496" s="39"/>
      <x:c r="F496" s="41"/>
      <x:c r="G496" s="41"/>
      <x:c r="H496" s="39"/>
      <x:c r="I496" s="35" t="str">
        <x:f>IF(A496="","",SUMIFS('CHI_TIẾT_BÁO_GIÁ'!$N$2:$N$500,'CHI_TIẾT_BÁO_GIÁ'!$B$2:$B$500,A496))</x:f>
      </x:c>
      <x:c r="J496" s="36" t="str">
        <x:f>IF(A496="","",IF(AND(H496="ĐÃ GỬI",G496&lt;TODAY()),"HẾT HẠN",""))</x:f>
      </x:c>
      <x:c r="K496" s="39"/>
      <x:c r="L496" s="39"/>
      <x:c r="M496" s="39"/>
      <x:c r="N496" s="39"/>
      <x:c r="O496" s="42"/>
      <x:c r="P496" s="39"/>
      <x:c r="Q496" s="42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39"/>
      <x:c r="E497" s="39"/>
      <x:c r="F497" s="41"/>
      <x:c r="G497" s="41"/>
      <x:c r="H497" s="39"/>
      <x:c r="I497" s="35" t="str">
        <x:f>IF(A497="","",SUMIFS('CHI_TIẾT_BÁO_GIÁ'!$N$2:$N$500,'CHI_TIẾT_BÁO_GIÁ'!$B$2:$B$500,A497))</x:f>
      </x:c>
      <x:c r="J497" s="36" t="str">
        <x:f>IF(A497="","",IF(AND(H497="ĐÃ GỬI",G497&lt;TODAY()),"HẾT HẠN",""))</x:f>
      </x:c>
      <x:c r="K497" s="39"/>
      <x:c r="L497" s="39"/>
      <x:c r="M497" s="39"/>
      <x:c r="N497" s="39"/>
      <x:c r="O497" s="42"/>
      <x:c r="P497" s="39"/>
      <x:c r="Q497" s="42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39"/>
      <x:c r="E498" s="39"/>
      <x:c r="F498" s="41"/>
      <x:c r="G498" s="41"/>
      <x:c r="H498" s="39"/>
      <x:c r="I498" s="35" t="str">
        <x:f>IF(A498="","",SUMIFS('CHI_TIẾT_BÁO_GIÁ'!$N$2:$N$500,'CHI_TIẾT_BÁO_GIÁ'!$B$2:$B$500,A498))</x:f>
      </x:c>
      <x:c r="J498" s="36" t="str">
        <x:f>IF(A498="","",IF(AND(H498="ĐÃ GỬI",G498&lt;TODAY()),"HẾT HẠN",""))</x:f>
      </x:c>
      <x:c r="K498" s="39"/>
      <x:c r="L498" s="39"/>
      <x:c r="M498" s="39"/>
      <x:c r="N498" s="39"/>
      <x:c r="O498" s="42"/>
      <x:c r="P498" s="39"/>
      <x:c r="Q498" s="42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39"/>
      <x:c r="E499" s="39"/>
      <x:c r="F499" s="41"/>
      <x:c r="G499" s="41"/>
      <x:c r="H499" s="39"/>
      <x:c r="I499" s="35" t="str">
        <x:f>IF(A499="","",SUMIFS('CHI_TIẾT_BÁO_GIÁ'!$N$2:$N$500,'CHI_TIẾT_BÁO_GIÁ'!$B$2:$B$500,A499))</x:f>
      </x:c>
      <x:c r="J499" s="36" t="str">
        <x:f>IF(A499="","",IF(AND(H499="ĐÃ GỬI",G499&lt;TODAY()),"HẾT HẠN",""))</x:f>
      </x:c>
      <x:c r="K499" s="39"/>
      <x:c r="L499" s="39"/>
      <x:c r="M499" s="39"/>
      <x:c r="N499" s="39"/>
      <x:c r="O499" s="42"/>
      <x:c r="P499" s="39"/>
      <x:c r="Q499" s="42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39"/>
      <x:c r="E500" s="39"/>
      <x:c r="F500" s="41"/>
      <x:c r="G500" s="41"/>
      <x:c r="H500" s="39"/>
      <x:c r="I500" s="35" t="str">
        <x:f>IF(A500="","",SUMIFS('CHI_TIẾT_BÁO_GIÁ'!$N$2:$N$500,'CHI_TIẾT_BÁO_GIÁ'!$B$2:$B$500,A500))</x:f>
      </x:c>
      <x:c r="J500" s="36" t="str">
        <x:f>IF(A500="","",IF(AND(H500="ĐÃ GỬI",G500&lt;TODAY()),"HẾT HẠN",""))</x:f>
      </x:c>
      <x:c r="K500" s="39"/>
      <x:c r="L500" s="39"/>
      <x:c r="M500" s="39"/>
      <x:c r="N500" s="39"/>
      <x:c r="O500" s="42"/>
      <x:c r="P500" s="39"/>
      <x:c r="Q500" s="42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1">
    <x:dataValidation type="list" sqref="H2:H500">
      <x:formula1>"NHÁP,CHỜ DUYỆT,ĐÃ DUYỆT,ĐÃ GỬI,CHẤP NHẬN,TỪ CHỐI,HẾT HẠN"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</x:cols>
  <x:sheetData>
    <x:row r="1" ht="27" customHeight="1">
      <x:c r="A1" s="6" t="str">
        <x:v>Mã dòng</x:v>
      </x:c>
      <x:c r="B1" s="6" t="str">
        <x:v>Mã báo giá revision</x:v>
      </x:c>
      <x:c r="C1" s="6" t="str">
        <x:v>Mã sản phẩm</x:v>
      </x:c>
      <x:c r="D1" s="6" t="str">
        <x:v>Tên sản phẩm</x:v>
      </x:c>
      <x:c r="E1" s="6" t="str">
        <x:v>Đơn vị tính</x:v>
      </x:c>
      <x:c r="F1" s="6" t="str">
        <x:v>Số lượng</x:v>
      </x:c>
      <x:c r="G1" s="6" t="str">
        <x:v>Đơn giá</x:v>
      </x:c>
      <x:c r="H1" s="6" t="str">
        <x:v>Tỷ lệ chiết khấu</x:v>
      </x:c>
      <x:c r="I1" s="6" t="str">
        <x:v>Thuế suất</x:v>
      </x:c>
      <x:c r="J1" s="6" t="str">
        <x:v>Thành tiền trước CK</x:v>
      </x:c>
      <x:c r="K1" s="6" t="str">
        <x:v>Tiền chiết khấu</x:v>
      </x:c>
      <x:c r="L1" s="6" t="str">
        <x:v>Giá trị sau CK</x:v>
      </x:c>
      <x:c r="M1" s="6" t="str">
        <x:v>Tiền VAT</x:v>
      </x:c>
      <x:c r="N1" s="6" t="str">
        <x:v>Tổng tiền dòng</x:v>
      </x:c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DBG-001</x:v>
      </x:c>
      <x:c r="B2" s="39" t="str">
        <x:v>BG-001-R1</x:v>
      </x:c>
      <x:c r="C2" s="39" t="str">
        <x:v>SP-001</x:v>
      </x:c>
      <x:c r="D2" s="36" t="str">
        <x:f>IF(C2="","",IFERROR(VLOOKUP(C2,'SẢN_PHẨM'!$A$2:$G$500,2,FALSE),""))</x:f>
        <x:v>Gói tư vấn khởi động</x:v>
      </x:c>
      <x:c r="E2" s="36" t="str">
        <x:f>IF(C2="","",IFERROR(VLOOKUP(C2,'SẢN_PHẨM'!$A$2:$G$500,3,FALSE),""))</x:f>
        <x:v>Gói</x:v>
      </x:c>
      <x:c r="F2" s="39" t="n">
        <x:v>2</x:v>
      </x:c>
      <x:c r="G2" s="34" t="n">
        <x:v>100000</x:v>
      </x:c>
      <x:c r="H2" s="43" t="n">
        <x:v>0.1</x:v>
      </x:c>
      <x:c r="I2" s="38" t="n">
        <x:f>IF(C2="","",IFERROR(VLOOKUP(C2,'SẢN_PHẨM'!$A$2:$G$500,6,FALSE),""))</x:f>
        <x:v>0.08</x:v>
      </x:c>
      <x:c r="J2" s="35" t="n">
        <x:f>IF(OR(F2="",G2=""),"",F2*G2)</x:f>
        <x:v>200000</x:v>
      </x:c>
      <x:c r="K2" s="35" t="n">
        <x:f>IF(J2="","",J2*H2)</x:f>
        <x:v>20000</x:v>
      </x:c>
      <x:c r="L2" s="35" t="n">
        <x:f>IF(J2="","",J2-K2)</x:f>
        <x:v>180000</x:v>
      </x:c>
      <x:c r="M2" s="35" t="n">
        <x:f>IF(L2="","",L2*I2)</x:f>
        <x:v>14400</x:v>
      </x:c>
      <x:c r="N2" s="35" t="n">
        <x:f>IF(L2="","",L2+M2)</x:f>
        <x:v>194400</x:v>
      </x:c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DBG-002</x:v>
      </x:c>
      <x:c r="B3" s="39" t="str">
        <x:v>BG-001-R1</x:v>
      </x:c>
      <x:c r="C3" s="39" t="str">
        <x:v>SP-002</x:v>
      </x:c>
      <x:c r="D3" s="36" t="str">
        <x:f>IF(C3="","",IFERROR(VLOOKUP(C3,'SẢN_PHẨM'!$A$2:$G$500,2,FALSE),""))</x:f>
        <x:v>Bộ biểu mẫu bán hàng</x:v>
      </x:c>
      <x:c r="E3" s="36" t="str">
        <x:f>IF(C3="","",IFERROR(VLOOKUP(C3,'SẢN_PHẨM'!$A$2:$G$500,3,FALSE),""))</x:f>
        <x:v>Bộ</x:v>
      </x:c>
      <x:c r="F3" s="39" t="n">
        <x:v>1</x:v>
      </x:c>
      <x:c r="G3" s="34" t="n">
        <x:v>250000</x:v>
      </x:c>
      <x:c r="H3" s="43" t="n">
        <x:v>0</x:v>
      </x:c>
      <x:c r="I3" s="38" t="n">
        <x:f>IF(C3="","",IFERROR(VLOOKUP(C3,'SẢN_PHẨM'!$A$2:$G$500,6,FALSE),""))</x:f>
        <x:v>0.08</x:v>
      </x:c>
      <x:c r="J3" s="35" t="n">
        <x:f>IF(OR(F3="",G3=""),"",F3*G3)</x:f>
        <x:v>250000</x:v>
      </x:c>
      <x:c r="K3" s="35" t="n">
        <x:f>IF(J3="","",J3*H3)</x:f>
        <x:v>0</x:v>
      </x:c>
      <x:c r="L3" s="35" t="n">
        <x:f>IF(J3="","",J3-K3)</x:f>
        <x:v>250000</x:v>
      </x:c>
      <x:c r="M3" s="35" t="n">
        <x:f>IF(L3="","",L3*I3)</x:f>
        <x:v>20000</x:v>
      </x:c>
      <x:c r="N3" s="35" t="n">
        <x:f>IF(L3="","",L3+M3)</x:f>
        <x:v>270000</x:v>
      </x:c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DBG-003</x:v>
      </x:c>
      <x:c r="B4" s="39" t="str">
        <x:v>BG-001-R2</x:v>
      </x:c>
      <x:c r="C4" s="39" t="str">
        <x:v>SP-001</x:v>
      </x:c>
      <x:c r="D4" s="36" t="str">
        <x:f>IF(C4="","",IFERROR(VLOOKUP(C4,'SẢN_PHẨM'!$A$2:$G$500,2,FALSE),""))</x:f>
        <x:v>Gói tư vấn khởi động</x:v>
      </x:c>
      <x:c r="E4" s="36" t="str">
        <x:f>IF(C4="","",IFERROR(VLOOKUP(C4,'SẢN_PHẨM'!$A$2:$G$500,3,FALSE),""))</x:f>
        <x:v>Gói</x:v>
      </x:c>
      <x:c r="F4" s="39" t="n">
        <x:v>2</x:v>
      </x:c>
      <x:c r="G4" s="34" t="n">
        <x:v>100000</x:v>
      </x:c>
      <x:c r="H4" s="43" t="n">
        <x:v>0.1</x:v>
      </x:c>
      <x:c r="I4" s="38" t="n">
        <x:f>IF(C4="","",IFERROR(VLOOKUP(C4,'SẢN_PHẨM'!$A$2:$G$500,6,FALSE),""))</x:f>
        <x:v>0.08</x:v>
      </x:c>
      <x:c r="J4" s="35" t="n">
        <x:f>IF(OR(F4="",G4=""),"",F4*G4)</x:f>
        <x:v>200000</x:v>
      </x:c>
      <x:c r="K4" s="35" t="n">
        <x:f>IF(J4="","",J4*H4)</x:f>
        <x:v>20000</x:v>
      </x:c>
      <x:c r="L4" s="35" t="n">
        <x:f>IF(J4="","",J4-K4)</x:f>
        <x:v>180000</x:v>
      </x:c>
      <x:c r="M4" s="35" t="n">
        <x:f>IF(L4="","",L4*I4)</x:f>
        <x:v>14400</x:v>
      </x:c>
      <x:c r="N4" s="35" t="n">
        <x:f>IF(L4="","",L4+M4)</x:f>
        <x:v>194400</x:v>
      </x:c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DBG-004</x:v>
      </x:c>
      <x:c r="B5" s="39" t="str">
        <x:v>BG-001-R2</x:v>
      </x:c>
      <x:c r="C5" s="39" t="str">
        <x:v>SP-003</x:v>
      </x:c>
      <x:c r="D5" s="36" t="str">
        <x:f>IF(C5="","",IFERROR(VLOOKUP(C5,'SẢN_PHẨM'!$A$2:$G$500,2,FALSE),""))</x:f>
        <x:v>Dịch vụ cấu hình dữ liệu</x:v>
      </x:c>
      <x:c r="E5" s="36" t="str">
        <x:f>IF(C5="","",IFERROR(VLOOKUP(C5,'SẢN_PHẨM'!$A$2:$G$500,3,FALSE),""))</x:f>
        <x:v>Gói</x:v>
      </x:c>
      <x:c r="F5" s="39" t="n">
        <x:v>1</x:v>
      </x:c>
      <x:c r="G5" s="34" t="n">
        <x:v>400000</x:v>
      </x:c>
      <x:c r="H5" s="43" t="n">
        <x:v>0</x:v>
      </x:c>
      <x:c r="I5" s="38" t="n">
        <x:f>IF(C5="","",IFERROR(VLOOKUP(C5,'SẢN_PHẨM'!$A$2:$G$500,6,FALSE),""))</x:f>
        <x:v>0.08</x:v>
      </x:c>
      <x:c r="J5" s="35" t="n">
        <x:f>IF(OR(F5="",G5=""),"",F5*G5)</x:f>
        <x:v>400000</x:v>
      </x:c>
      <x:c r="K5" s="35" t="n">
        <x:f>IF(J5="","",J5*H5)</x:f>
        <x:v>0</x:v>
      </x:c>
      <x:c r="L5" s="35" t="n">
        <x:f>IF(J5="","",J5-K5)</x:f>
        <x:v>400000</x:v>
      </x:c>
      <x:c r="M5" s="35" t="n">
        <x:f>IF(L5="","",L5*I5)</x:f>
        <x:v>32000</x:v>
      </x:c>
      <x:c r="N5" s="35" t="n">
        <x:f>IF(L5="","",L5+M5)</x:f>
        <x:v>432000</x:v>
      </x:c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DBG-005</x:v>
      </x:c>
      <x:c r="B6" s="39" t="str">
        <x:v>BG-002-R1</x:v>
      </x:c>
      <x:c r="C6" s="39" t="str">
        <x:v>SP-004</x:v>
      </x:c>
      <x:c r="D6" s="36" t="str">
        <x:f>IF(C6="","",IFERROR(VLOOKUP(C6,'SẢN_PHẨM'!$A$2:$G$500,2,FALSE),""))</x:f>
        <x:v>Giờ đào tạo vận hành</x:v>
      </x:c>
      <x:c r="E6" s="36" t="str">
        <x:f>IF(C6="","",IFERROR(VLOOKUP(C6,'SẢN_PHẨM'!$A$2:$G$500,3,FALSE),""))</x:f>
        <x:v>Giờ</x:v>
      </x:c>
      <x:c r="F6" s="39" t="n">
        <x:v>4</x:v>
      </x:c>
      <x:c r="G6" s="34" t="n">
        <x:v>150000</x:v>
      </x:c>
      <x:c r="H6" s="43" t="n">
        <x:v>0.05</x:v>
      </x:c>
      <x:c r="I6" s="38" t="n">
        <x:f>IF(C6="","",IFERROR(VLOOKUP(C6,'SẢN_PHẨM'!$A$2:$G$500,6,FALSE),""))</x:f>
        <x:v>0.08</x:v>
      </x:c>
      <x:c r="J6" s="35" t="n">
        <x:f>IF(OR(F6="",G6=""),"",F6*G6)</x:f>
        <x:v>600000</x:v>
      </x:c>
      <x:c r="K6" s="35" t="n">
        <x:f>IF(J6="","",J6*H6)</x:f>
        <x:v>30000</x:v>
      </x:c>
      <x:c r="L6" s="35" t="n">
        <x:f>IF(J6="","",J6-K6)</x:f>
        <x:v>570000</x:v>
      </x:c>
      <x:c r="M6" s="35" t="n">
        <x:f>IF(L6="","",L6*I6)</x:f>
        <x:v>45600</x:v>
      </x:c>
      <x:c r="N6" s="35" t="n">
        <x:f>IF(L6="","",L6+M6)</x:f>
        <x:v>615600</x:v>
      </x:c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 t="str">
        <x:v>DBG-006</x:v>
      </x:c>
      <x:c r="B7" s="39" t="str">
        <x:v>BG-002-R1</x:v>
      </x:c>
      <x:c r="C7" s="39" t="str">
        <x:v>SP-005</x:v>
      </x:c>
      <x:c r="D7" s="36" t="str">
        <x:f>IF(C7="","",IFERROR(VLOOKUP(C7,'SẢN_PHẨM'!$A$2:$G$500,2,FALSE),""))</x:f>
        <x:v>Gói hỗ trợ tiêu chuẩn</x:v>
      </x:c>
      <x:c r="E7" s="36" t="str">
        <x:f>IF(C7="","",IFERROR(VLOOKUP(C7,'SẢN_PHẨM'!$A$2:$G$500,3,FALSE),""))</x:f>
        <x:v>Tháng</x:v>
      </x:c>
      <x:c r="F7" s="39" t="n">
        <x:v>1</x:v>
      </x:c>
      <x:c r="G7" s="34" t="n">
        <x:v>300000</x:v>
      </x:c>
      <x:c r="H7" s="43" t="n">
        <x:v>0</x:v>
      </x:c>
      <x:c r="I7" s="38" t="n">
        <x:f>IF(C7="","",IFERROR(VLOOKUP(C7,'SẢN_PHẨM'!$A$2:$G$500,6,FALSE),""))</x:f>
        <x:v>0.08</x:v>
      </x:c>
      <x:c r="J7" s="35" t="n">
        <x:f>IF(OR(F7="",G7=""),"",F7*G7)</x:f>
        <x:v>300000</x:v>
      </x:c>
      <x:c r="K7" s="35" t="n">
        <x:f>IF(J7="","",J7*H7)</x:f>
        <x:v>0</x:v>
      </x:c>
      <x:c r="L7" s="35" t="n">
        <x:f>IF(J7="","",J7-K7)</x:f>
        <x:v>300000</x:v>
      </x:c>
      <x:c r="M7" s="35" t="n">
        <x:f>IF(L7="","",L7*I7)</x:f>
        <x:v>24000</x:v>
      </x:c>
      <x:c r="N7" s="35" t="n">
        <x:f>IF(L7="","",L7+M7)</x:f>
        <x:v>324000</x:v>
      </x:c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 t="str">
        <x:v>DBG-007</x:v>
      </x:c>
      <x:c r="B8" s="39" t="str">
        <x:v>BG-003-R1</x:v>
      </x:c>
      <x:c r="C8" s="39" t="str">
        <x:v>SP-006</x:v>
      </x:c>
      <x:c r="D8" s="36" t="str">
        <x:f>IF(C8="","",IFERROR(VLOOKUP(C8,'SẢN_PHẨM'!$A$2:$G$500,2,FALSE),""))</x:f>
        <x:v>Gói hỗ trợ nâng cao</x:v>
      </x:c>
      <x:c r="E8" s="36" t="str">
        <x:f>IF(C8="","",IFERROR(VLOOKUP(C8,'SẢN_PHẨM'!$A$2:$G$500,3,FALSE),""))</x:f>
        <x:v>Tháng</x:v>
      </x:c>
      <x:c r="F8" s="39" t="n">
        <x:v>1</x:v>
      </x:c>
      <x:c r="G8" s="34" t="n">
        <x:v>500000</x:v>
      </x:c>
      <x:c r="H8" s="43" t="n">
        <x:v>0.1</x:v>
      </x:c>
      <x:c r="I8" s="38" t="n">
        <x:f>IF(C8="","",IFERROR(VLOOKUP(C8,'SẢN_PHẨM'!$A$2:$G$500,6,FALSE),""))</x:f>
        <x:v>0.08</x:v>
      </x:c>
      <x:c r="J8" s="35" t="n">
        <x:f>IF(OR(F8="",G8=""),"",F8*G8)</x:f>
        <x:v>500000</x:v>
      </x:c>
      <x:c r="K8" s="35" t="n">
        <x:f>IF(J8="","",J8*H8)</x:f>
        <x:v>50000</x:v>
      </x:c>
      <x:c r="L8" s="35" t="n">
        <x:f>IF(J8="","",J8-K8)</x:f>
        <x:v>450000</x:v>
      </x:c>
      <x:c r="M8" s="35" t="n">
        <x:f>IF(L8="","",L8*I8)</x:f>
        <x:v>36000</x:v>
      </x:c>
      <x:c r="N8" s="35" t="n">
        <x:f>IF(L8="","",L8+M8)</x:f>
        <x:v>486000</x:v>
      </x:c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 t="str">
        <x:v>DBG-009</x:v>
      </x:c>
      <x:c r="B9" s="39" t="str">
        <x:v>BG-004-R1</x:v>
      </x:c>
      <x:c r="C9" s="39" t="str">
        <x:v>SP-002</x:v>
      </x:c>
      <x:c r="D9" s="36" t="str">
        <x:f>IF(C9="","",IFERROR(VLOOKUP(C9,'SẢN_PHẨM'!$A$2:$G$500,2,FALSE),""))</x:f>
        <x:v>Bộ biểu mẫu bán hàng</x:v>
      </x:c>
      <x:c r="E9" s="36" t="str">
        <x:f>IF(C9="","",IFERROR(VLOOKUP(C9,'SẢN_PHẨM'!$A$2:$G$500,3,FALSE),""))</x:f>
        <x:v>Bộ</x:v>
      </x:c>
      <x:c r="F9" s="39" t="n">
        <x:v>2</x:v>
      </x:c>
      <x:c r="G9" s="34" t="n">
        <x:v>250000</x:v>
      </x:c>
      <x:c r="H9" s="43" t="n">
        <x:v>0</x:v>
      </x:c>
      <x:c r="I9" s="38" t="n">
        <x:f>IF(C9="","",IFERROR(VLOOKUP(C9,'SẢN_PHẨM'!$A$2:$G$500,6,FALSE),""))</x:f>
        <x:v>0.08</x:v>
      </x:c>
      <x:c r="J9" s="35" t="n">
        <x:f>IF(OR(F9="",G9=""),"",F9*G9)</x:f>
        <x:v>500000</x:v>
      </x:c>
      <x:c r="K9" s="35" t="n">
        <x:f>IF(J9="","",J9*H9)</x:f>
        <x:v>0</x:v>
      </x:c>
      <x:c r="L9" s="35" t="n">
        <x:f>IF(J9="","",J9-K9)</x:f>
        <x:v>500000</x:v>
      </x:c>
      <x:c r="M9" s="35" t="n">
        <x:f>IF(L9="","",L9*I9)</x:f>
        <x:v>40000</x:v>
      </x:c>
      <x:c r="N9" s="35" t="n">
        <x:f>IF(L9="","",L9+M9)</x:f>
        <x:v>540000</x:v>
      </x:c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 t="str">
        <x:v>DBG-011</x:v>
      </x:c>
      <x:c r="B10" s="39" t="str">
        <x:v>BG-005-R1</x:v>
      </x:c>
      <x:c r="C10" s="39" t="str">
        <x:v>SP-003</x:v>
      </x:c>
      <x:c r="D10" s="36" t="str">
        <x:f>IF(C10="","",IFERROR(VLOOKUP(C10,'SẢN_PHẨM'!$A$2:$G$500,2,FALSE),""))</x:f>
        <x:v>Dịch vụ cấu hình dữ liệu</x:v>
      </x:c>
      <x:c r="E10" s="36" t="str">
        <x:f>IF(C10="","",IFERROR(VLOOKUP(C10,'SẢN_PHẨM'!$A$2:$G$500,3,FALSE),""))</x:f>
        <x:v>Gói</x:v>
      </x:c>
      <x:c r="F10" s="39" t="n">
        <x:v>1</x:v>
      </x:c>
      <x:c r="G10" s="34" t="n">
        <x:v>400000</x:v>
      </x:c>
      <x:c r="H10" s="43" t="n">
        <x:v>0</x:v>
      </x:c>
      <x:c r="I10" s="38" t="n">
        <x:f>IF(C10="","",IFERROR(VLOOKUP(C10,'SẢN_PHẨM'!$A$2:$G$500,6,FALSE),""))</x:f>
        <x:v>0.08</x:v>
      </x:c>
      <x:c r="J10" s="35" t="n">
        <x:f>IF(OR(F10="",G10=""),"",F10*G10)</x:f>
        <x:v>400000</x:v>
      </x:c>
      <x:c r="K10" s="35" t="n">
        <x:f>IF(J10="","",J10*H10)</x:f>
        <x:v>0</x:v>
      </x:c>
      <x:c r="L10" s="35" t="n">
        <x:f>IF(J10="","",J10-K10)</x:f>
        <x:v>400000</x:v>
      </x:c>
      <x:c r="M10" s="35" t="n">
        <x:f>IF(L10="","",L10*I10)</x:f>
        <x:v>32000</x:v>
      </x:c>
      <x:c r="N10" s="35" t="n">
        <x:f>IF(L10="","",L10+M10)</x:f>
        <x:v>432000</x:v>
      </x:c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36" t="str">
        <x:f>IF(C11="","",IFERROR(VLOOKUP(C11,'SẢN_PHẨM'!$A$2:$G$500,2,FALSE),""))</x:f>
      </x:c>
      <x:c r="E11" s="36" t="str">
        <x:f>IF(C11="","",IFERROR(VLOOKUP(C11,'SẢN_PHẨM'!$A$2:$G$500,3,FALSE),""))</x:f>
      </x:c>
      <x:c r="F11" s="39"/>
      <x:c r="G11" s="34" t="str">
        <x:f>IF(C11="","",IFERROR(VLOOKUP(C11,'SẢN_PHẨM'!$A$2:$G$500,4,FALSE),""))</x:f>
      </x:c>
      <x:c r="H11" s="43"/>
      <x:c r="I11" s="38" t="str">
        <x:f>IF(C11="","",IFERROR(VLOOKUP(C11,'SẢN_PHẨM'!$A$2:$G$500,6,FALSE),""))</x:f>
      </x:c>
      <x:c r="J11" s="35" t="str">
        <x:f>IF(OR(F11="",G11=""),"",F11*G11)</x:f>
      </x:c>
      <x:c r="K11" s="35" t="str">
        <x:f>IF(J11="","",J11*H11)</x:f>
      </x:c>
      <x:c r="L11" s="35" t="str">
        <x:f>IF(J11="","",J11-K11)</x:f>
      </x:c>
      <x:c r="M11" s="35" t="str">
        <x:f>IF(L11="","",L11*I11)</x:f>
      </x:c>
      <x:c r="N11" s="35" t="str">
        <x:f>IF(L11="","",L11+M11)</x:f>
      </x:c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36" t="str">
        <x:f>IF(C12="","",IFERROR(VLOOKUP(C12,'SẢN_PHẨM'!$A$2:$G$500,2,FALSE),""))</x:f>
      </x:c>
      <x:c r="E12" s="36" t="str">
        <x:f>IF(C12="","",IFERROR(VLOOKUP(C12,'SẢN_PHẨM'!$A$2:$G$500,3,FALSE),""))</x:f>
      </x:c>
      <x:c r="F12" s="39"/>
      <x:c r="G12" s="34" t="str">
        <x:f>IF(C12="","",IFERROR(VLOOKUP(C12,'SẢN_PHẨM'!$A$2:$G$500,4,FALSE),""))</x:f>
      </x:c>
      <x:c r="H12" s="43"/>
      <x:c r="I12" s="38" t="str">
        <x:f>IF(C12="","",IFERROR(VLOOKUP(C12,'SẢN_PHẨM'!$A$2:$G$500,6,FALSE),""))</x:f>
      </x:c>
      <x:c r="J12" s="35" t="str">
        <x:f>IF(OR(F12="",G12=""),"",F12*G12)</x:f>
      </x:c>
      <x:c r="K12" s="35" t="str">
        <x:f>IF(J12="","",J12*H12)</x:f>
      </x:c>
      <x:c r="L12" s="35" t="str">
        <x:f>IF(J12="","",J12-K12)</x:f>
      </x:c>
      <x:c r="M12" s="35" t="str">
        <x:f>IF(L12="","",L12*I12)</x:f>
      </x:c>
      <x:c r="N12" s="35" t="str">
        <x:f>IF(L12="","",L12+M12)</x:f>
      </x:c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36" t="str">
        <x:f>IF(C13="","",IFERROR(VLOOKUP(C13,'SẢN_PHẨM'!$A$2:$G$500,2,FALSE),""))</x:f>
      </x:c>
      <x:c r="E13" s="36" t="str">
        <x:f>IF(C13="","",IFERROR(VLOOKUP(C13,'SẢN_PHẨM'!$A$2:$G$500,3,FALSE),""))</x:f>
      </x:c>
      <x:c r="F13" s="39"/>
      <x:c r="G13" s="34" t="str">
        <x:f>IF(C13="","",IFERROR(VLOOKUP(C13,'SẢN_PHẨM'!$A$2:$G$500,4,FALSE),""))</x:f>
      </x:c>
      <x:c r="H13" s="43"/>
      <x:c r="I13" s="38" t="str">
        <x:f>IF(C13="","",IFERROR(VLOOKUP(C13,'SẢN_PHẨM'!$A$2:$G$500,6,FALSE),""))</x:f>
      </x:c>
      <x:c r="J13" s="35" t="str">
        <x:f>IF(OR(F13="",G13=""),"",F13*G13)</x:f>
      </x:c>
      <x:c r="K13" s="35" t="str">
        <x:f>IF(J13="","",J13*H13)</x:f>
      </x:c>
      <x:c r="L13" s="35" t="str">
        <x:f>IF(J13="","",J13-K13)</x:f>
      </x:c>
      <x:c r="M13" s="35" t="str">
        <x:f>IF(L13="","",L13*I13)</x:f>
      </x:c>
      <x:c r="N13" s="35" t="str">
        <x:f>IF(L13="","",L13+M13)</x:f>
      </x:c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36" t="str">
        <x:f>IF(C14="","",IFERROR(VLOOKUP(C14,'SẢN_PHẨM'!$A$2:$G$500,2,FALSE),""))</x:f>
      </x:c>
      <x:c r="E14" s="36" t="str">
        <x:f>IF(C14="","",IFERROR(VLOOKUP(C14,'SẢN_PHẨM'!$A$2:$G$500,3,FALSE),""))</x:f>
      </x:c>
      <x:c r="F14" s="39"/>
      <x:c r="G14" s="34" t="str">
        <x:f>IF(C14="","",IFERROR(VLOOKUP(C14,'SẢN_PHẨM'!$A$2:$G$500,4,FALSE),""))</x:f>
      </x:c>
      <x:c r="H14" s="43"/>
      <x:c r="I14" s="38" t="str">
        <x:f>IF(C14="","",IFERROR(VLOOKUP(C14,'SẢN_PHẨM'!$A$2:$G$500,6,FALSE),""))</x:f>
      </x:c>
      <x:c r="J14" s="35" t="str">
        <x:f>IF(OR(F14="",G14=""),"",F14*G14)</x:f>
      </x:c>
      <x:c r="K14" s="35" t="str">
        <x:f>IF(J14="","",J14*H14)</x:f>
      </x:c>
      <x:c r="L14" s="35" t="str">
        <x:f>IF(J14="","",J14-K14)</x:f>
      </x:c>
      <x:c r="M14" s="35" t="str">
        <x:f>IF(L14="","",L14*I14)</x:f>
      </x:c>
      <x:c r="N14" s="35" t="str">
        <x:f>IF(L14="","",L14+M14)</x:f>
      </x:c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36" t="str">
        <x:f>IF(C15="","",IFERROR(VLOOKUP(C15,'SẢN_PHẨM'!$A$2:$G$500,2,FALSE),""))</x:f>
      </x:c>
      <x:c r="E15" s="36" t="str">
        <x:f>IF(C15="","",IFERROR(VLOOKUP(C15,'SẢN_PHẨM'!$A$2:$G$500,3,FALSE),""))</x:f>
      </x:c>
      <x:c r="F15" s="39"/>
      <x:c r="G15" s="34" t="str">
        <x:f>IF(C15="","",IFERROR(VLOOKUP(C15,'SẢN_PHẨM'!$A$2:$G$500,4,FALSE),""))</x:f>
      </x:c>
      <x:c r="H15" s="43"/>
      <x:c r="I15" s="38" t="str">
        <x:f>IF(C15="","",IFERROR(VLOOKUP(C15,'SẢN_PHẨM'!$A$2:$G$500,6,FALSE),""))</x:f>
      </x:c>
      <x:c r="J15" s="35" t="str">
        <x:f>IF(OR(F15="",G15=""),"",F15*G15)</x:f>
      </x:c>
      <x:c r="K15" s="35" t="str">
        <x:f>IF(J15="","",J15*H15)</x:f>
      </x:c>
      <x:c r="L15" s="35" t="str">
        <x:f>IF(J15="","",J15-K15)</x:f>
      </x:c>
      <x:c r="M15" s="35" t="str">
        <x:f>IF(L15="","",L15*I15)</x:f>
      </x:c>
      <x:c r="N15" s="35" t="str">
        <x:f>IF(L15="","",L15+M15)</x:f>
      </x:c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36" t="str">
        <x:f>IF(C16="","",IFERROR(VLOOKUP(C16,'SẢN_PHẨM'!$A$2:$G$500,2,FALSE),""))</x:f>
      </x:c>
      <x:c r="E16" s="36" t="str">
        <x:f>IF(C16="","",IFERROR(VLOOKUP(C16,'SẢN_PHẨM'!$A$2:$G$500,3,FALSE),""))</x:f>
      </x:c>
      <x:c r="F16" s="39"/>
      <x:c r="G16" s="34" t="str">
        <x:f>IF(C16="","",IFERROR(VLOOKUP(C16,'SẢN_PHẨM'!$A$2:$G$500,4,FALSE),""))</x:f>
      </x:c>
      <x:c r="H16" s="43"/>
      <x:c r="I16" s="38" t="str">
        <x:f>IF(C16="","",IFERROR(VLOOKUP(C16,'SẢN_PHẨM'!$A$2:$G$500,6,FALSE),""))</x:f>
      </x:c>
      <x:c r="J16" s="35" t="str">
        <x:f>IF(OR(F16="",G16=""),"",F16*G16)</x:f>
      </x:c>
      <x:c r="K16" s="35" t="str">
        <x:f>IF(J16="","",J16*H16)</x:f>
      </x:c>
      <x:c r="L16" s="35" t="str">
        <x:f>IF(J16="","",J16-K16)</x:f>
      </x:c>
      <x:c r="M16" s="35" t="str">
        <x:f>IF(L16="","",L16*I16)</x:f>
      </x:c>
      <x:c r="N16" s="35" t="str">
        <x:f>IF(L16="","",L16+M16)</x:f>
      </x:c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36" t="str">
        <x:f>IF(C17="","",IFERROR(VLOOKUP(C17,'SẢN_PHẨM'!$A$2:$G$500,2,FALSE),""))</x:f>
      </x:c>
      <x:c r="E17" s="36" t="str">
        <x:f>IF(C17="","",IFERROR(VLOOKUP(C17,'SẢN_PHẨM'!$A$2:$G$500,3,FALSE),""))</x:f>
      </x:c>
      <x:c r="F17" s="39"/>
      <x:c r="G17" s="34" t="str">
        <x:f>IF(C17="","",IFERROR(VLOOKUP(C17,'SẢN_PHẨM'!$A$2:$G$500,4,FALSE),""))</x:f>
      </x:c>
      <x:c r="H17" s="43"/>
      <x:c r="I17" s="38" t="str">
        <x:f>IF(C17="","",IFERROR(VLOOKUP(C17,'SẢN_PHẨM'!$A$2:$G$500,6,FALSE),""))</x:f>
      </x:c>
      <x:c r="J17" s="35" t="str">
        <x:f>IF(OR(F17="",G17=""),"",F17*G17)</x:f>
      </x:c>
      <x:c r="K17" s="35" t="str">
        <x:f>IF(J17="","",J17*H17)</x:f>
      </x:c>
      <x:c r="L17" s="35" t="str">
        <x:f>IF(J17="","",J17-K17)</x:f>
      </x:c>
      <x:c r="M17" s="35" t="str">
        <x:f>IF(L17="","",L17*I17)</x:f>
      </x:c>
      <x:c r="N17" s="35" t="str">
        <x:f>IF(L17="","",L17+M17)</x:f>
      </x:c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36" t="str">
        <x:f>IF(C18="","",IFERROR(VLOOKUP(C18,'SẢN_PHẨM'!$A$2:$G$500,2,FALSE),""))</x:f>
      </x:c>
      <x:c r="E18" s="36" t="str">
        <x:f>IF(C18="","",IFERROR(VLOOKUP(C18,'SẢN_PHẨM'!$A$2:$G$500,3,FALSE),""))</x:f>
      </x:c>
      <x:c r="F18" s="39"/>
      <x:c r="G18" s="34" t="str">
        <x:f>IF(C18="","",IFERROR(VLOOKUP(C18,'SẢN_PHẨM'!$A$2:$G$500,4,FALSE),""))</x:f>
      </x:c>
      <x:c r="H18" s="43"/>
      <x:c r="I18" s="38" t="str">
        <x:f>IF(C18="","",IFERROR(VLOOKUP(C18,'SẢN_PHẨM'!$A$2:$G$500,6,FALSE),""))</x:f>
      </x:c>
      <x:c r="J18" s="35" t="str">
        <x:f>IF(OR(F18="",G18=""),"",F18*G18)</x:f>
      </x:c>
      <x:c r="K18" s="35" t="str">
        <x:f>IF(J18="","",J18*H18)</x:f>
      </x:c>
      <x:c r="L18" s="35" t="str">
        <x:f>IF(J18="","",J18-K18)</x:f>
      </x:c>
      <x:c r="M18" s="35" t="str">
        <x:f>IF(L18="","",L18*I18)</x:f>
      </x:c>
      <x:c r="N18" s="35" t="str">
        <x:f>IF(L18="","",L18+M18)</x:f>
      </x:c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36" t="str">
        <x:f>IF(C19="","",IFERROR(VLOOKUP(C19,'SẢN_PHẨM'!$A$2:$G$500,2,FALSE),""))</x:f>
      </x:c>
      <x:c r="E19" s="36" t="str">
        <x:f>IF(C19="","",IFERROR(VLOOKUP(C19,'SẢN_PHẨM'!$A$2:$G$500,3,FALSE),""))</x:f>
      </x:c>
      <x:c r="F19" s="39"/>
      <x:c r="G19" s="34" t="str">
        <x:f>IF(C19="","",IFERROR(VLOOKUP(C19,'SẢN_PHẨM'!$A$2:$G$500,4,FALSE),""))</x:f>
      </x:c>
      <x:c r="H19" s="43"/>
      <x:c r="I19" s="38" t="str">
        <x:f>IF(C19="","",IFERROR(VLOOKUP(C19,'SẢN_PHẨM'!$A$2:$G$500,6,FALSE),""))</x:f>
      </x:c>
      <x:c r="J19" s="35" t="str">
        <x:f>IF(OR(F19="",G19=""),"",F19*G19)</x:f>
      </x:c>
      <x:c r="K19" s="35" t="str">
        <x:f>IF(J19="","",J19*H19)</x:f>
      </x:c>
      <x:c r="L19" s="35" t="str">
        <x:f>IF(J19="","",J19-K19)</x:f>
      </x:c>
      <x:c r="M19" s="35" t="str">
        <x:f>IF(L19="","",L19*I19)</x:f>
      </x:c>
      <x:c r="N19" s="35" t="str">
        <x:f>IF(L19="","",L19+M19)</x:f>
      </x:c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36" t="str">
        <x:f>IF(C20="","",IFERROR(VLOOKUP(C20,'SẢN_PHẨM'!$A$2:$G$500,2,FALSE),""))</x:f>
      </x:c>
      <x:c r="E20" s="36" t="str">
        <x:f>IF(C20="","",IFERROR(VLOOKUP(C20,'SẢN_PHẨM'!$A$2:$G$500,3,FALSE),""))</x:f>
      </x:c>
      <x:c r="F20" s="39"/>
      <x:c r="G20" s="34" t="str">
        <x:f>IF(C20="","",IFERROR(VLOOKUP(C20,'SẢN_PHẨM'!$A$2:$G$500,4,FALSE),""))</x:f>
      </x:c>
      <x:c r="H20" s="43"/>
      <x:c r="I20" s="38" t="str">
        <x:f>IF(C20="","",IFERROR(VLOOKUP(C20,'SẢN_PHẨM'!$A$2:$G$500,6,FALSE),""))</x:f>
      </x:c>
      <x:c r="J20" s="35" t="str">
        <x:f>IF(OR(F20="",G20=""),"",F20*G20)</x:f>
      </x:c>
      <x:c r="K20" s="35" t="str">
        <x:f>IF(J20="","",J20*H20)</x:f>
      </x:c>
      <x:c r="L20" s="35" t="str">
        <x:f>IF(J20="","",J20-K20)</x:f>
      </x:c>
      <x:c r="M20" s="35" t="str">
        <x:f>IF(L20="","",L20*I20)</x:f>
      </x:c>
      <x:c r="N20" s="35" t="str">
        <x:f>IF(L20="","",L20+M20)</x:f>
      </x:c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36" t="str">
        <x:f>IF(C21="","",IFERROR(VLOOKUP(C21,'SẢN_PHẨM'!$A$2:$G$500,2,FALSE),""))</x:f>
      </x:c>
      <x:c r="E21" s="36" t="str">
        <x:f>IF(C21="","",IFERROR(VLOOKUP(C21,'SẢN_PHẨM'!$A$2:$G$500,3,FALSE),""))</x:f>
      </x:c>
      <x:c r="F21" s="39"/>
      <x:c r="G21" s="34" t="str">
        <x:f>IF(C21="","",IFERROR(VLOOKUP(C21,'SẢN_PHẨM'!$A$2:$G$500,4,FALSE),""))</x:f>
      </x:c>
      <x:c r="H21" s="43"/>
      <x:c r="I21" s="38" t="str">
        <x:f>IF(C21="","",IFERROR(VLOOKUP(C21,'SẢN_PHẨM'!$A$2:$G$500,6,FALSE),""))</x:f>
      </x:c>
      <x:c r="J21" s="35" t="str">
        <x:f>IF(OR(F21="",G21=""),"",F21*G21)</x:f>
      </x:c>
      <x:c r="K21" s="35" t="str">
        <x:f>IF(J21="","",J21*H21)</x:f>
      </x:c>
      <x:c r="L21" s="35" t="str">
        <x:f>IF(J21="","",J21-K21)</x:f>
      </x:c>
      <x:c r="M21" s="35" t="str">
        <x:f>IF(L21="","",L21*I21)</x:f>
      </x:c>
      <x:c r="N21" s="35" t="str">
        <x:f>IF(L21="","",L21+M21)</x:f>
      </x:c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36" t="str">
        <x:f>IF(C22="","",IFERROR(VLOOKUP(C22,'SẢN_PHẨM'!$A$2:$G$500,2,FALSE),""))</x:f>
      </x:c>
      <x:c r="E22" s="36" t="str">
        <x:f>IF(C22="","",IFERROR(VLOOKUP(C22,'SẢN_PHẨM'!$A$2:$G$500,3,FALSE),""))</x:f>
      </x:c>
      <x:c r="F22" s="39"/>
      <x:c r="G22" s="34" t="str">
        <x:f>IF(C22="","",IFERROR(VLOOKUP(C22,'SẢN_PHẨM'!$A$2:$G$500,4,FALSE),""))</x:f>
      </x:c>
      <x:c r="H22" s="43"/>
      <x:c r="I22" s="38" t="str">
        <x:f>IF(C22="","",IFERROR(VLOOKUP(C22,'SẢN_PHẨM'!$A$2:$G$500,6,FALSE),""))</x:f>
      </x:c>
      <x:c r="J22" s="35" t="str">
        <x:f>IF(OR(F22="",G22=""),"",F22*G22)</x:f>
      </x:c>
      <x:c r="K22" s="35" t="str">
        <x:f>IF(J22="","",J22*H22)</x:f>
      </x:c>
      <x:c r="L22" s="35" t="str">
        <x:f>IF(J22="","",J22-K22)</x:f>
      </x:c>
      <x:c r="M22" s="35" t="str">
        <x:f>IF(L22="","",L22*I22)</x:f>
      </x:c>
      <x:c r="N22" s="35" t="str">
        <x:f>IF(L22="","",L22+M22)</x:f>
      </x:c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36" t="str">
        <x:f>IF(C23="","",IFERROR(VLOOKUP(C23,'SẢN_PHẨM'!$A$2:$G$500,2,FALSE),""))</x:f>
      </x:c>
      <x:c r="E23" s="36" t="str">
        <x:f>IF(C23="","",IFERROR(VLOOKUP(C23,'SẢN_PHẨM'!$A$2:$G$500,3,FALSE),""))</x:f>
      </x:c>
      <x:c r="F23" s="39"/>
      <x:c r="G23" s="34" t="str">
        <x:f>IF(C23="","",IFERROR(VLOOKUP(C23,'SẢN_PHẨM'!$A$2:$G$500,4,FALSE),""))</x:f>
      </x:c>
      <x:c r="H23" s="43"/>
      <x:c r="I23" s="38" t="str">
        <x:f>IF(C23="","",IFERROR(VLOOKUP(C23,'SẢN_PHẨM'!$A$2:$G$500,6,FALSE),""))</x:f>
      </x:c>
      <x:c r="J23" s="35" t="str">
        <x:f>IF(OR(F23="",G23=""),"",F23*G23)</x:f>
      </x:c>
      <x:c r="K23" s="35" t="str">
        <x:f>IF(J23="","",J23*H23)</x:f>
      </x:c>
      <x:c r="L23" s="35" t="str">
        <x:f>IF(J23="","",J23-K23)</x:f>
      </x:c>
      <x:c r="M23" s="35" t="str">
        <x:f>IF(L23="","",L23*I23)</x:f>
      </x:c>
      <x:c r="N23" s="35" t="str">
        <x:f>IF(L23="","",L23+M23)</x:f>
      </x:c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36" t="str">
        <x:f>IF(C24="","",IFERROR(VLOOKUP(C24,'SẢN_PHẨM'!$A$2:$G$500,2,FALSE),""))</x:f>
      </x:c>
      <x:c r="E24" s="36" t="str">
        <x:f>IF(C24="","",IFERROR(VLOOKUP(C24,'SẢN_PHẨM'!$A$2:$G$500,3,FALSE),""))</x:f>
      </x:c>
      <x:c r="F24" s="39"/>
      <x:c r="G24" s="34" t="str">
        <x:f>IF(C24="","",IFERROR(VLOOKUP(C24,'SẢN_PHẨM'!$A$2:$G$500,4,FALSE),""))</x:f>
      </x:c>
      <x:c r="H24" s="43"/>
      <x:c r="I24" s="38" t="str">
        <x:f>IF(C24="","",IFERROR(VLOOKUP(C24,'SẢN_PHẨM'!$A$2:$G$500,6,FALSE),""))</x:f>
      </x:c>
      <x:c r="J24" s="35" t="str">
        <x:f>IF(OR(F24="",G24=""),"",F24*G24)</x:f>
      </x:c>
      <x:c r="K24" s="35" t="str">
        <x:f>IF(J24="","",J24*H24)</x:f>
      </x:c>
      <x:c r="L24" s="35" t="str">
        <x:f>IF(J24="","",J24-K24)</x:f>
      </x:c>
      <x:c r="M24" s="35" t="str">
        <x:f>IF(L24="","",L24*I24)</x:f>
      </x:c>
      <x:c r="N24" s="35" t="str">
        <x:f>IF(L24="","",L24+M24)</x:f>
      </x:c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36" t="str">
        <x:f>IF(C25="","",IFERROR(VLOOKUP(C25,'SẢN_PHẨM'!$A$2:$G$500,2,FALSE),""))</x:f>
      </x:c>
      <x:c r="E25" s="36" t="str">
        <x:f>IF(C25="","",IFERROR(VLOOKUP(C25,'SẢN_PHẨM'!$A$2:$G$500,3,FALSE),""))</x:f>
      </x:c>
      <x:c r="F25" s="39"/>
      <x:c r="G25" s="34" t="str">
        <x:f>IF(C25="","",IFERROR(VLOOKUP(C25,'SẢN_PHẨM'!$A$2:$G$500,4,FALSE),""))</x:f>
      </x:c>
      <x:c r="H25" s="43"/>
      <x:c r="I25" s="38" t="str">
        <x:f>IF(C25="","",IFERROR(VLOOKUP(C25,'SẢN_PHẨM'!$A$2:$G$500,6,FALSE),""))</x:f>
      </x:c>
      <x:c r="J25" s="35" t="str">
        <x:f>IF(OR(F25="",G25=""),"",F25*G25)</x:f>
      </x:c>
      <x:c r="K25" s="35" t="str">
        <x:f>IF(J25="","",J25*H25)</x:f>
      </x:c>
      <x:c r="L25" s="35" t="str">
        <x:f>IF(J25="","",J25-K25)</x:f>
      </x:c>
      <x:c r="M25" s="35" t="str">
        <x:f>IF(L25="","",L25*I25)</x:f>
      </x:c>
      <x:c r="N25" s="35" t="str">
        <x:f>IF(L25="","",L25+M25)</x:f>
      </x:c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36" t="str">
        <x:f>IF(C26="","",IFERROR(VLOOKUP(C26,'SẢN_PHẨM'!$A$2:$G$500,2,FALSE),""))</x:f>
      </x:c>
      <x:c r="E26" s="36" t="str">
        <x:f>IF(C26="","",IFERROR(VLOOKUP(C26,'SẢN_PHẨM'!$A$2:$G$500,3,FALSE),""))</x:f>
      </x:c>
      <x:c r="F26" s="39"/>
      <x:c r="G26" s="34" t="str">
        <x:f>IF(C26="","",IFERROR(VLOOKUP(C26,'SẢN_PHẨM'!$A$2:$G$500,4,FALSE),""))</x:f>
      </x:c>
      <x:c r="H26" s="43"/>
      <x:c r="I26" s="38" t="str">
        <x:f>IF(C26="","",IFERROR(VLOOKUP(C26,'SẢN_PHẨM'!$A$2:$G$500,6,FALSE),""))</x:f>
      </x:c>
      <x:c r="J26" s="35" t="str">
        <x:f>IF(OR(F26="",G26=""),"",F26*G26)</x:f>
      </x:c>
      <x:c r="K26" s="35" t="str">
        <x:f>IF(J26="","",J26*H26)</x:f>
      </x:c>
      <x:c r="L26" s="35" t="str">
        <x:f>IF(J26="","",J26-K26)</x:f>
      </x:c>
      <x:c r="M26" s="35" t="str">
        <x:f>IF(L26="","",L26*I26)</x:f>
      </x:c>
      <x:c r="N26" s="35" t="str">
        <x:f>IF(L26="","",L26+M26)</x:f>
      </x:c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36" t="str">
        <x:f>IF(C27="","",IFERROR(VLOOKUP(C27,'SẢN_PHẨM'!$A$2:$G$500,2,FALSE),""))</x:f>
      </x:c>
      <x:c r="E27" s="36" t="str">
        <x:f>IF(C27="","",IFERROR(VLOOKUP(C27,'SẢN_PHẨM'!$A$2:$G$500,3,FALSE),""))</x:f>
      </x:c>
      <x:c r="F27" s="39"/>
      <x:c r="G27" s="34" t="str">
        <x:f>IF(C27="","",IFERROR(VLOOKUP(C27,'SẢN_PHẨM'!$A$2:$G$500,4,FALSE),""))</x:f>
      </x:c>
      <x:c r="H27" s="43"/>
      <x:c r="I27" s="38" t="str">
        <x:f>IF(C27="","",IFERROR(VLOOKUP(C27,'SẢN_PHẨM'!$A$2:$G$500,6,FALSE),""))</x:f>
      </x:c>
      <x:c r="J27" s="35" t="str">
        <x:f>IF(OR(F27="",G27=""),"",F27*G27)</x:f>
      </x:c>
      <x:c r="K27" s="35" t="str">
        <x:f>IF(J27="","",J27*H27)</x:f>
      </x:c>
      <x:c r="L27" s="35" t="str">
        <x:f>IF(J27="","",J27-K27)</x:f>
      </x:c>
      <x:c r="M27" s="35" t="str">
        <x:f>IF(L27="","",L27*I27)</x:f>
      </x:c>
      <x:c r="N27" s="35" t="str">
        <x:f>IF(L27="","",L27+M27)</x:f>
      </x:c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36" t="str">
        <x:f>IF(C28="","",IFERROR(VLOOKUP(C28,'SẢN_PHẨM'!$A$2:$G$500,2,FALSE),""))</x:f>
      </x:c>
      <x:c r="E28" s="36" t="str">
        <x:f>IF(C28="","",IFERROR(VLOOKUP(C28,'SẢN_PHẨM'!$A$2:$G$500,3,FALSE),""))</x:f>
      </x:c>
      <x:c r="F28" s="39"/>
      <x:c r="G28" s="34" t="str">
        <x:f>IF(C28="","",IFERROR(VLOOKUP(C28,'SẢN_PHẨM'!$A$2:$G$500,4,FALSE),""))</x:f>
      </x:c>
      <x:c r="H28" s="43"/>
      <x:c r="I28" s="38" t="str">
        <x:f>IF(C28="","",IFERROR(VLOOKUP(C28,'SẢN_PHẨM'!$A$2:$G$500,6,FALSE),""))</x:f>
      </x:c>
      <x:c r="J28" s="35" t="str">
        <x:f>IF(OR(F28="",G28=""),"",F28*G28)</x:f>
      </x:c>
      <x:c r="K28" s="35" t="str">
        <x:f>IF(J28="","",J28*H28)</x:f>
      </x:c>
      <x:c r="L28" s="35" t="str">
        <x:f>IF(J28="","",J28-K28)</x:f>
      </x:c>
      <x:c r="M28" s="35" t="str">
        <x:f>IF(L28="","",L28*I28)</x:f>
      </x:c>
      <x:c r="N28" s="35" t="str">
        <x:f>IF(L28="","",L28+M28)</x:f>
      </x:c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36" t="str">
        <x:f>IF(C29="","",IFERROR(VLOOKUP(C29,'SẢN_PHẨM'!$A$2:$G$500,2,FALSE),""))</x:f>
      </x:c>
      <x:c r="E29" s="36" t="str">
        <x:f>IF(C29="","",IFERROR(VLOOKUP(C29,'SẢN_PHẨM'!$A$2:$G$500,3,FALSE),""))</x:f>
      </x:c>
      <x:c r="F29" s="39"/>
      <x:c r="G29" s="34" t="str">
        <x:f>IF(C29="","",IFERROR(VLOOKUP(C29,'SẢN_PHẨM'!$A$2:$G$500,4,FALSE),""))</x:f>
      </x:c>
      <x:c r="H29" s="43"/>
      <x:c r="I29" s="38" t="str">
        <x:f>IF(C29="","",IFERROR(VLOOKUP(C29,'SẢN_PHẨM'!$A$2:$G$500,6,FALSE),""))</x:f>
      </x:c>
      <x:c r="J29" s="35" t="str">
        <x:f>IF(OR(F29="",G29=""),"",F29*G29)</x:f>
      </x:c>
      <x:c r="K29" s="35" t="str">
        <x:f>IF(J29="","",J29*H29)</x:f>
      </x:c>
      <x:c r="L29" s="35" t="str">
        <x:f>IF(J29="","",J29-K29)</x:f>
      </x:c>
      <x:c r="M29" s="35" t="str">
        <x:f>IF(L29="","",L29*I29)</x:f>
      </x:c>
      <x:c r="N29" s="35" t="str">
        <x:f>IF(L29="","",L29+M29)</x:f>
      </x:c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36" t="str">
        <x:f>IF(C30="","",IFERROR(VLOOKUP(C30,'SẢN_PHẨM'!$A$2:$G$500,2,FALSE),""))</x:f>
      </x:c>
      <x:c r="E30" s="36" t="str">
        <x:f>IF(C30="","",IFERROR(VLOOKUP(C30,'SẢN_PHẨM'!$A$2:$G$500,3,FALSE),""))</x:f>
      </x:c>
      <x:c r="F30" s="39"/>
      <x:c r="G30" s="34" t="str">
        <x:f>IF(C30="","",IFERROR(VLOOKUP(C30,'SẢN_PHẨM'!$A$2:$G$500,4,FALSE),""))</x:f>
      </x:c>
      <x:c r="H30" s="43"/>
      <x:c r="I30" s="38" t="str">
        <x:f>IF(C30="","",IFERROR(VLOOKUP(C30,'SẢN_PHẨM'!$A$2:$G$500,6,FALSE),""))</x:f>
      </x:c>
      <x:c r="J30" s="35" t="str">
        <x:f>IF(OR(F30="",G30=""),"",F30*G30)</x:f>
      </x:c>
      <x:c r="K30" s="35" t="str">
        <x:f>IF(J30="","",J30*H30)</x:f>
      </x:c>
      <x:c r="L30" s="35" t="str">
        <x:f>IF(J30="","",J30-K30)</x:f>
      </x:c>
      <x:c r="M30" s="35" t="str">
        <x:f>IF(L30="","",L30*I30)</x:f>
      </x:c>
      <x:c r="N30" s="35" t="str">
        <x:f>IF(L30="","",L30+M30)</x:f>
      </x:c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36" t="str">
        <x:f>IF(C31="","",IFERROR(VLOOKUP(C31,'SẢN_PHẨM'!$A$2:$G$500,2,FALSE),""))</x:f>
      </x:c>
      <x:c r="E31" s="36" t="str">
        <x:f>IF(C31="","",IFERROR(VLOOKUP(C31,'SẢN_PHẨM'!$A$2:$G$500,3,FALSE),""))</x:f>
      </x:c>
      <x:c r="F31" s="39"/>
      <x:c r="G31" s="34" t="str">
        <x:f>IF(C31="","",IFERROR(VLOOKUP(C31,'SẢN_PHẨM'!$A$2:$G$500,4,FALSE),""))</x:f>
      </x:c>
      <x:c r="H31" s="43"/>
      <x:c r="I31" s="38" t="str">
        <x:f>IF(C31="","",IFERROR(VLOOKUP(C31,'SẢN_PHẨM'!$A$2:$G$500,6,FALSE),""))</x:f>
      </x:c>
      <x:c r="J31" s="35" t="str">
        <x:f>IF(OR(F31="",G31=""),"",F31*G31)</x:f>
      </x:c>
      <x:c r="K31" s="35" t="str">
        <x:f>IF(J31="","",J31*H31)</x:f>
      </x:c>
      <x:c r="L31" s="35" t="str">
        <x:f>IF(J31="","",J31-K31)</x:f>
      </x:c>
      <x:c r="M31" s="35" t="str">
        <x:f>IF(L31="","",L31*I31)</x:f>
      </x:c>
      <x:c r="N31" s="35" t="str">
        <x:f>IF(L31="","",L31+M31)</x:f>
      </x:c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36" t="str">
        <x:f>IF(C32="","",IFERROR(VLOOKUP(C32,'SẢN_PHẨM'!$A$2:$G$500,2,FALSE),""))</x:f>
      </x:c>
      <x:c r="E32" s="36" t="str">
        <x:f>IF(C32="","",IFERROR(VLOOKUP(C32,'SẢN_PHẨM'!$A$2:$G$500,3,FALSE),""))</x:f>
      </x:c>
      <x:c r="F32" s="39"/>
      <x:c r="G32" s="34" t="str">
        <x:f>IF(C32="","",IFERROR(VLOOKUP(C32,'SẢN_PHẨM'!$A$2:$G$500,4,FALSE),""))</x:f>
      </x:c>
      <x:c r="H32" s="43"/>
      <x:c r="I32" s="38" t="str">
        <x:f>IF(C32="","",IFERROR(VLOOKUP(C32,'SẢN_PHẨM'!$A$2:$G$500,6,FALSE),""))</x:f>
      </x:c>
      <x:c r="J32" s="35" t="str">
        <x:f>IF(OR(F32="",G32=""),"",F32*G32)</x:f>
      </x:c>
      <x:c r="K32" s="35" t="str">
        <x:f>IF(J32="","",J32*H32)</x:f>
      </x:c>
      <x:c r="L32" s="35" t="str">
        <x:f>IF(J32="","",J32-K32)</x:f>
      </x:c>
      <x:c r="M32" s="35" t="str">
        <x:f>IF(L32="","",L32*I32)</x:f>
      </x:c>
      <x:c r="N32" s="35" t="str">
        <x:f>IF(L32="","",L32+M32)</x:f>
      </x:c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36" t="str">
        <x:f>IF(C33="","",IFERROR(VLOOKUP(C33,'SẢN_PHẨM'!$A$2:$G$500,2,FALSE),""))</x:f>
      </x:c>
      <x:c r="E33" s="36" t="str">
        <x:f>IF(C33="","",IFERROR(VLOOKUP(C33,'SẢN_PHẨM'!$A$2:$G$500,3,FALSE),""))</x:f>
      </x:c>
      <x:c r="F33" s="39"/>
      <x:c r="G33" s="34" t="str">
        <x:f>IF(C33="","",IFERROR(VLOOKUP(C33,'SẢN_PHẨM'!$A$2:$G$500,4,FALSE),""))</x:f>
      </x:c>
      <x:c r="H33" s="43"/>
      <x:c r="I33" s="38" t="str">
        <x:f>IF(C33="","",IFERROR(VLOOKUP(C33,'SẢN_PHẨM'!$A$2:$G$500,6,FALSE),""))</x:f>
      </x:c>
      <x:c r="J33" s="35" t="str">
        <x:f>IF(OR(F33="",G33=""),"",F33*G33)</x:f>
      </x:c>
      <x:c r="K33" s="35" t="str">
        <x:f>IF(J33="","",J33*H33)</x:f>
      </x:c>
      <x:c r="L33" s="35" t="str">
        <x:f>IF(J33="","",J33-K33)</x:f>
      </x:c>
      <x:c r="M33" s="35" t="str">
        <x:f>IF(L33="","",L33*I33)</x:f>
      </x:c>
      <x:c r="N33" s="35" t="str">
        <x:f>IF(L33="","",L33+M33)</x:f>
      </x:c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36" t="str">
        <x:f>IF(C34="","",IFERROR(VLOOKUP(C34,'SẢN_PHẨM'!$A$2:$G$500,2,FALSE),""))</x:f>
      </x:c>
      <x:c r="E34" s="36" t="str">
        <x:f>IF(C34="","",IFERROR(VLOOKUP(C34,'SẢN_PHẨM'!$A$2:$G$500,3,FALSE),""))</x:f>
      </x:c>
      <x:c r="F34" s="39"/>
      <x:c r="G34" s="34" t="str">
        <x:f>IF(C34="","",IFERROR(VLOOKUP(C34,'SẢN_PHẨM'!$A$2:$G$500,4,FALSE),""))</x:f>
      </x:c>
      <x:c r="H34" s="43"/>
      <x:c r="I34" s="38" t="str">
        <x:f>IF(C34="","",IFERROR(VLOOKUP(C34,'SẢN_PHẨM'!$A$2:$G$500,6,FALSE),""))</x:f>
      </x:c>
      <x:c r="J34" s="35" t="str">
        <x:f>IF(OR(F34="",G34=""),"",F34*G34)</x:f>
      </x:c>
      <x:c r="K34" s="35" t="str">
        <x:f>IF(J34="","",J34*H34)</x:f>
      </x:c>
      <x:c r="L34" s="35" t="str">
        <x:f>IF(J34="","",J34-K34)</x:f>
      </x:c>
      <x:c r="M34" s="35" t="str">
        <x:f>IF(L34="","",L34*I34)</x:f>
      </x:c>
      <x:c r="N34" s="35" t="str">
        <x:f>IF(L34="","",L34+M34)</x:f>
      </x:c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36" t="str">
        <x:f>IF(C35="","",IFERROR(VLOOKUP(C35,'SẢN_PHẨM'!$A$2:$G$500,2,FALSE),""))</x:f>
      </x:c>
      <x:c r="E35" s="36" t="str">
        <x:f>IF(C35="","",IFERROR(VLOOKUP(C35,'SẢN_PHẨM'!$A$2:$G$500,3,FALSE),""))</x:f>
      </x:c>
      <x:c r="F35" s="39"/>
      <x:c r="G35" s="34" t="str">
        <x:f>IF(C35="","",IFERROR(VLOOKUP(C35,'SẢN_PHẨM'!$A$2:$G$500,4,FALSE),""))</x:f>
      </x:c>
      <x:c r="H35" s="43"/>
      <x:c r="I35" s="38" t="str">
        <x:f>IF(C35="","",IFERROR(VLOOKUP(C35,'SẢN_PHẨM'!$A$2:$G$500,6,FALSE),""))</x:f>
      </x:c>
      <x:c r="J35" s="35" t="str">
        <x:f>IF(OR(F35="",G35=""),"",F35*G35)</x:f>
      </x:c>
      <x:c r="K35" s="35" t="str">
        <x:f>IF(J35="","",J35*H35)</x:f>
      </x:c>
      <x:c r="L35" s="35" t="str">
        <x:f>IF(J35="","",J35-K35)</x:f>
      </x:c>
      <x:c r="M35" s="35" t="str">
        <x:f>IF(L35="","",L35*I35)</x:f>
      </x:c>
      <x:c r="N35" s="35" t="str">
        <x:f>IF(L35="","",L35+M35)</x:f>
      </x:c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36" t="str">
        <x:f>IF(C36="","",IFERROR(VLOOKUP(C36,'SẢN_PHẨM'!$A$2:$G$500,2,FALSE),""))</x:f>
      </x:c>
      <x:c r="E36" s="36" t="str">
        <x:f>IF(C36="","",IFERROR(VLOOKUP(C36,'SẢN_PHẨM'!$A$2:$G$500,3,FALSE),""))</x:f>
      </x:c>
      <x:c r="F36" s="39"/>
      <x:c r="G36" s="34" t="str">
        <x:f>IF(C36="","",IFERROR(VLOOKUP(C36,'SẢN_PHẨM'!$A$2:$G$500,4,FALSE),""))</x:f>
      </x:c>
      <x:c r="H36" s="43"/>
      <x:c r="I36" s="38" t="str">
        <x:f>IF(C36="","",IFERROR(VLOOKUP(C36,'SẢN_PHẨM'!$A$2:$G$500,6,FALSE),""))</x:f>
      </x:c>
      <x:c r="J36" s="35" t="str">
        <x:f>IF(OR(F36="",G36=""),"",F36*G36)</x:f>
      </x:c>
      <x:c r="K36" s="35" t="str">
        <x:f>IF(J36="","",J36*H36)</x:f>
      </x:c>
      <x:c r="L36" s="35" t="str">
        <x:f>IF(J36="","",J36-K36)</x:f>
      </x:c>
      <x:c r="M36" s="35" t="str">
        <x:f>IF(L36="","",L36*I36)</x:f>
      </x:c>
      <x:c r="N36" s="35" t="str">
        <x:f>IF(L36="","",L36+M36)</x:f>
      </x:c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36" t="str">
        <x:f>IF(C37="","",IFERROR(VLOOKUP(C37,'SẢN_PHẨM'!$A$2:$G$500,2,FALSE),""))</x:f>
      </x:c>
      <x:c r="E37" s="36" t="str">
        <x:f>IF(C37="","",IFERROR(VLOOKUP(C37,'SẢN_PHẨM'!$A$2:$G$500,3,FALSE),""))</x:f>
      </x:c>
      <x:c r="F37" s="39"/>
      <x:c r="G37" s="34" t="str">
        <x:f>IF(C37="","",IFERROR(VLOOKUP(C37,'SẢN_PHẨM'!$A$2:$G$500,4,FALSE),""))</x:f>
      </x:c>
      <x:c r="H37" s="43"/>
      <x:c r="I37" s="38" t="str">
        <x:f>IF(C37="","",IFERROR(VLOOKUP(C37,'SẢN_PHẨM'!$A$2:$G$500,6,FALSE),""))</x:f>
      </x:c>
      <x:c r="J37" s="35" t="str">
        <x:f>IF(OR(F37="",G37=""),"",F37*G37)</x:f>
      </x:c>
      <x:c r="K37" s="35" t="str">
        <x:f>IF(J37="","",J37*H37)</x:f>
      </x:c>
      <x:c r="L37" s="35" t="str">
        <x:f>IF(J37="","",J37-K37)</x:f>
      </x:c>
      <x:c r="M37" s="35" t="str">
        <x:f>IF(L37="","",L37*I37)</x:f>
      </x:c>
      <x:c r="N37" s="35" t="str">
        <x:f>IF(L37="","",L37+M37)</x:f>
      </x:c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36" t="str">
        <x:f>IF(C38="","",IFERROR(VLOOKUP(C38,'SẢN_PHẨM'!$A$2:$G$500,2,FALSE),""))</x:f>
      </x:c>
      <x:c r="E38" s="36" t="str">
        <x:f>IF(C38="","",IFERROR(VLOOKUP(C38,'SẢN_PHẨM'!$A$2:$G$500,3,FALSE),""))</x:f>
      </x:c>
      <x:c r="F38" s="39"/>
      <x:c r="G38" s="34" t="str">
        <x:f>IF(C38="","",IFERROR(VLOOKUP(C38,'SẢN_PHẨM'!$A$2:$G$500,4,FALSE),""))</x:f>
      </x:c>
      <x:c r="H38" s="43"/>
      <x:c r="I38" s="38" t="str">
        <x:f>IF(C38="","",IFERROR(VLOOKUP(C38,'SẢN_PHẨM'!$A$2:$G$500,6,FALSE),""))</x:f>
      </x:c>
      <x:c r="J38" s="35" t="str">
        <x:f>IF(OR(F38="",G38=""),"",F38*G38)</x:f>
      </x:c>
      <x:c r="K38" s="35" t="str">
        <x:f>IF(J38="","",J38*H38)</x:f>
      </x:c>
      <x:c r="L38" s="35" t="str">
        <x:f>IF(J38="","",J38-K38)</x:f>
      </x:c>
      <x:c r="M38" s="35" t="str">
        <x:f>IF(L38="","",L38*I38)</x:f>
      </x:c>
      <x:c r="N38" s="35" t="str">
        <x:f>IF(L38="","",L38+M38)</x:f>
      </x:c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36" t="str">
        <x:f>IF(C39="","",IFERROR(VLOOKUP(C39,'SẢN_PHẨM'!$A$2:$G$500,2,FALSE),""))</x:f>
      </x:c>
      <x:c r="E39" s="36" t="str">
        <x:f>IF(C39="","",IFERROR(VLOOKUP(C39,'SẢN_PHẨM'!$A$2:$G$500,3,FALSE),""))</x:f>
      </x:c>
      <x:c r="F39" s="39"/>
      <x:c r="G39" s="34" t="str">
        <x:f>IF(C39="","",IFERROR(VLOOKUP(C39,'SẢN_PHẨM'!$A$2:$G$500,4,FALSE),""))</x:f>
      </x:c>
      <x:c r="H39" s="43"/>
      <x:c r="I39" s="38" t="str">
        <x:f>IF(C39="","",IFERROR(VLOOKUP(C39,'SẢN_PHẨM'!$A$2:$G$500,6,FALSE),""))</x:f>
      </x:c>
      <x:c r="J39" s="35" t="str">
        <x:f>IF(OR(F39="",G39=""),"",F39*G39)</x:f>
      </x:c>
      <x:c r="K39" s="35" t="str">
        <x:f>IF(J39="","",J39*H39)</x:f>
      </x:c>
      <x:c r="L39" s="35" t="str">
        <x:f>IF(J39="","",J39-K39)</x:f>
      </x:c>
      <x:c r="M39" s="35" t="str">
        <x:f>IF(L39="","",L39*I39)</x:f>
      </x:c>
      <x:c r="N39" s="35" t="str">
        <x:f>IF(L39="","",L39+M39)</x:f>
      </x:c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36" t="str">
        <x:f>IF(C40="","",IFERROR(VLOOKUP(C40,'SẢN_PHẨM'!$A$2:$G$500,2,FALSE),""))</x:f>
      </x:c>
      <x:c r="E40" s="36" t="str">
        <x:f>IF(C40="","",IFERROR(VLOOKUP(C40,'SẢN_PHẨM'!$A$2:$G$500,3,FALSE),""))</x:f>
      </x:c>
      <x:c r="F40" s="39"/>
      <x:c r="G40" s="34" t="str">
        <x:f>IF(C40="","",IFERROR(VLOOKUP(C40,'SẢN_PHẨM'!$A$2:$G$500,4,FALSE),""))</x:f>
      </x:c>
      <x:c r="H40" s="43"/>
      <x:c r="I40" s="38" t="str">
        <x:f>IF(C40="","",IFERROR(VLOOKUP(C40,'SẢN_PHẨM'!$A$2:$G$500,6,FALSE),""))</x:f>
      </x:c>
      <x:c r="J40" s="35" t="str">
        <x:f>IF(OR(F40="",G40=""),"",F40*G40)</x:f>
      </x:c>
      <x:c r="K40" s="35" t="str">
        <x:f>IF(J40="","",J40*H40)</x:f>
      </x:c>
      <x:c r="L40" s="35" t="str">
        <x:f>IF(J40="","",J40-K40)</x:f>
      </x:c>
      <x:c r="M40" s="35" t="str">
        <x:f>IF(L40="","",L40*I40)</x:f>
      </x:c>
      <x:c r="N40" s="35" t="str">
        <x:f>IF(L40="","",L40+M40)</x:f>
      </x:c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36" t="str">
        <x:f>IF(C41="","",IFERROR(VLOOKUP(C41,'SẢN_PHẨM'!$A$2:$G$500,2,FALSE),""))</x:f>
      </x:c>
      <x:c r="E41" s="36" t="str">
        <x:f>IF(C41="","",IFERROR(VLOOKUP(C41,'SẢN_PHẨM'!$A$2:$G$500,3,FALSE),""))</x:f>
      </x:c>
      <x:c r="F41" s="39"/>
      <x:c r="G41" s="34" t="str">
        <x:f>IF(C41="","",IFERROR(VLOOKUP(C41,'SẢN_PHẨM'!$A$2:$G$500,4,FALSE),""))</x:f>
      </x:c>
      <x:c r="H41" s="43"/>
      <x:c r="I41" s="38" t="str">
        <x:f>IF(C41="","",IFERROR(VLOOKUP(C41,'SẢN_PHẨM'!$A$2:$G$500,6,FALSE),""))</x:f>
      </x:c>
      <x:c r="J41" s="35" t="str">
        <x:f>IF(OR(F41="",G41=""),"",F41*G41)</x:f>
      </x:c>
      <x:c r="K41" s="35" t="str">
        <x:f>IF(J41="","",J41*H41)</x:f>
      </x:c>
      <x:c r="L41" s="35" t="str">
        <x:f>IF(J41="","",J41-K41)</x:f>
      </x:c>
      <x:c r="M41" s="35" t="str">
        <x:f>IF(L41="","",L41*I41)</x:f>
      </x:c>
      <x:c r="N41" s="35" t="str">
        <x:f>IF(L41="","",L41+M41)</x:f>
      </x:c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36" t="str">
        <x:f>IF(C42="","",IFERROR(VLOOKUP(C42,'SẢN_PHẨM'!$A$2:$G$500,2,FALSE),""))</x:f>
      </x:c>
      <x:c r="E42" s="36" t="str">
        <x:f>IF(C42="","",IFERROR(VLOOKUP(C42,'SẢN_PHẨM'!$A$2:$G$500,3,FALSE),""))</x:f>
      </x:c>
      <x:c r="F42" s="39"/>
      <x:c r="G42" s="34" t="str">
        <x:f>IF(C42="","",IFERROR(VLOOKUP(C42,'SẢN_PHẨM'!$A$2:$G$500,4,FALSE),""))</x:f>
      </x:c>
      <x:c r="H42" s="43"/>
      <x:c r="I42" s="38" t="str">
        <x:f>IF(C42="","",IFERROR(VLOOKUP(C42,'SẢN_PHẨM'!$A$2:$G$500,6,FALSE),""))</x:f>
      </x:c>
      <x:c r="J42" s="35" t="str">
        <x:f>IF(OR(F42="",G42=""),"",F42*G42)</x:f>
      </x:c>
      <x:c r="K42" s="35" t="str">
        <x:f>IF(J42="","",J42*H42)</x:f>
      </x:c>
      <x:c r="L42" s="35" t="str">
        <x:f>IF(J42="","",J42-K42)</x:f>
      </x:c>
      <x:c r="M42" s="35" t="str">
        <x:f>IF(L42="","",L42*I42)</x:f>
      </x:c>
      <x:c r="N42" s="35" t="str">
        <x:f>IF(L42="","",L42+M42)</x:f>
      </x:c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36" t="str">
        <x:f>IF(C43="","",IFERROR(VLOOKUP(C43,'SẢN_PHẨM'!$A$2:$G$500,2,FALSE),""))</x:f>
      </x:c>
      <x:c r="E43" s="36" t="str">
        <x:f>IF(C43="","",IFERROR(VLOOKUP(C43,'SẢN_PHẨM'!$A$2:$G$500,3,FALSE),""))</x:f>
      </x:c>
      <x:c r="F43" s="39"/>
      <x:c r="G43" s="34" t="str">
        <x:f>IF(C43="","",IFERROR(VLOOKUP(C43,'SẢN_PHẨM'!$A$2:$G$500,4,FALSE),""))</x:f>
      </x:c>
      <x:c r="H43" s="43"/>
      <x:c r="I43" s="38" t="str">
        <x:f>IF(C43="","",IFERROR(VLOOKUP(C43,'SẢN_PHẨM'!$A$2:$G$500,6,FALSE),""))</x:f>
      </x:c>
      <x:c r="J43" s="35" t="str">
        <x:f>IF(OR(F43="",G43=""),"",F43*G43)</x:f>
      </x:c>
      <x:c r="K43" s="35" t="str">
        <x:f>IF(J43="","",J43*H43)</x:f>
      </x:c>
      <x:c r="L43" s="35" t="str">
        <x:f>IF(J43="","",J43-K43)</x:f>
      </x:c>
      <x:c r="M43" s="35" t="str">
        <x:f>IF(L43="","",L43*I43)</x:f>
      </x:c>
      <x:c r="N43" s="35" t="str">
        <x:f>IF(L43="","",L43+M43)</x:f>
      </x:c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36" t="str">
        <x:f>IF(C44="","",IFERROR(VLOOKUP(C44,'SẢN_PHẨM'!$A$2:$G$500,2,FALSE),""))</x:f>
      </x:c>
      <x:c r="E44" s="36" t="str">
        <x:f>IF(C44="","",IFERROR(VLOOKUP(C44,'SẢN_PHẨM'!$A$2:$G$500,3,FALSE),""))</x:f>
      </x:c>
      <x:c r="F44" s="39"/>
      <x:c r="G44" s="34" t="str">
        <x:f>IF(C44="","",IFERROR(VLOOKUP(C44,'SẢN_PHẨM'!$A$2:$G$500,4,FALSE),""))</x:f>
      </x:c>
      <x:c r="H44" s="43"/>
      <x:c r="I44" s="38" t="str">
        <x:f>IF(C44="","",IFERROR(VLOOKUP(C44,'SẢN_PHẨM'!$A$2:$G$500,6,FALSE),""))</x:f>
      </x:c>
      <x:c r="J44" s="35" t="str">
        <x:f>IF(OR(F44="",G44=""),"",F44*G44)</x:f>
      </x:c>
      <x:c r="K44" s="35" t="str">
        <x:f>IF(J44="","",J44*H44)</x:f>
      </x:c>
      <x:c r="L44" s="35" t="str">
        <x:f>IF(J44="","",J44-K44)</x:f>
      </x:c>
      <x:c r="M44" s="35" t="str">
        <x:f>IF(L44="","",L44*I44)</x:f>
      </x:c>
      <x:c r="N44" s="35" t="str">
        <x:f>IF(L44="","",L44+M44)</x:f>
      </x:c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36" t="str">
        <x:f>IF(C45="","",IFERROR(VLOOKUP(C45,'SẢN_PHẨM'!$A$2:$G$500,2,FALSE),""))</x:f>
      </x:c>
      <x:c r="E45" s="36" t="str">
        <x:f>IF(C45="","",IFERROR(VLOOKUP(C45,'SẢN_PHẨM'!$A$2:$G$500,3,FALSE),""))</x:f>
      </x:c>
      <x:c r="F45" s="39"/>
      <x:c r="G45" s="34" t="str">
        <x:f>IF(C45="","",IFERROR(VLOOKUP(C45,'SẢN_PHẨM'!$A$2:$G$500,4,FALSE),""))</x:f>
      </x:c>
      <x:c r="H45" s="43"/>
      <x:c r="I45" s="38" t="str">
        <x:f>IF(C45="","",IFERROR(VLOOKUP(C45,'SẢN_PHẨM'!$A$2:$G$500,6,FALSE),""))</x:f>
      </x:c>
      <x:c r="J45" s="35" t="str">
        <x:f>IF(OR(F45="",G45=""),"",F45*G45)</x:f>
      </x:c>
      <x:c r="K45" s="35" t="str">
        <x:f>IF(J45="","",J45*H45)</x:f>
      </x:c>
      <x:c r="L45" s="35" t="str">
        <x:f>IF(J45="","",J45-K45)</x:f>
      </x:c>
      <x:c r="M45" s="35" t="str">
        <x:f>IF(L45="","",L45*I45)</x:f>
      </x:c>
      <x:c r="N45" s="35" t="str">
        <x:f>IF(L45="","",L45+M45)</x:f>
      </x:c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36" t="str">
        <x:f>IF(C46="","",IFERROR(VLOOKUP(C46,'SẢN_PHẨM'!$A$2:$G$500,2,FALSE),""))</x:f>
      </x:c>
      <x:c r="E46" s="36" t="str">
        <x:f>IF(C46="","",IFERROR(VLOOKUP(C46,'SẢN_PHẨM'!$A$2:$G$500,3,FALSE),""))</x:f>
      </x:c>
      <x:c r="F46" s="39"/>
      <x:c r="G46" s="34" t="str">
        <x:f>IF(C46="","",IFERROR(VLOOKUP(C46,'SẢN_PHẨM'!$A$2:$G$500,4,FALSE),""))</x:f>
      </x:c>
      <x:c r="H46" s="43"/>
      <x:c r="I46" s="38" t="str">
        <x:f>IF(C46="","",IFERROR(VLOOKUP(C46,'SẢN_PHẨM'!$A$2:$G$500,6,FALSE),""))</x:f>
      </x:c>
      <x:c r="J46" s="35" t="str">
        <x:f>IF(OR(F46="",G46=""),"",F46*G46)</x:f>
      </x:c>
      <x:c r="K46" s="35" t="str">
        <x:f>IF(J46="","",J46*H46)</x:f>
      </x:c>
      <x:c r="L46" s="35" t="str">
        <x:f>IF(J46="","",J46-K46)</x:f>
      </x:c>
      <x:c r="M46" s="35" t="str">
        <x:f>IF(L46="","",L46*I46)</x:f>
      </x:c>
      <x:c r="N46" s="35" t="str">
        <x:f>IF(L46="","",L46+M46)</x:f>
      </x:c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36" t="str">
        <x:f>IF(C47="","",IFERROR(VLOOKUP(C47,'SẢN_PHẨM'!$A$2:$G$500,2,FALSE),""))</x:f>
      </x:c>
      <x:c r="E47" s="36" t="str">
        <x:f>IF(C47="","",IFERROR(VLOOKUP(C47,'SẢN_PHẨM'!$A$2:$G$500,3,FALSE),""))</x:f>
      </x:c>
      <x:c r="F47" s="39"/>
      <x:c r="G47" s="34" t="str">
        <x:f>IF(C47="","",IFERROR(VLOOKUP(C47,'SẢN_PHẨM'!$A$2:$G$500,4,FALSE),""))</x:f>
      </x:c>
      <x:c r="H47" s="43"/>
      <x:c r="I47" s="38" t="str">
        <x:f>IF(C47="","",IFERROR(VLOOKUP(C47,'SẢN_PHẨM'!$A$2:$G$500,6,FALSE),""))</x:f>
      </x:c>
      <x:c r="J47" s="35" t="str">
        <x:f>IF(OR(F47="",G47=""),"",F47*G47)</x:f>
      </x:c>
      <x:c r="K47" s="35" t="str">
        <x:f>IF(J47="","",J47*H47)</x:f>
      </x:c>
      <x:c r="L47" s="35" t="str">
        <x:f>IF(J47="","",J47-K47)</x:f>
      </x:c>
      <x:c r="M47" s="35" t="str">
        <x:f>IF(L47="","",L47*I47)</x:f>
      </x:c>
      <x:c r="N47" s="35" t="str">
        <x:f>IF(L47="","",L47+M47)</x:f>
      </x:c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36" t="str">
        <x:f>IF(C48="","",IFERROR(VLOOKUP(C48,'SẢN_PHẨM'!$A$2:$G$500,2,FALSE),""))</x:f>
      </x:c>
      <x:c r="E48" s="36" t="str">
        <x:f>IF(C48="","",IFERROR(VLOOKUP(C48,'SẢN_PHẨM'!$A$2:$G$500,3,FALSE),""))</x:f>
      </x:c>
      <x:c r="F48" s="39"/>
      <x:c r="G48" s="34" t="str">
        <x:f>IF(C48="","",IFERROR(VLOOKUP(C48,'SẢN_PHẨM'!$A$2:$G$500,4,FALSE),""))</x:f>
      </x:c>
      <x:c r="H48" s="43"/>
      <x:c r="I48" s="38" t="str">
        <x:f>IF(C48="","",IFERROR(VLOOKUP(C48,'SẢN_PHẨM'!$A$2:$G$500,6,FALSE),""))</x:f>
      </x:c>
      <x:c r="J48" s="35" t="str">
        <x:f>IF(OR(F48="",G48=""),"",F48*G48)</x:f>
      </x:c>
      <x:c r="K48" s="35" t="str">
        <x:f>IF(J48="","",J48*H48)</x:f>
      </x:c>
      <x:c r="L48" s="35" t="str">
        <x:f>IF(J48="","",J48-K48)</x:f>
      </x:c>
      <x:c r="M48" s="35" t="str">
        <x:f>IF(L48="","",L48*I48)</x:f>
      </x:c>
      <x:c r="N48" s="35" t="str">
        <x:f>IF(L48="","",L48+M48)</x:f>
      </x:c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36" t="str">
        <x:f>IF(C49="","",IFERROR(VLOOKUP(C49,'SẢN_PHẨM'!$A$2:$G$500,2,FALSE),""))</x:f>
      </x:c>
      <x:c r="E49" s="36" t="str">
        <x:f>IF(C49="","",IFERROR(VLOOKUP(C49,'SẢN_PHẨM'!$A$2:$G$500,3,FALSE),""))</x:f>
      </x:c>
      <x:c r="F49" s="39"/>
      <x:c r="G49" s="34" t="str">
        <x:f>IF(C49="","",IFERROR(VLOOKUP(C49,'SẢN_PHẨM'!$A$2:$G$500,4,FALSE),""))</x:f>
      </x:c>
      <x:c r="H49" s="43"/>
      <x:c r="I49" s="38" t="str">
        <x:f>IF(C49="","",IFERROR(VLOOKUP(C49,'SẢN_PHẨM'!$A$2:$G$500,6,FALSE),""))</x:f>
      </x:c>
      <x:c r="J49" s="35" t="str">
        <x:f>IF(OR(F49="",G49=""),"",F49*G49)</x:f>
      </x:c>
      <x:c r="K49" s="35" t="str">
        <x:f>IF(J49="","",J49*H49)</x:f>
      </x:c>
      <x:c r="L49" s="35" t="str">
        <x:f>IF(J49="","",J49-K49)</x:f>
      </x:c>
      <x:c r="M49" s="35" t="str">
        <x:f>IF(L49="","",L49*I49)</x:f>
      </x:c>
      <x:c r="N49" s="35" t="str">
        <x:f>IF(L49="","",L49+M49)</x:f>
      </x:c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36" t="str">
        <x:f>IF(C50="","",IFERROR(VLOOKUP(C50,'SẢN_PHẨM'!$A$2:$G$500,2,FALSE),""))</x:f>
      </x:c>
      <x:c r="E50" s="36" t="str">
        <x:f>IF(C50="","",IFERROR(VLOOKUP(C50,'SẢN_PHẨM'!$A$2:$G$500,3,FALSE),""))</x:f>
      </x:c>
      <x:c r="F50" s="39"/>
      <x:c r="G50" s="34" t="str">
        <x:f>IF(C50="","",IFERROR(VLOOKUP(C50,'SẢN_PHẨM'!$A$2:$G$500,4,FALSE),""))</x:f>
      </x:c>
      <x:c r="H50" s="43"/>
      <x:c r="I50" s="38" t="str">
        <x:f>IF(C50="","",IFERROR(VLOOKUP(C50,'SẢN_PHẨM'!$A$2:$G$500,6,FALSE),""))</x:f>
      </x:c>
      <x:c r="J50" s="35" t="str">
        <x:f>IF(OR(F50="",G50=""),"",F50*G50)</x:f>
      </x:c>
      <x:c r="K50" s="35" t="str">
        <x:f>IF(J50="","",J50*H50)</x:f>
      </x:c>
      <x:c r="L50" s="35" t="str">
        <x:f>IF(J50="","",J50-K50)</x:f>
      </x:c>
      <x:c r="M50" s="35" t="str">
        <x:f>IF(L50="","",L50*I50)</x:f>
      </x:c>
      <x:c r="N50" s="35" t="str">
        <x:f>IF(L50="","",L50+M50)</x:f>
      </x:c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36" t="str">
        <x:f>IF(C51="","",IFERROR(VLOOKUP(C51,'SẢN_PHẨM'!$A$2:$G$500,2,FALSE),""))</x:f>
      </x:c>
      <x:c r="E51" s="36" t="str">
        <x:f>IF(C51="","",IFERROR(VLOOKUP(C51,'SẢN_PHẨM'!$A$2:$G$500,3,FALSE),""))</x:f>
      </x:c>
      <x:c r="F51" s="39"/>
      <x:c r="G51" s="34" t="str">
        <x:f>IF(C51="","",IFERROR(VLOOKUP(C51,'SẢN_PHẨM'!$A$2:$G$500,4,FALSE),""))</x:f>
      </x:c>
      <x:c r="H51" s="43"/>
      <x:c r="I51" s="38" t="str">
        <x:f>IF(C51="","",IFERROR(VLOOKUP(C51,'SẢN_PHẨM'!$A$2:$G$500,6,FALSE),""))</x:f>
      </x:c>
      <x:c r="J51" s="35" t="str">
        <x:f>IF(OR(F51="",G51=""),"",F51*G51)</x:f>
      </x:c>
      <x:c r="K51" s="35" t="str">
        <x:f>IF(J51="","",J51*H51)</x:f>
      </x:c>
      <x:c r="L51" s="35" t="str">
        <x:f>IF(J51="","",J51-K51)</x:f>
      </x:c>
      <x:c r="M51" s="35" t="str">
        <x:f>IF(L51="","",L51*I51)</x:f>
      </x:c>
      <x:c r="N51" s="35" t="str">
        <x:f>IF(L51="","",L51+M51)</x:f>
      </x:c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36" t="str">
        <x:f>IF(C52="","",IFERROR(VLOOKUP(C52,'SẢN_PHẨM'!$A$2:$G$500,2,FALSE),""))</x:f>
      </x:c>
      <x:c r="E52" s="36" t="str">
        <x:f>IF(C52="","",IFERROR(VLOOKUP(C52,'SẢN_PHẨM'!$A$2:$G$500,3,FALSE),""))</x:f>
      </x:c>
      <x:c r="F52" s="39"/>
      <x:c r="G52" s="34" t="str">
        <x:f>IF(C52="","",IFERROR(VLOOKUP(C52,'SẢN_PHẨM'!$A$2:$G$500,4,FALSE),""))</x:f>
      </x:c>
      <x:c r="H52" s="43"/>
      <x:c r="I52" s="38" t="str">
        <x:f>IF(C52="","",IFERROR(VLOOKUP(C52,'SẢN_PHẨM'!$A$2:$G$500,6,FALSE),""))</x:f>
      </x:c>
      <x:c r="J52" s="35" t="str">
        <x:f>IF(OR(F52="",G52=""),"",F52*G52)</x:f>
      </x:c>
      <x:c r="K52" s="35" t="str">
        <x:f>IF(J52="","",J52*H52)</x:f>
      </x:c>
      <x:c r="L52" s="35" t="str">
        <x:f>IF(J52="","",J52-K52)</x:f>
      </x:c>
      <x:c r="M52" s="35" t="str">
        <x:f>IF(L52="","",L52*I52)</x:f>
      </x:c>
      <x:c r="N52" s="35" t="str">
        <x:f>IF(L52="","",L52+M52)</x:f>
      </x:c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36" t="str">
        <x:f>IF(C53="","",IFERROR(VLOOKUP(C53,'SẢN_PHẨM'!$A$2:$G$500,2,FALSE),""))</x:f>
      </x:c>
      <x:c r="E53" s="36" t="str">
        <x:f>IF(C53="","",IFERROR(VLOOKUP(C53,'SẢN_PHẨM'!$A$2:$G$500,3,FALSE),""))</x:f>
      </x:c>
      <x:c r="F53" s="39"/>
      <x:c r="G53" s="34" t="str">
        <x:f>IF(C53="","",IFERROR(VLOOKUP(C53,'SẢN_PHẨM'!$A$2:$G$500,4,FALSE),""))</x:f>
      </x:c>
      <x:c r="H53" s="43"/>
      <x:c r="I53" s="38" t="str">
        <x:f>IF(C53="","",IFERROR(VLOOKUP(C53,'SẢN_PHẨM'!$A$2:$G$500,6,FALSE),""))</x:f>
      </x:c>
      <x:c r="J53" s="35" t="str">
        <x:f>IF(OR(F53="",G53=""),"",F53*G53)</x:f>
      </x:c>
      <x:c r="K53" s="35" t="str">
        <x:f>IF(J53="","",J53*H53)</x:f>
      </x:c>
      <x:c r="L53" s="35" t="str">
        <x:f>IF(J53="","",J53-K53)</x:f>
      </x:c>
      <x:c r="M53" s="35" t="str">
        <x:f>IF(L53="","",L53*I53)</x:f>
      </x:c>
      <x:c r="N53" s="35" t="str">
        <x:f>IF(L53="","",L53+M53)</x:f>
      </x:c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36" t="str">
        <x:f>IF(C54="","",IFERROR(VLOOKUP(C54,'SẢN_PHẨM'!$A$2:$G$500,2,FALSE),""))</x:f>
      </x:c>
      <x:c r="E54" s="36" t="str">
        <x:f>IF(C54="","",IFERROR(VLOOKUP(C54,'SẢN_PHẨM'!$A$2:$G$500,3,FALSE),""))</x:f>
      </x:c>
      <x:c r="F54" s="39"/>
      <x:c r="G54" s="34" t="str">
        <x:f>IF(C54="","",IFERROR(VLOOKUP(C54,'SẢN_PHẨM'!$A$2:$G$500,4,FALSE),""))</x:f>
      </x:c>
      <x:c r="H54" s="43"/>
      <x:c r="I54" s="38" t="str">
        <x:f>IF(C54="","",IFERROR(VLOOKUP(C54,'SẢN_PHẨM'!$A$2:$G$500,6,FALSE),""))</x:f>
      </x:c>
      <x:c r="J54" s="35" t="str">
        <x:f>IF(OR(F54="",G54=""),"",F54*G54)</x:f>
      </x:c>
      <x:c r="K54" s="35" t="str">
        <x:f>IF(J54="","",J54*H54)</x:f>
      </x:c>
      <x:c r="L54" s="35" t="str">
        <x:f>IF(J54="","",J54-K54)</x:f>
      </x:c>
      <x:c r="M54" s="35" t="str">
        <x:f>IF(L54="","",L54*I54)</x:f>
      </x:c>
      <x:c r="N54" s="35" t="str">
        <x:f>IF(L54="","",L54+M54)</x:f>
      </x:c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36" t="str">
        <x:f>IF(C55="","",IFERROR(VLOOKUP(C55,'SẢN_PHẨM'!$A$2:$G$500,2,FALSE),""))</x:f>
      </x:c>
      <x:c r="E55" s="36" t="str">
        <x:f>IF(C55="","",IFERROR(VLOOKUP(C55,'SẢN_PHẨM'!$A$2:$G$500,3,FALSE),""))</x:f>
      </x:c>
      <x:c r="F55" s="39"/>
      <x:c r="G55" s="34" t="str">
        <x:f>IF(C55="","",IFERROR(VLOOKUP(C55,'SẢN_PHẨM'!$A$2:$G$500,4,FALSE),""))</x:f>
      </x:c>
      <x:c r="H55" s="43"/>
      <x:c r="I55" s="38" t="str">
        <x:f>IF(C55="","",IFERROR(VLOOKUP(C55,'SẢN_PHẨM'!$A$2:$G$500,6,FALSE),""))</x:f>
      </x:c>
      <x:c r="J55" s="35" t="str">
        <x:f>IF(OR(F55="",G55=""),"",F55*G55)</x:f>
      </x:c>
      <x:c r="K55" s="35" t="str">
        <x:f>IF(J55="","",J55*H55)</x:f>
      </x:c>
      <x:c r="L55" s="35" t="str">
        <x:f>IF(J55="","",J55-K55)</x:f>
      </x:c>
      <x:c r="M55" s="35" t="str">
        <x:f>IF(L55="","",L55*I55)</x:f>
      </x:c>
      <x:c r="N55" s="35" t="str">
        <x:f>IF(L55="","",L55+M55)</x:f>
      </x:c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36" t="str">
        <x:f>IF(C56="","",IFERROR(VLOOKUP(C56,'SẢN_PHẨM'!$A$2:$G$500,2,FALSE),""))</x:f>
      </x:c>
      <x:c r="E56" s="36" t="str">
        <x:f>IF(C56="","",IFERROR(VLOOKUP(C56,'SẢN_PHẨM'!$A$2:$G$500,3,FALSE),""))</x:f>
      </x:c>
      <x:c r="F56" s="39"/>
      <x:c r="G56" s="34" t="str">
        <x:f>IF(C56="","",IFERROR(VLOOKUP(C56,'SẢN_PHẨM'!$A$2:$G$500,4,FALSE),""))</x:f>
      </x:c>
      <x:c r="H56" s="43"/>
      <x:c r="I56" s="38" t="str">
        <x:f>IF(C56="","",IFERROR(VLOOKUP(C56,'SẢN_PHẨM'!$A$2:$G$500,6,FALSE),""))</x:f>
      </x:c>
      <x:c r="J56" s="35" t="str">
        <x:f>IF(OR(F56="",G56=""),"",F56*G56)</x:f>
      </x:c>
      <x:c r="K56" s="35" t="str">
        <x:f>IF(J56="","",J56*H56)</x:f>
      </x:c>
      <x:c r="L56" s="35" t="str">
        <x:f>IF(J56="","",J56-K56)</x:f>
      </x:c>
      <x:c r="M56" s="35" t="str">
        <x:f>IF(L56="","",L56*I56)</x:f>
      </x:c>
      <x:c r="N56" s="35" t="str">
        <x:f>IF(L56="","",L56+M56)</x:f>
      </x:c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36" t="str">
        <x:f>IF(C57="","",IFERROR(VLOOKUP(C57,'SẢN_PHẨM'!$A$2:$G$500,2,FALSE),""))</x:f>
      </x:c>
      <x:c r="E57" s="36" t="str">
        <x:f>IF(C57="","",IFERROR(VLOOKUP(C57,'SẢN_PHẨM'!$A$2:$G$500,3,FALSE),""))</x:f>
      </x:c>
      <x:c r="F57" s="39"/>
      <x:c r="G57" s="34" t="str">
        <x:f>IF(C57="","",IFERROR(VLOOKUP(C57,'SẢN_PHẨM'!$A$2:$G$500,4,FALSE),""))</x:f>
      </x:c>
      <x:c r="H57" s="43"/>
      <x:c r="I57" s="38" t="str">
        <x:f>IF(C57="","",IFERROR(VLOOKUP(C57,'SẢN_PHẨM'!$A$2:$G$500,6,FALSE),""))</x:f>
      </x:c>
      <x:c r="J57" s="35" t="str">
        <x:f>IF(OR(F57="",G57=""),"",F57*G57)</x:f>
      </x:c>
      <x:c r="K57" s="35" t="str">
        <x:f>IF(J57="","",J57*H57)</x:f>
      </x:c>
      <x:c r="L57" s="35" t="str">
        <x:f>IF(J57="","",J57-K57)</x:f>
      </x:c>
      <x:c r="M57" s="35" t="str">
        <x:f>IF(L57="","",L57*I57)</x:f>
      </x:c>
      <x:c r="N57" s="35" t="str">
        <x:f>IF(L57="","",L57+M57)</x:f>
      </x:c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36" t="str">
        <x:f>IF(C58="","",IFERROR(VLOOKUP(C58,'SẢN_PHẨM'!$A$2:$G$500,2,FALSE),""))</x:f>
      </x:c>
      <x:c r="E58" s="36" t="str">
        <x:f>IF(C58="","",IFERROR(VLOOKUP(C58,'SẢN_PHẨM'!$A$2:$G$500,3,FALSE),""))</x:f>
      </x:c>
      <x:c r="F58" s="39"/>
      <x:c r="G58" s="34" t="str">
        <x:f>IF(C58="","",IFERROR(VLOOKUP(C58,'SẢN_PHẨM'!$A$2:$G$500,4,FALSE),""))</x:f>
      </x:c>
      <x:c r="H58" s="43"/>
      <x:c r="I58" s="38" t="str">
        <x:f>IF(C58="","",IFERROR(VLOOKUP(C58,'SẢN_PHẨM'!$A$2:$G$500,6,FALSE),""))</x:f>
      </x:c>
      <x:c r="J58" s="35" t="str">
        <x:f>IF(OR(F58="",G58=""),"",F58*G58)</x:f>
      </x:c>
      <x:c r="K58" s="35" t="str">
        <x:f>IF(J58="","",J58*H58)</x:f>
      </x:c>
      <x:c r="L58" s="35" t="str">
        <x:f>IF(J58="","",J58-K58)</x:f>
      </x:c>
      <x:c r="M58" s="35" t="str">
        <x:f>IF(L58="","",L58*I58)</x:f>
      </x:c>
      <x:c r="N58" s="35" t="str">
        <x:f>IF(L58="","",L58+M58)</x:f>
      </x:c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36" t="str">
        <x:f>IF(C59="","",IFERROR(VLOOKUP(C59,'SẢN_PHẨM'!$A$2:$G$500,2,FALSE),""))</x:f>
      </x:c>
      <x:c r="E59" s="36" t="str">
        <x:f>IF(C59="","",IFERROR(VLOOKUP(C59,'SẢN_PHẨM'!$A$2:$G$500,3,FALSE),""))</x:f>
      </x:c>
      <x:c r="F59" s="39"/>
      <x:c r="G59" s="34" t="str">
        <x:f>IF(C59="","",IFERROR(VLOOKUP(C59,'SẢN_PHẨM'!$A$2:$G$500,4,FALSE),""))</x:f>
      </x:c>
      <x:c r="H59" s="43"/>
      <x:c r="I59" s="38" t="str">
        <x:f>IF(C59="","",IFERROR(VLOOKUP(C59,'SẢN_PHẨM'!$A$2:$G$500,6,FALSE),""))</x:f>
      </x:c>
      <x:c r="J59" s="35" t="str">
        <x:f>IF(OR(F59="",G59=""),"",F59*G59)</x:f>
      </x:c>
      <x:c r="K59" s="35" t="str">
        <x:f>IF(J59="","",J59*H59)</x:f>
      </x:c>
      <x:c r="L59" s="35" t="str">
        <x:f>IF(J59="","",J59-K59)</x:f>
      </x:c>
      <x:c r="M59" s="35" t="str">
        <x:f>IF(L59="","",L59*I59)</x:f>
      </x:c>
      <x:c r="N59" s="35" t="str">
        <x:f>IF(L59="","",L59+M59)</x:f>
      </x:c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36" t="str">
        <x:f>IF(C60="","",IFERROR(VLOOKUP(C60,'SẢN_PHẨM'!$A$2:$G$500,2,FALSE),""))</x:f>
      </x:c>
      <x:c r="E60" s="36" t="str">
        <x:f>IF(C60="","",IFERROR(VLOOKUP(C60,'SẢN_PHẨM'!$A$2:$G$500,3,FALSE),""))</x:f>
      </x:c>
      <x:c r="F60" s="39"/>
      <x:c r="G60" s="34" t="str">
        <x:f>IF(C60="","",IFERROR(VLOOKUP(C60,'SẢN_PHẨM'!$A$2:$G$500,4,FALSE),""))</x:f>
      </x:c>
      <x:c r="H60" s="43"/>
      <x:c r="I60" s="38" t="str">
        <x:f>IF(C60="","",IFERROR(VLOOKUP(C60,'SẢN_PHẨM'!$A$2:$G$500,6,FALSE),""))</x:f>
      </x:c>
      <x:c r="J60" s="35" t="str">
        <x:f>IF(OR(F60="",G60=""),"",F60*G60)</x:f>
      </x:c>
      <x:c r="K60" s="35" t="str">
        <x:f>IF(J60="","",J60*H60)</x:f>
      </x:c>
      <x:c r="L60" s="35" t="str">
        <x:f>IF(J60="","",J60-K60)</x:f>
      </x:c>
      <x:c r="M60" s="35" t="str">
        <x:f>IF(L60="","",L60*I60)</x:f>
      </x:c>
      <x:c r="N60" s="35" t="str">
        <x:f>IF(L60="","",L60+M60)</x:f>
      </x:c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36" t="str">
        <x:f>IF(C61="","",IFERROR(VLOOKUP(C61,'SẢN_PHẨM'!$A$2:$G$500,2,FALSE),""))</x:f>
      </x:c>
      <x:c r="E61" s="36" t="str">
        <x:f>IF(C61="","",IFERROR(VLOOKUP(C61,'SẢN_PHẨM'!$A$2:$G$500,3,FALSE),""))</x:f>
      </x:c>
      <x:c r="F61" s="39"/>
      <x:c r="G61" s="34" t="str">
        <x:f>IF(C61="","",IFERROR(VLOOKUP(C61,'SẢN_PHẨM'!$A$2:$G$500,4,FALSE),""))</x:f>
      </x:c>
      <x:c r="H61" s="43"/>
      <x:c r="I61" s="38" t="str">
        <x:f>IF(C61="","",IFERROR(VLOOKUP(C61,'SẢN_PHẨM'!$A$2:$G$500,6,FALSE),""))</x:f>
      </x:c>
      <x:c r="J61" s="35" t="str">
        <x:f>IF(OR(F61="",G61=""),"",F61*G61)</x:f>
      </x:c>
      <x:c r="K61" s="35" t="str">
        <x:f>IF(J61="","",J61*H61)</x:f>
      </x:c>
      <x:c r="L61" s="35" t="str">
        <x:f>IF(J61="","",J61-K61)</x:f>
      </x:c>
      <x:c r="M61" s="35" t="str">
        <x:f>IF(L61="","",L61*I61)</x:f>
      </x:c>
      <x:c r="N61" s="35" t="str">
        <x:f>IF(L61="","",L61+M61)</x:f>
      </x:c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36" t="str">
        <x:f>IF(C62="","",IFERROR(VLOOKUP(C62,'SẢN_PHẨM'!$A$2:$G$500,2,FALSE),""))</x:f>
      </x:c>
      <x:c r="E62" s="36" t="str">
        <x:f>IF(C62="","",IFERROR(VLOOKUP(C62,'SẢN_PHẨM'!$A$2:$G$500,3,FALSE),""))</x:f>
      </x:c>
      <x:c r="F62" s="39"/>
      <x:c r="G62" s="34" t="str">
        <x:f>IF(C62="","",IFERROR(VLOOKUP(C62,'SẢN_PHẨM'!$A$2:$G$500,4,FALSE),""))</x:f>
      </x:c>
      <x:c r="H62" s="43"/>
      <x:c r="I62" s="38" t="str">
        <x:f>IF(C62="","",IFERROR(VLOOKUP(C62,'SẢN_PHẨM'!$A$2:$G$500,6,FALSE),""))</x:f>
      </x:c>
      <x:c r="J62" s="35" t="str">
        <x:f>IF(OR(F62="",G62=""),"",F62*G62)</x:f>
      </x:c>
      <x:c r="K62" s="35" t="str">
        <x:f>IF(J62="","",J62*H62)</x:f>
      </x:c>
      <x:c r="L62" s="35" t="str">
        <x:f>IF(J62="","",J62-K62)</x:f>
      </x:c>
      <x:c r="M62" s="35" t="str">
        <x:f>IF(L62="","",L62*I62)</x:f>
      </x:c>
      <x:c r="N62" s="35" t="str">
        <x:f>IF(L62="","",L62+M62)</x:f>
      </x:c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36" t="str">
        <x:f>IF(C63="","",IFERROR(VLOOKUP(C63,'SẢN_PHẨM'!$A$2:$G$500,2,FALSE),""))</x:f>
      </x:c>
      <x:c r="E63" s="36" t="str">
        <x:f>IF(C63="","",IFERROR(VLOOKUP(C63,'SẢN_PHẨM'!$A$2:$G$500,3,FALSE),""))</x:f>
      </x:c>
      <x:c r="F63" s="39"/>
      <x:c r="G63" s="34" t="str">
        <x:f>IF(C63="","",IFERROR(VLOOKUP(C63,'SẢN_PHẨM'!$A$2:$G$500,4,FALSE),""))</x:f>
      </x:c>
      <x:c r="H63" s="43"/>
      <x:c r="I63" s="38" t="str">
        <x:f>IF(C63="","",IFERROR(VLOOKUP(C63,'SẢN_PHẨM'!$A$2:$G$500,6,FALSE),""))</x:f>
      </x:c>
      <x:c r="J63" s="35" t="str">
        <x:f>IF(OR(F63="",G63=""),"",F63*G63)</x:f>
      </x:c>
      <x:c r="K63" s="35" t="str">
        <x:f>IF(J63="","",J63*H63)</x:f>
      </x:c>
      <x:c r="L63" s="35" t="str">
        <x:f>IF(J63="","",J63-K63)</x:f>
      </x:c>
      <x:c r="M63" s="35" t="str">
        <x:f>IF(L63="","",L63*I63)</x:f>
      </x:c>
      <x:c r="N63" s="35" t="str">
        <x:f>IF(L63="","",L63+M63)</x:f>
      </x:c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36" t="str">
        <x:f>IF(C64="","",IFERROR(VLOOKUP(C64,'SẢN_PHẨM'!$A$2:$G$500,2,FALSE),""))</x:f>
      </x:c>
      <x:c r="E64" s="36" t="str">
        <x:f>IF(C64="","",IFERROR(VLOOKUP(C64,'SẢN_PHẨM'!$A$2:$G$500,3,FALSE),""))</x:f>
      </x:c>
      <x:c r="F64" s="39"/>
      <x:c r="G64" s="34" t="str">
        <x:f>IF(C64="","",IFERROR(VLOOKUP(C64,'SẢN_PHẨM'!$A$2:$G$500,4,FALSE),""))</x:f>
      </x:c>
      <x:c r="H64" s="43"/>
      <x:c r="I64" s="38" t="str">
        <x:f>IF(C64="","",IFERROR(VLOOKUP(C64,'SẢN_PHẨM'!$A$2:$G$500,6,FALSE),""))</x:f>
      </x:c>
      <x:c r="J64" s="35" t="str">
        <x:f>IF(OR(F64="",G64=""),"",F64*G64)</x:f>
      </x:c>
      <x:c r="K64" s="35" t="str">
        <x:f>IF(J64="","",J64*H64)</x:f>
      </x:c>
      <x:c r="L64" s="35" t="str">
        <x:f>IF(J64="","",J64-K64)</x:f>
      </x:c>
      <x:c r="M64" s="35" t="str">
        <x:f>IF(L64="","",L64*I64)</x:f>
      </x:c>
      <x:c r="N64" s="35" t="str">
        <x:f>IF(L64="","",L64+M64)</x:f>
      </x:c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36" t="str">
        <x:f>IF(C65="","",IFERROR(VLOOKUP(C65,'SẢN_PHẨM'!$A$2:$G$500,2,FALSE),""))</x:f>
      </x:c>
      <x:c r="E65" s="36" t="str">
        <x:f>IF(C65="","",IFERROR(VLOOKUP(C65,'SẢN_PHẨM'!$A$2:$G$500,3,FALSE),""))</x:f>
      </x:c>
      <x:c r="F65" s="39"/>
      <x:c r="G65" s="34" t="str">
        <x:f>IF(C65="","",IFERROR(VLOOKUP(C65,'SẢN_PHẨM'!$A$2:$G$500,4,FALSE),""))</x:f>
      </x:c>
      <x:c r="H65" s="43"/>
      <x:c r="I65" s="38" t="str">
        <x:f>IF(C65="","",IFERROR(VLOOKUP(C65,'SẢN_PHẨM'!$A$2:$G$500,6,FALSE),""))</x:f>
      </x:c>
      <x:c r="J65" s="35" t="str">
        <x:f>IF(OR(F65="",G65=""),"",F65*G65)</x:f>
      </x:c>
      <x:c r="K65" s="35" t="str">
        <x:f>IF(J65="","",J65*H65)</x:f>
      </x:c>
      <x:c r="L65" s="35" t="str">
        <x:f>IF(J65="","",J65-K65)</x:f>
      </x:c>
      <x:c r="M65" s="35" t="str">
        <x:f>IF(L65="","",L65*I65)</x:f>
      </x:c>
      <x:c r="N65" s="35" t="str">
        <x:f>IF(L65="","",L65+M65)</x:f>
      </x:c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36" t="str">
        <x:f>IF(C66="","",IFERROR(VLOOKUP(C66,'SẢN_PHẨM'!$A$2:$G$500,2,FALSE),""))</x:f>
      </x:c>
      <x:c r="E66" s="36" t="str">
        <x:f>IF(C66="","",IFERROR(VLOOKUP(C66,'SẢN_PHẨM'!$A$2:$G$500,3,FALSE),""))</x:f>
      </x:c>
      <x:c r="F66" s="39"/>
      <x:c r="G66" s="34" t="str">
        <x:f>IF(C66="","",IFERROR(VLOOKUP(C66,'SẢN_PHẨM'!$A$2:$G$500,4,FALSE),""))</x:f>
      </x:c>
      <x:c r="H66" s="43"/>
      <x:c r="I66" s="38" t="str">
        <x:f>IF(C66="","",IFERROR(VLOOKUP(C66,'SẢN_PHẨM'!$A$2:$G$500,6,FALSE),""))</x:f>
      </x:c>
      <x:c r="J66" s="35" t="str">
        <x:f>IF(OR(F66="",G66=""),"",F66*G66)</x:f>
      </x:c>
      <x:c r="K66" s="35" t="str">
        <x:f>IF(J66="","",J66*H66)</x:f>
      </x:c>
      <x:c r="L66" s="35" t="str">
        <x:f>IF(J66="","",J66-K66)</x:f>
      </x:c>
      <x:c r="M66" s="35" t="str">
        <x:f>IF(L66="","",L66*I66)</x:f>
      </x:c>
      <x:c r="N66" s="35" t="str">
        <x:f>IF(L66="","",L66+M66)</x:f>
      </x:c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36" t="str">
        <x:f>IF(C67="","",IFERROR(VLOOKUP(C67,'SẢN_PHẨM'!$A$2:$G$500,2,FALSE),""))</x:f>
      </x:c>
      <x:c r="E67" s="36" t="str">
        <x:f>IF(C67="","",IFERROR(VLOOKUP(C67,'SẢN_PHẨM'!$A$2:$G$500,3,FALSE),""))</x:f>
      </x:c>
      <x:c r="F67" s="39"/>
      <x:c r="G67" s="34" t="str">
        <x:f>IF(C67="","",IFERROR(VLOOKUP(C67,'SẢN_PHẨM'!$A$2:$G$500,4,FALSE),""))</x:f>
      </x:c>
      <x:c r="H67" s="43"/>
      <x:c r="I67" s="38" t="str">
        <x:f>IF(C67="","",IFERROR(VLOOKUP(C67,'SẢN_PHẨM'!$A$2:$G$500,6,FALSE),""))</x:f>
      </x:c>
      <x:c r="J67" s="35" t="str">
        <x:f>IF(OR(F67="",G67=""),"",F67*G67)</x:f>
      </x:c>
      <x:c r="K67" s="35" t="str">
        <x:f>IF(J67="","",J67*H67)</x:f>
      </x:c>
      <x:c r="L67" s="35" t="str">
        <x:f>IF(J67="","",J67-K67)</x:f>
      </x:c>
      <x:c r="M67" s="35" t="str">
        <x:f>IF(L67="","",L67*I67)</x:f>
      </x:c>
      <x:c r="N67" s="35" t="str">
        <x:f>IF(L67="","",L67+M67)</x:f>
      </x:c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36" t="str">
        <x:f>IF(C68="","",IFERROR(VLOOKUP(C68,'SẢN_PHẨM'!$A$2:$G$500,2,FALSE),""))</x:f>
      </x:c>
      <x:c r="E68" s="36" t="str">
        <x:f>IF(C68="","",IFERROR(VLOOKUP(C68,'SẢN_PHẨM'!$A$2:$G$500,3,FALSE),""))</x:f>
      </x:c>
      <x:c r="F68" s="39"/>
      <x:c r="G68" s="34" t="str">
        <x:f>IF(C68="","",IFERROR(VLOOKUP(C68,'SẢN_PHẨM'!$A$2:$G$500,4,FALSE),""))</x:f>
      </x:c>
      <x:c r="H68" s="43"/>
      <x:c r="I68" s="38" t="str">
        <x:f>IF(C68="","",IFERROR(VLOOKUP(C68,'SẢN_PHẨM'!$A$2:$G$500,6,FALSE),""))</x:f>
      </x:c>
      <x:c r="J68" s="35" t="str">
        <x:f>IF(OR(F68="",G68=""),"",F68*G68)</x:f>
      </x:c>
      <x:c r="K68" s="35" t="str">
        <x:f>IF(J68="","",J68*H68)</x:f>
      </x:c>
      <x:c r="L68" s="35" t="str">
        <x:f>IF(J68="","",J68-K68)</x:f>
      </x:c>
      <x:c r="M68" s="35" t="str">
        <x:f>IF(L68="","",L68*I68)</x:f>
      </x:c>
      <x:c r="N68" s="35" t="str">
        <x:f>IF(L68="","",L68+M68)</x:f>
      </x:c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36" t="str">
        <x:f>IF(C69="","",IFERROR(VLOOKUP(C69,'SẢN_PHẨM'!$A$2:$G$500,2,FALSE),""))</x:f>
      </x:c>
      <x:c r="E69" s="36" t="str">
        <x:f>IF(C69="","",IFERROR(VLOOKUP(C69,'SẢN_PHẨM'!$A$2:$G$500,3,FALSE),""))</x:f>
      </x:c>
      <x:c r="F69" s="39"/>
      <x:c r="G69" s="34" t="str">
        <x:f>IF(C69="","",IFERROR(VLOOKUP(C69,'SẢN_PHẨM'!$A$2:$G$500,4,FALSE),""))</x:f>
      </x:c>
      <x:c r="H69" s="43"/>
      <x:c r="I69" s="38" t="str">
        <x:f>IF(C69="","",IFERROR(VLOOKUP(C69,'SẢN_PHẨM'!$A$2:$G$500,6,FALSE),""))</x:f>
      </x:c>
      <x:c r="J69" s="35" t="str">
        <x:f>IF(OR(F69="",G69=""),"",F69*G69)</x:f>
      </x:c>
      <x:c r="K69" s="35" t="str">
        <x:f>IF(J69="","",J69*H69)</x:f>
      </x:c>
      <x:c r="L69" s="35" t="str">
        <x:f>IF(J69="","",J69-K69)</x:f>
      </x:c>
      <x:c r="M69" s="35" t="str">
        <x:f>IF(L69="","",L69*I69)</x:f>
      </x:c>
      <x:c r="N69" s="35" t="str">
        <x:f>IF(L69="","",L69+M69)</x:f>
      </x:c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36" t="str">
        <x:f>IF(C70="","",IFERROR(VLOOKUP(C70,'SẢN_PHẨM'!$A$2:$G$500,2,FALSE),""))</x:f>
      </x:c>
      <x:c r="E70" s="36" t="str">
        <x:f>IF(C70="","",IFERROR(VLOOKUP(C70,'SẢN_PHẨM'!$A$2:$G$500,3,FALSE),""))</x:f>
      </x:c>
      <x:c r="F70" s="39"/>
      <x:c r="G70" s="34" t="str">
        <x:f>IF(C70="","",IFERROR(VLOOKUP(C70,'SẢN_PHẨM'!$A$2:$G$500,4,FALSE),""))</x:f>
      </x:c>
      <x:c r="H70" s="43"/>
      <x:c r="I70" s="38" t="str">
        <x:f>IF(C70="","",IFERROR(VLOOKUP(C70,'SẢN_PHẨM'!$A$2:$G$500,6,FALSE),""))</x:f>
      </x:c>
      <x:c r="J70" s="35" t="str">
        <x:f>IF(OR(F70="",G70=""),"",F70*G70)</x:f>
      </x:c>
      <x:c r="K70" s="35" t="str">
        <x:f>IF(J70="","",J70*H70)</x:f>
      </x:c>
      <x:c r="L70" s="35" t="str">
        <x:f>IF(J70="","",J70-K70)</x:f>
      </x:c>
      <x:c r="M70" s="35" t="str">
        <x:f>IF(L70="","",L70*I70)</x:f>
      </x:c>
      <x:c r="N70" s="35" t="str">
        <x:f>IF(L70="","",L70+M70)</x:f>
      </x:c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36" t="str">
        <x:f>IF(C71="","",IFERROR(VLOOKUP(C71,'SẢN_PHẨM'!$A$2:$G$500,2,FALSE),""))</x:f>
      </x:c>
      <x:c r="E71" s="36" t="str">
        <x:f>IF(C71="","",IFERROR(VLOOKUP(C71,'SẢN_PHẨM'!$A$2:$G$500,3,FALSE),""))</x:f>
      </x:c>
      <x:c r="F71" s="39"/>
      <x:c r="G71" s="34" t="str">
        <x:f>IF(C71="","",IFERROR(VLOOKUP(C71,'SẢN_PHẨM'!$A$2:$G$500,4,FALSE),""))</x:f>
      </x:c>
      <x:c r="H71" s="43"/>
      <x:c r="I71" s="38" t="str">
        <x:f>IF(C71="","",IFERROR(VLOOKUP(C71,'SẢN_PHẨM'!$A$2:$G$500,6,FALSE),""))</x:f>
      </x:c>
      <x:c r="J71" s="35" t="str">
        <x:f>IF(OR(F71="",G71=""),"",F71*G71)</x:f>
      </x:c>
      <x:c r="K71" s="35" t="str">
        <x:f>IF(J71="","",J71*H71)</x:f>
      </x:c>
      <x:c r="L71" s="35" t="str">
        <x:f>IF(J71="","",J71-K71)</x:f>
      </x:c>
      <x:c r="M71" s="35" t="str">
        <x:f>IF(L71="","",L71*I71)</x:f>
      </x:c>
      <x:c r="N71" s="35" t="str">
        <x:f>IF(L71="","",L71+M71)</x:f>
      </x:c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36" t="str">
        <x:f>IF(C72="","",IFERROR(VLOOKUP(C72,'SẢN_PHẨM'!$A$2:$G$500,2,FALSE),""))</x:f>
      </x:c>
      <x:c r="E72" s="36" t="str">
        <x:f>IF(C72="","",IFERROR(VLOOKUP(C72,'SẢN_PHẨM'!$A$2:$G$500,3,FALSE),""))</x:f>
      </x:c>
      <x:c r="F72" s="39"/>
      <x:c r="G72" s="34" t="str">
        <x:f>IF(C72="","",IFERROR(VLOOKUP(C72,'SẢN_PHẨM'!$A$2:$G$500,4,FALSE),""))</x:f>
      </x:c>
      <x:c r="H72" s="43"/>
      <x:c r="I72" s="38" t="str">
        <x:f>IF(C72="","",IFERROR(VLOOKUP(C72,'SẢN_PHẨM'!$A$2:$G$500,6,FALSE),""))</x:f>
      </x:c>
      <x:c r="J72" s="35" t="str">
        <x:f>IF(OR(F72="",G72=""),"",F72*G72)</x:f>
      </x:c>
      <x:c r="K72" s="35" t="str">
        <x:f>IF(J72="","",J72*H72)</x:f>
      </x:c>
      <x:c r="L72" s="35" t="str">
        <x:f>IF(J72="","",J72-K72)</x:f>
      </x:c>
      <x:c r="M72" s="35" t="str">
        <x:f>IF(L72="","",L72*I72)</x:f>
      </x:c>
      <x:c r="N72" s="35" t="str">
        <x:f>IF(L72="","",L72+M72)</x:f>
      </x:c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36" t="str">
        <x:f>IF(C73="","",IFERROR(VLOOKUP(C73,'SẢN_PHẨM'!$A$2:$G$500,2,FALSE),""))</x:f>
      </x:c>
      <x:c r="E73" s="36" t="str">
        <x:f>IF(C73="","",IFERROR(VLOOKUP(C73,'SẢN_PHẨM'!$A$2:$G$500,3,FALSE),""))</x:f>
      </x:c>
      <x:c r="F73" s="39"/>
      <x:c r="G73" s="34" t="str">
        <x:f>IF(C73="","",IFERROR(VLOOKUP(C73,'SẢN_PHẨM'!$A$2:$G$500,4,FALSE),""))</x:f>
      </x:c>
      <x:c r="H73" s="43"/>
      <x:c r="I73" s="38" t="str">
        <x:f>IF(C73="","",IFERROR(VLOOKUP(C73,'SẢN_PHẨM'!$A$2:$G$500,6,FALSE),""))</x:f>
      </x:c>
      <x:c r="J73" s="35" t="str">
        <x:f>IF(OR(F73="",G73=""),"",F73*G73)</x:f>
      </x:c>
      <x:c r="K73" s="35" t="str">
        <x:f>IF(J73="","",J73*H73)</x:f>
      </x:c>
      <x:c r="L73" s="35" t="str">
        <x:f>IF(J73="","",J73-K73)</x:f>
      </x:c>
      <x:c r="M73" s="35" t="str">
        <x:f>IF(L73="","",L73*I73)</x:f>
      </x:c>
      <x:c r="N73" s="35" t="str">
        <x:f>IF(L73="","",L73+M73)</x:f>
      </x:c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36" t="str">
        <x:f>IF(C74="","",IFERROR(VLOOKUP(C74,'SẢN_PHẨM'!$A$2:$G$500,2,FALSE),""))</x:f>
      </x:c>
      <x:c r="E74" s="36" t="str">
        <x:f>IF(C74="","",IFERROR(VLOOKUP(C74,'SẢN_PHẨM'!$A$2:$G$500,3,FALSE),""))</x:f>
      </x:c>
      <x:c r="F74" s="39"/>
      <x:c r="G74" s="34" t="str">
        <x:f>IF(C74="","",IFERROR(VLOOKUP(C74,'SẢN_PHẨM'!$A$2:$G$500,4,FALSE),""))</x:f>
      </x:c>
      <x:c r="H74" s="43"/>
      <x:c r="I74" s="38" t="str">
        <x:f>IF(C74="","",IFERROR(VLOOKUP(C74,'SẢN_PHẨM'!$A$2:$G$500,6,FALSE),""))</x:f>
      </x:c>
      <x:c r="J74" s="35" t="str">
        <x:f>IF(OR(F74="",G74=""),"",F74*G74)</x:f>
      </x:c>
      <x:c r="K74" s="35" t="str">
        <x:f>IF(J74="","",J74*H74)</x:f>
      </x:c>
      <x:c r="L74" s="35" t="str">
        <x:f>IF(J74="","",J74-K74)</x:f>
      </x:c>
      <x:c r="M74" s="35" t="str">
        <x:f>IF(L74="","",L74*I74)</x:f>
      </x:c>
      <x:c r="N74" s="35" t="str">
        <x:f>IF(L74="","",L74+M74)</x:f>
      </x:c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36" t="str">
        <x:f>IF(C75="","",IFERROR(VLOOKUP(C75,'SẢN_PHẨM'!$A$2:$G$500,2,FALSE),""))</x:f>
      </x:c>
      <x:c r="E75" s="36" t="str">
        <x:f>IF(C75="","",IFERROR(VLOOKUP(C75,'SẢN_PHẨM'!$A$2:$G$500,3,FALSE),""))</x:f>
      </x:c>
      <x:c r="F75" s="39"/>
      <x:c r="G75" s="34" t="str">
        <x:f>IF(C75="","",IFERROR(VLOOKUP(C75,'SẢN_PHẨM'!$A$2:$G$500,4,FALSE),""))</x:f>
      </x:c>
      <x:c r="H75" s="43"/>
      <x:c r="I75" s="38" t="str">
        <x:f>IF(C75="","",IFERROR(VLOOKUP(C75,'SẢN_PHẨM'!$A$2:$G$500,6,FALSE),""))</x:f>
      </x:c>
      <x:c r="J75" s="35" t="str">
        <x:f>IF(OR(F75="",G75=""),"",F75*G75)</x:f>
      </x:c>
      <x:c r="K75" s="35" t="str">
        <x:f>IF(J75="","",J75*H75)</x:f>
      </x:c>
      <x:c r="L75" s="35" t="str">
        <x:f>IF(J75="","",J75-K75)</x:f>
      </x:c>
      <x:c r="M75" s="35" t="str">
        <x:f>IF(L75="","",L75*I75)</x:f>
      </x:c>
      <x:c r="N75" s="35" t="str">
        <x:f>IF(L75="","",L75+M75)</x:f>
      </x:c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36" t="str">
        <x:f>IF(C76="","",IFERROR(VLOOKUP(C76,'SẢN_PHẨM'!$A$2:$G$500,2,FALSE),""))</x:f>
      </x:c>
      <x:c r="E76" s="36" t="str">
        <x:f>IF(C76="","",IFERROR(VLOOKUP(C76,'SẢN_PHẨM'!$A$2:$G$500,3,FALSE),""))</x:f>
      </x:c>
      <x:c r="F76" s="39"/>
      <x:c r="G76" s="34" t="str">
        <x:f>IF(C76="","",IFERROR(VLOOKUP(C76,'SẢN_PHẨM'!$A$2:$G$500,4,FALSE),""))</x:f>
      </x:c>
      <x:c r="H76" s="43"/>
      <x:c r="I76" s="38" t="str">
        <x:f>IF(C76="","",IFERROR(VLOOKUP(C76,'SẢN_PHẨM'!$A$2:$G$500,6,FALSE),""))</x:f>
      </x:c>
      <x:c r="J76" s="35" t="str">
        <x:f>IF(OR(F76="",G76=""),"",F76*G76)</x:f>
      </x:c>
      <x:c r="K76" s="35" t="str">
        <x:f>IF(J76="","",J76*H76)</x:f>
      </x:c>
      <x:c r="L76" s="35" t="str">
        <x:f>IF(J76="","",J76-K76)</x:f>
      </x:c>
      <x:c r="M76" s="35" t="str">
        <x:f>IF(L76="","",L76*I76)</x:f>
      </x:c>
      <x:c r="N76" s="35" t="str">
        <x:f>IF(L76="","",L76+M76)</x:f>
      </x:c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36" t="str">
        <x:f>IF(C77="","",IFERROR(VLOOKUP(C77,'SẢN_PHẨM'!$A$2:$G$500,2,FALSE),""))</x:f>
      </x:c>
      <x:c r="E77" s="36" t="str">
        <x:f>IF(C77="","",IFERROR(VLOOKUP(C77,'SẢN_PHẨM'!$A$2:$G$500,3,FALSE),""))</x:f>
      </x:c>
      <x:c r="F77" s="39"/>
      <x:c r="G77" s="34" t="str">
        <x:f>IF(C77="","",IFERROR(VLOOKUP(C77,'SẢN_PHẨM'!$A$2:$G$500,4,FALSE),""))</x:f>
      </x:c>
      <x:c r="H77" s="43"/>
      <x:c r="I77" s="38" t="str">
        <x:f>IF(C77="","",IFERROR(VLOOKUP(C77,'SẢN_PHẨM'!$A$2:$G$500,6,FALSE),""))</x:f>
      </x:c>
      <x:c r="J77" s="35" t="str">
        <x:f>IF(OR(F77="",G77=""),"",F77*G77)</x:f>
      </x:c>
      <x:c r="K77" s="35" t="str">
        <x:f>IF(J77="","",J77*H77)</x:f>
      </x:c>
      <x:c r="L77" s="35" t="str">
        <x:f>IF(J77="","",J77-K77)</x:f>
      </x:c>
      <x:c r="M77" s="35" t="str">
        <x:f>IF(L77="","",L77*I77)</x:f>
      </x:c>
      <x:c r="N77" s="35" t="str">
        <x:f>IF(L77="","",L77+M77)</x:f>
      </x:c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36" t="str">
        <x:f>IF(C78="","",IFERROR(VLOOKUP(C78,'SẢN_PHẨM'!$A$2:$G$500,2,FALSE),""))</x:f>
      </x:c>
      <x:c r="E78" s="36" t="str">
        <x:f>IF(C78="","",IFERROR(VLOOKUP(C78,'SẢN_PHẨM'!$A$2:$G$500,3,FALSE),""))</x:f>
      </x:c>
      <x:c r="F78" s="39"/>
      <x:c r="G78" s="34" t="str">
        <x:f>IF(C78="","",IFERROR(VLOOKUP(C78,'SẢN_PHẨM'!$A$2:$G$500,4,FALSE),""))</x:f>
      </x:c>
      <x:c r="H78" s="43"/>
      <x:c r="I78" s="38" t="str">
        <x:f>IF(C78="","",IFERROR(VLOOKUP(C78,'SẢN_PHẨM'!$A$2:$G$500,6,FALSE),""))</x:f>
      </x:c>
      <x:c r="J78" s="35" t="str">
        <x:f>IF(OR(F78="",G78=""),"",F78*G78)</x:f>
      </x:c>
      <x:c r="K78" s="35" t="str">
        <x:f>IF(J78="","",J78*H78)</x:f>
      </x:c>
      <x:c r="L78" s="35" t="str">
        <x:f>IF(J78="","",J78-K78)</x:f>
      </x:c>
      <x:c r="M78" s="35" t="str">
        <x:f>IF(L78="","",L78*I78)</x:f>
      </x:c>
      <x:c r="N78" s="35" t="str">
        <x:f>IF(L78="","",L78+M78)</x:f>
      </x:c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36" t="str">
        <x:f>IF(C79="","",IFERROR(VLOOKUP(C79,'SẢN_PHẨM'!$A$2:$G$500,2,FALSE),""))</x:f>
      </x:c>
      <x:c r="E79" s="36" t="str">
        <x:f>IF(C79="","",IFERROR(VLOOKUP(C79,'SẢN_PHẨM'!$A$2:$G$500,3,FALSE),""))</x:f>
      </x:c>
      <x:c r="F79" s="39"/>
      <x:c r="G79" s="34" t="str">
        <x:f>IF(C79="","",IFERROR(VLOOKUP(C79,'SẢN_PHẨM'!$A$2:$G$500,4,FALSE),""))</x:f>
      </x:c>
      <x:c r="H79" s="43"/>
      <x:c r="I79" s="38" t="str">
        <x:f>IF(C79="","",IFERROR(VLOOKUP(C79,'SẢN_PHẨM'!$A$2:$G$500,6,FALSE),""))</x:f>
      </x:c>
      <x:c r="J79" s="35" t="str">
        <x:f>IF(OR(F79="",G79=""),"",F79*G79)</x:f>
      </x:c>
      <x:c r="K79" s="35" t="str">
        <x:f>IF(J79="","",J79*H79)</x:f>
      </x:c>
      <x:c r="L79" s="35" t="str">
        <x:f>IF(J79="","",J79-K79)</x:f>
      </x:c>
      <x:c r="M79" s="35" t="str">
        <x:f>IF(L79="","",L79*I79)</x:f>
      </x:c>
      <x:c r="N79" s="35" t="str">
        <x:f>IF(L79="","",L79+M79)</x:f>
      </x:c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36" t="str">
        <x:f>IF(C80="","",IFERROR(VLOOKUP(C80,'SẢN_PHẨM'!$A$2:$G$500,2,FALSE),""))</x:f>
      </x:c>
      <x:c r="E80" s="36" t="str">
        <x:f>IF(C80="","",IFERROR(VLOOKUP(C80,'SẢN_PHẨM'!$A$2:$G$500,3,FALSE),""))</x:f>
      </x:c>
      <x:c r="F80" s="39"/>
      <x:c r="G80" s="34" t="str">
        <x:f>IF(C80="","",IFERROR(VLOOKUP(C80,'SẢN_PHẨM'!$A$2:$G$500,4,FALSE),""))</x:f>
      </x:c>
      <x:c r="H80" s="43"/>
      <x:c r="I80" s="38" t="str">
        <x:f>IF(C80="","",IFERROR(VLOOKUP(C80,'SẢN_PHẨM'!$A$2:$G$500,6,FALSE),""))</x:f>
      </x:c>
      <x:c r="J80" s="35" t="str">
        <x:f>IF(OR(F80="",G80=""),"",F80*G80)</x:f>
      </x:c>
      <x:c r="K80" s="35" t="str">
        <x:f>IF(J80="","",J80*H80)</x:f>
      </x:c>
      <x:c r="L80" s="35" t="str">
        <x:f>IF(J80="","",J80-K80)</x:f>
      </x:c>
      <x:c r="M80" s="35" t="str">
        <x:f>IF(L80="","",L80*I80)</x:f>
      </x:c>
      <x:c r="N80" s="35" t="str">
        <x:f>IF(L80="","",L80+M80)</x:f>
      </x:c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36" t="str">
        <x:f>IF(C81="","",IFERROR(VLOOKUP(C81,'SẢN_PHẨM'!$A$2:$G$500,2,FALSE),""))</x:f>
      </x:c>
      <x:c r="E81" s="36" t="str">
        <x:f>IF(C81="","",IFERROR(VLOOKUP(C81,'SẢN_PHẨM'!$A$2:$G$500,3,FALSE),""))</x:f>
      </x:c>
      <x:c r="F81" s="39"/>
      <x:c r="G81" s="34" t="str">
        <x:f>IF(C81="","",IFERROR(VLOOKUP(C81,'SẢN_PHẨM'!$A$2:$G$500,4,FALSE),""))</x:f>
      </x:c>
      <x:c r="H81" s="43"/>
      <x:c r="I81" s="38" t="str">
        <x:f>IF(C81="","",IFERROR(VLOOKUP(C81,'SẢN_PHẨM'!$A$2:$G$500,6,FALSE),""))</x:f>
      </x:c>
      <x:c r="J81" s="35" t="str">
        <x:f>IF(OR(F81="",G81=""),"",F81*G81)</x:f>
      </x:c>
      <x:c r="K81" s="35" t="str">
        <x:f>IF(J81="","",J81*H81)</x:f>
      </x:c>
      <x:c r="L81" s="35" t="str">
        <x:f>IF(J81="","",J81-K81)</x:f>
      </x:c>
      <x:c r="M81" s="35" t="str">
        <x:f>IF(L81="","",L81*I81)</x:f>
      </x:c>
      <x:c r="N81" s="35" t="str">
        <x:f>IF(L81="","",L81+M81)</x:f>
      </x:c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36" t="str">
        <x:f>IF(C82="","",IFERROR(VLOOKUP(C82,'SẢN_PHẨM'!$A$2:$G$500,2,FALSE),""))</x:f>
      </x:c>
      <x:c r="E82" s="36" t="str">
        <x:f>IF(C82="","",IFERROR(VLOOKUP(C82,'SẢN_PHẨM'!$A$2:$G$500,3,FALSE),""))</x:f>
      </x:c>
      <x:c r="F82" s="39"/>
      <x:c r="G82" s="34" t="str">
        <x:f>IF(C82="","",IFERROR(VLOOKUP(C82,'SẢN_PHẨM'!$A$2:$G$500,4,FALSE),""))</x:f>
      </x:c>
      <x:c r="H82" s="43"/>
      <x:c r="I82" s="38" t="str">
        <x:f>IF(C82="","",IFERROR(VLOOKUP(C82,'SẢN_PHẨM'!$A$2:$G$500,6,FALSE),""))</x:f>
      </x:c>
      <x:c r="J82" s="35" t="str">
        <x:f>IF(OR(F82="",G82=""),"",F82*G82)</x:f>
      </x:c>
      <x:c r="K82" s="35" t="str">
        <x:f>IF(J82="","",J82*H82)</x:f>
      </x:c>
      <x:c r="L82" s="35" t="str">
        <x:f>IF(J82="","",J82-K82)</x:f>
      </x:c>
      <x:c r="M82" s="35" t="str">
        <x:f>IF(L82="","",L82*I82)</x:f>
      </x:c>
      <x:c r="N82" s="35" t="str">
        <x:f>IF(L82="","",L82+M82)</x:f>
      </x:c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36" t="str">
        <x:f>IF(C83="","",IFERROR(VLOOKUP(C83,'SẢN_PHẨM'!$A$2:$G$500,2,FALSE),""))</x:f>
      </x:c>
      <x:c r="E83" s="36" t="str">
        <x:f>IF(C83="","",IFERROR(VLOOKUP(C83,'SẢN_PHẨM'!$A$2:$G$500,3,FALSE),""))</x:f>
      </x:c>
      <x:c r="F83" s="39"/>
      <x:c r="G83" s="34" t="str">
        <x:f>IF(C83="","",IFERROR(VLOOKUP(C83,'SẢN_PHẨM'!$A$2:$G$500,4,FALSE),""))</x:f>
      </x:c>
      <x:c r="H83" s="43"/>
      <x:c r="I83" s="38" t="str">
        <x:f>IF(C83="","",IFERROR(VLOOKUP(C83,'SẢN_PHẨM'!$A$2:$G$500,6,FALSE),""))</x:f>
      </x:c>
      <x:c r="J83" s="35" t="str">
        <x:f>IF(OR(F83="",G83=""),"",F83*G83)</x:f>
      </x:c>
      <x:c r="K83" s="35" t="str">
        <x:f>IF(J83="","",J83*H83)</x:f>
      </x:c>
      <x:c r="L83" s="35" t="str">
        <x:f>IF(J83="","",J83-K83)</x:f>
      </x:c>
      <x:c r="M83" s="35" t="str">
        <x:f>IF(L83="","",L83*I83)</x:f>
      </x:c>
      <x:c r="N83" s="35" t="str">
        <x:f>IF(L83="","",L83+M83)</x:f>
      </x:c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36" t="str">
        <x:f>IF(C84="","",IFERROR(VLOOKUP(C84,'SẢN_PHẨM'!$A$2:$G$500,2,FALSE),""))</x:f>
      </x:c>
      <x:c r="E84" s="36" t="str">
        <x:f>IF(C84="","",IFERROR(VLOOKUP(C84,'SẢN_PHẨM'!$A$2:$G$500,3,FALSE),""))</x:f>
      </x:c>
      <x:c r="F84" s="39"/>
      <x:c r="G84" s="34" t="str">
        <x:f>IF(C84="","",IFERROR(VLOOKUP(C84,'SẢN_PHẨM'!$A$2:$G$500,4,FALSE),""))</x:f>
      </x:c>
      <x:c r="H84" s="43"/>
      <x:c r="I84" s="38" t="str">
        <x:f>IF(C84="","",IFERROR(VLOOKUP(C84,'SẢN_PHẨM'!$A$2:$G$500,6,FALSE),""))</x:f>
      </x:c>
      <x:c r="J84" s="35" t="str">
        <x:f>IF(OR(F84="",G84=""),"",F84*G84)</x:f>
      </x:c>
      <x:c r="K84" s="35" t="str">
        <x:f>IF(J84="","",J84*H84)</x:f>
      </x:c>
      <x:c r="L84" s="35" t="str">
        <x:f>IF(J84="","",J84-K84)</x:f>
      </x:c>
      <x:c r="M84" s="35" t="str">
        <x:f>IF(L84="","",L84*I84)</x:f>
      </x:c>
      <x:c r="N84" s="35" t="str">
        <x:f>IF(L84="","",L84+M84)</x:f>
      </x:c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36" t="str">
        <x:f>IF(C85="","",IFERROR(VLOOKUP(C85,'SẢN_PHẨM'!$A$2:$G$500,2,FALSE),""))</x:f>
      </x:c>
      <x:c r="E85" s="36" t="str">
        <x:f>IF(C85="","",IFERROR(VLOOKUP(C85,'SẢN_PHẨM'!$A$2:$G$500,3,FALSE),""))</x:f>
      </x:c>
      <x:c r="F85" s="39"/>
      <x:c r="G85" s="34" t="str">
        <x:f>IF(C85="","",IFERROR(VLOOKUP(C85,'SẢN_PHẨM'!$A$2:$G$500,4,FALSE),""))</x:f>
      </x:c>
      <x:c r="H85" s="43"/>
      <x:c r="I85" s="38" t="str">
        <x:f>IF(C85="","",IFERROR(VLOOKUP(C85,'SẢN_PHẨM'!$A$2:$G$500,6,FALSE),""))</x:f>
      </x:c>
      <x:c r="J85" s="35" t="str">
        <x:f>IF(OR(F85="",G85=""),"",F85*G85)</x:f>
      </x:c>
      <x:c r="K85" s="35" t="str">
        <x:f>IF(J85="","",J85*H85)</x:f>
      </x:c>
      <x:c r="L85" s="35" t="str">
        <x:f>IF(J85="","",J85-K85)</x:f>
      </x:c>
      <x:c r="M85" s="35" t="str">
        <x:f>IF(L85="","",L85*I85)</x:f>
      </x:c>
      <x:c r="N85" s="35" t="str">
        <x:f>IF(L85="","",L85+M85)</x:f>
      </x:c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36" t="str">
        <x:f>IF(C86="","",IFERROR(VLOOKUP(C86,'SẢN_PHẨM'!$A$2:$G$500,2,FALSE),""))</x:f>
      </x:c>
      <x:c r="E86" s="36" t="str">
        <x:f>IF(C86="","",IFERROR(VLOOKUP(C86,'SẢN_PHẨM'!$A$2:$G$500,3,FALSE),""))</x:f>
      </x:c>
      <x:c r="F86" s="39"/>
      <x:c r="G86" s="34" t="str">
        <x:f>IF(C86="","",IFERROR(VLOOKUP(C86,'SẢN_PHẨM'!$A$2:$G$500,4,FALSE),""))</x:f>
      </x:c>
      <x:c r="H86" s="43"/>
      <x:c r="I86" s="38" t="str">
        <x:f>IF(C86="","",IFERROR(VLOOKUP(C86,'SẢN_PHẨM'!$A$2:$G$500,6,FALSE),""))</x:f>
      </x:c>
      <x:c r="J86" s="35" t="str">
        <x:f>IF(OR(F86="",G86=""),"",F86*G86)</x:f>
      </x:c>
      <x:c r="K86" s="35" t="str">
        <x:f>IF(J86="","",J86*H86)</x:f>
      </x:c>
      <x:c r="L86" s="35" t="str">
        <x:f>IF(J86="","",J86-K86)</x:f>
      </x:c>
      <x:c r="M86" s="35" t="str">
        <x:f>IF(L86="","",L86*I86)</x:f>
      </x:c>
      <x:c r="N86" s="35" t="str">
        <x:f>IF(L86="","",L86+M86)</x:f>
      </x:c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36" t="str">
        <x:f>IF(C87="","",IFERROR(VLOOKUP(C87,'SẢN_PHẨM'!$A$2:$G$500,2,FALSE),""))</x:f>
      </x:c>
      <x:c r="E87" s="36" t="str">
        <x:f>IF(C87="","",IFERROR(VLOOKUP(C87,'SẢN_PHẨM'!$A$2:$G$500,3,FALSE),""))</x:f>
      </x:c>
      <x:c r="F87" s="39"/>
      <x:c r="G87" s="34" t="str">
        <x:f>IF(C87="","",IFERROR(VLOOKUP(C87,'SẢN_PHẨM'!$A$2:$G$500,4,FALSE),""))</x:f>
      </x:c>
      <x:c r="H87" s="43"/>
      <x:c r="I87" s="38" t="str">
        <x:f>IF(C87="","",IFERROR(VLOOKUP(C87,'SẢN_PHẨM'!$A$2:$G$500,6,FALSE),""))</x:f>
      </x:c>
      <x:c r="J87" s="35" t="str">
        <x:f>IF(OR(F87="",G87=""),"",F87*G87)</x:f>
      </x:c>
      <x:c r="K87" s="35" t="str">
        <x:f>IF(J87="","",J87*H87)</x:f>
      </x:c>
      <x:c r="L87" s="35" t="str">
        <x:f>IF(J87="","",J87-K87)</x:f>
      </x:c>
      <x:c r="M87" s="35" t="str">
        <x:f>IF(L87="","",L87*I87)</x:f>
      </x:c>
      <x:c r="N87" s="35" t="str">
        <x:f>IF(L87="","",L87+M87)</x:f>
      </x:c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36" t="str">
        <x:f>IF(C88="","",IFERROR(VLOOKUP(C88,'SẢN_PHẨM'!$A$2:$G$500,2,FALSE),""))</x:f>
      </x:c>
      <x:c r="E88" s="36" t="str">
        <x:f>IF(C88="","",IFERROR(VLOOKUP(C88,'SẢN_PHẨM'!$A$2:$G$500,3,FALSE),""))</x:f>
      </x:c>
      <x:c r="F88" s="39"/>
      <x:c r="G88" s="34" t="str">
        <x:f>IF(C88="","",IFERROR(VLOOKUP(C88,'SẢN_PHẨM'!$A$2:$G$500,4,FALSE),""))</x:f>
      </x:c>
      <x:c r="H88" s="43"/>
      <x:c r="I88" s="38" t="str">
        <x:f>IF(C88="","",IFERROR(VLOOKUP(C88,'SẢN_PHẨM'!$A$2:$G$500,6,FALSE),""))</x:f>
      </x:c>
      <x:c r="J88" s="35" t="str">
        <x:f>IF(OR(F88="",G88=""),"",F88*G88)</x:f>
      </x:c>
      <x:c r="K88" s="35" t="str">
        <x:f>IF(J88="","",J88*H88)</x:f>
      </x:c>
      <x:c r="L88" s="35" t="str">
        <x:f>IF(J88="","",J88-K88)</x:f>
      </x:c>
      <x:c r="M88" s="35" t="str">
        <x:f>IF(L88="","",L88*I88)</x:f>
      </x:c>
      <x:c r="N88" s="35" t="str">
        <x:f>IF(L88="","",L88+M88)</x:f>
      </x:c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36" t="str">
        <x:f>IF(C89="","",IFERROR(VLOOKUP(C89,'SẢN_PHẨM'!$A$2:$G$500,2,FALSE),""))</x:f>
      </x:c>
      <x:c r="E89" s="36" t="str">
        <x:f>IF(C89="","",IFERROR(VLOOKUP(C89,'SẢN_PHẨM'!$A$2:$G$500,3,FALSE),""))</x:f>
      </x:c>
      <x:c r="F89" s="39"/>
      <x:c r="G89" s="34" t="str">
        <x:f>IF(C89="","",IFERROR(VLOOKUP(C89,'SẢN_PHẨM'!$A$2:$G$500,4,FALSE),""))</x:f>
      </x:c>
      <x:c r="H89" s="43"/>
      <x:c r="I89" s="38" t="str">
        <x:f>IF(C89="","",IFERROR(VLOOKUP(C89,'SẢN_PHẨM'!$A$2:$G$500,6,FALSE),""))</x:f>
      </x:c>
      <x:c r="J89" s="35" t="str">
        <x:f>IF(OR(F89="",G89=""),"",F89*G89)</x:f>
      </x:c>
      <x:c r="K89" s="35" t="str">
        <x:f>IF(J89="","",J89*H89)</x:f>
      </x:c>
      <x:c r="L89" s="35" t="str">
        <x:f>IF(J89="","",J89-K89)</x:f>
      </x:c>
      <x:c r="M89" s="35" t="str">
        <x:f>IF(L89="","",L89*I89)</x:f>
      </x:c>
      <x:c r="N89" s="35" t="str">
        <x:f>IF(L89="","",L89+M89)</x:f>
      </x:c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36" t="str">
        <x:f>IF(C90="","",IFERROR(VLOOKUP(C90,'SẢN_PHẨM'!$A$2:$G$500,2,FALSE),""))</x:f>
      </x:c>
      <x:c r="E90" s="36" t="str">
        <x:f>IF(C90="","",IFERROR(VLOOKUP(C90,'SẢN_PHẨM'!$A$2:$G$500,3,FALSE),""))</x:f>
      </x:c>
      <x:c r="F90" s="39"/>
      <x:c r="G90" s="34" t="str">
        <x:f>IF(C90="","",IFERROR(VLOOKUP(C90,'SẢN_PHẨM'!$A$2:$G$500,4,FALSE),""))</x:f>
      </x:c>
      <x:c r="H90" s="43"/>
      <x:c r="I90" s="38" t="str">
        <x:f>IF(C90="","",IFERROR(VLOOKUP(C90,'SẢN_PHẨM'!$A$2:$G$500,6,FALSE),""))</x:f>
      </x:c>
      <x:c r="J90" s="35" t="str">
        <x:f>IF(OR(F90="",G90=""),"",F90*G90)</x:f>
      </x:c>
      <x:c r="K90" s="35" t="str">
        <x:f>IF(J90="","",J90*H90)</x:f>
      </x:c>
      <x:c r="L90" s="35" t="str">
        <x:f>IF(J90="","",J90-K90)</x:f>
      </x:c>
      <x:c r="M90" s="35" t="str">
        <x:f>IF(L90="","",L90*I90)</x:f>
      </x:c>
      <x:c r="N90" s="35" t="str">
        <x:f>IF(L90="","",L90+M90)</x:f>
      </x:c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36" t="str">
        <x:f>IF(C91="","",IFERROR(VLOOKUP(C91,'SẢN_PHẨM'!$A$2:$G$500,2,FALSE),""))</x:f>
      </x:c>
      <x:c r="E91" s="36" t="str">
        <x:f>IF(C91="","",IFERROR(VLOOKUP(C91,'SẢN_PHẨM'!$A$2:$G$500,3,FALSE),""))</x:f>
      </x:c>
      <x:c r="F91" s="39"/>
      <x:c r="G91" s="34" t="str">
        <x:f>IF(C91="","",IFERROR(VLOOKUP(C91,'SẢN_PHẨM'!$A$2:$G$500,4,FALSE),""))</x:f>
      </x:c>
      <x:c r="H91" s="43"/>
      <x:c r="I91" s="38" t="str">
        <x:f>IF(C91="","",IFERROR(VLOOKUP(C91,'SẢN_PHẨM'!$A$2:$G$500,6,FALSE),""))</x:f>
      </x:c>
      <x:c r="J91" s="35" t="str">
        <x:f>IF(OR(F91="",G91=""),"",F91*G91)</x:f>
      </x:c>
      <x:c r="K91" s="35" t="str">
        <x:f>IF(J91="","",J91*H91)</x:f>
      </x:c>
      <x:c r="L91" s="35" t="str">
        <x:f>IF(J91="","",J91-K91)</x:f>
      </x:c>
      <x:c r="M91" s="35" t="str">
        <x:f>IF(L91="","",L91*I91)</x:f>
      </x:c>
      <x:c r="N91" s="35" t="str">
        <x:f>IF(L91="","",L91+M91)</x:f>
      </x:c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36" t="str">
        <x:f>IF(C92="","",IFERROR(VLOOKUP(C92,'SẢN_PHẨM'!$A$2:$G$500,2,FALSE),""))</x:f>
      </x:c>
      <x:c r="E92" s="36" t="str">
        <x:f>IF(C92="","",IFERROR(VLOOKUP(C92,'SẢN_PHẨM'!$A$2:$G$500,3,FALSE),""))</x:f>
      </x:c>
      <x:c r="F92" s="39"/>
      <x:c r="G92" s="34" t="str">
        <x:f>IF(C92="","",IFERROR(VLOOKUP(C92,'SẢN_PHẨM'!$A$2:$G$500,4,FALSE),""))</x:f>
      </x:c>
      <x:c r="H92" s="43"/>
      <x:c r="I92" s="38" t="str">
        <x:f>IF(C92="","",IFERROR(VLOOKUP(C92,'SẢN_PHẨM'!$A$2:$G$500,6,FALSE),""))</x:f>
      </x:c>
      <x:c r="J92" s="35" t="str">
        <x:f>IF(OR(F92="",G92=""),"",F92*G92)</x:f>
      </x:c>
      <x:c r="K92" s="35" t="str">
        <x:f>IF(J92="","",J92*H92)</x:f>
      </x:c>
      <x:c r="L92" s="35" t="str">
        <x:f>IF(J92="","",J92-K92)</x:f>
      </x:c>
      <x:c r="M92" s="35" t="str">
        <x:f>IF(L92="","",L92*I92)</x:f>
      </x:c>
      <x:c r="N92" s="35" t="str">
        <x:f>IF(L92="","",L92+M92)</x:f>
      </x:c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36" t="str">
        <x:f>IF(C93="","",IFERROR(VLOOKUP(C93,'SẢN_PHẨM'!$A$2:$G$500,2,FALSE),""))</x:f>
      </x:c>
      <x:c r="E93" s="36" t="str">
        <x:f>IF(C93="","",IFERROR(VLOOKUP(C93,'SẢN_PHẨM'!$A$2:$G$500,3,FALSE),""))</x:f>
      </x:c>
      <x:c r="F93" s="39"/>
      <x:c r="G93" s="34" t="str">
        <x:f>IF(C93="","",IFERROR(VLOOKUP(C93,'SẢN_PHẨM'!$A$2:$G$500,4,FALSE),""))</x:f>
      </x:c>
      <x:c r="H93" s="43"/>
      <x:c r="I93" s="38" t="str">
        <x:f>IF(C93="","",IFERROR(VLOOKUP(C93,'SẢN_PHẨM'!$A$2:$G$500,6,FALSE),""))</x:f>
      </x:c>
      <x:c r="J93" s="35" t="str">
        <x:f>IF(OR(F93="",G93=""),"",F93*G93)</x:f>
      </x:c>
      <x:c r="K93" s="35" t="str">
        <x:f>IF(J93="","",J93*H93)</x:f>
      </x:c>
      <x:c r="L93" s="35" t="str">
        <x:f>IF(J93="","",J93-K93)</x:f>
      </x:c>
      <x:c r="M93" s="35" t="str">
        <x:f>IF(L93="","",L93*I93)</x:f>
      </x:c>
      <x:c r="N93" s="35" t="str">
        <x:f>IF(L93="","",L93+M93)</x:f>
      </x:c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36" t="str">
        <x:f>IF(C94="","",IFERROR(VLOOKUP(C94,'SẢN_PHẨM'!$A$2:$G$500,2,FALSE),""))</x:f>
      </x:c>
      <x:c r="E94" s="36" t="str">
        <x:f>IF(C94="","",IFERROR(VLOOKUP(C94,'SẢN_PHẨM'!$A$2:$G$500,3,FALSE),""))</x:f>
      </x:c>
      <x:c r="F94" s="39"/>
      <x:c r="G94" s="34" t="str">
        <x:f>IF(C94="","",IFERROR(VLOOKUP(C94,'SẢN_PHẨM'!$A$2:$G$500,4,FALSE),""))</x:f>
      </x:c>
      <x:c r="H94" s="43"/>
      <x:c r="I94" s="38" t="str">
        <x:f>IF(C94="","",IFERROR(VLOOKUP(C94,'SẢN_PHẨM'!$A$2:$G$500,6,FALSE),""))</x:f>
      </x:c>
      <x:c r="J94" s="35" t="str">
        <x:f>IF(OR(F94="",G94=""),"",F94*G94)</x:f>
      </x:c>
      <x:c r="K94" s="35" t="str">
        <x:f>IF(J94="","",J94*H94)</x:f>
      </x:c>
      <x:c r="L94" s="35" t="str">
        <x:f>IF(J94="","",J94-K94)</x:f>
      </x:c>
      <x:c r="M94" s="35" t="str">
        <x:f>IF(L94="","",L94*I94)</x:f>
      </x:c>
      <x:c r="N94" s="35" t="str">
        <x:f>IF(L94="","",L94+M94)</x:f>
      </x:c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36" t="str">
        <x:f>IF(C95="","",IFERROR(VLOOKUP(C95,'SẢN_PHẨM'!$A$2:$G$500,2,FALSE),""))</x:f>
      </x:c>
      <x:c r="E95" s="36" t="str">
        <x:f>IF(C95="","",IFERROR(VLOOKUP(C95,'SẢN_PHẨM'!$A$2:$G$500,3,FALSE),""))</x:f>
      </x:c>
      <x:c r="F95" s="39"/>
      <x:c r="G95" s="34" t="str">
        <x:f>IF(C95="","",IFERROR(VLOOKUP(C95,'SẢN_PHẨM'!$A$2:$G$500,4,FALSE),""))</x:f>
      </x:c>
      <x:c r="H95" s="43"/>
      <x:c r="I95" s="38" t="str">
        <x:f>IF(C95="","",IFERROR(VLOOKUP(C95,'SẢN_PHẨM'!$A$2:$G$500,6,FALSE),""))</x:f>
      </x:c>
      <x:c r="J95" s="35" t="str">
        <x:f>IF(OR(F95="",G95=""),"",F95*G95)</x:f>
      </x:c>
      <x:c r="K95" s="35" t="str">
        <x:f>IF(J95="","",J95*H95)</x:f>
      </x:c>
      <x:c r="L95" s="35" t="str">
        <x:f>IF(J95="","",J95-K95)</x:f>
      </x:c>
      <x:c r="M95" s="35" t="str">
        <x:f>IF(L95="","",L95*I95)</x:f>
      </x:c>
      <x:c r="N95" s="35" t="str">
        <x:f>IF(L95="","",L95+M95)</x:f>
      </x:c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36" t="str">
        <x:f>IF(C96="","",IFERROR(VLOOKUP(C96,'SẢN_PHẨM'!$A$2:$G$500,2,FALSE),""))</x:f>
      </x:c>
      <x:c r="E96" s="36" t="str">
        <x:f>IF(C96="","",IFERROR(VLOOKUP(C96,'SẢN_PHẨM'!$A$2:$G$500,3,FALSE),""))</x:f>
      </x:c>
      <x:c r="F96" s="39"/>
      <x:c r="G96" s="34" t="str">
        <x:f>IF(C96="","",IFERROR(VLOOKUP(C96,'SẢN_PHẨM'!$A$2:$G$500,4,FALSE),""))</x:f>
      </x:c>
      <x:c r="H96" s="43"/>
      <x:c r="I96" s="38" t="str">
        <x:f>IF(C96="","",IFERROR(VLOOKUP(C96,'SẢN_PHẨM'!$A$2:$G$500,6,FALSE),""))</x:f>
      </x:c>
      <x:c r="J96" s="35" t="str">
        <x:f>IF(OR(F96="",G96=""),"",F96*G96)</x:f>
      </x:c>
      <x:c r="K96" s="35" t="str">
        <x:f>IF(J96="","",J96*H96)</x:f>
      </x:c>
      <x:c r="L96" s="35" t="str">
        <x:f>IF(J96="","",J96-K96)</x:f>
      </x:c>
      <x:c r="M96" s="35" t="str">
        <x:f>IF(L96="","",L96*I96)</x:f>
      </x:c>
      <x:c r="N96" s="35" t="str">
        <x:f>IF(L96="","",L96+M96)</x:f>
      </x:c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36" t="str">
        <x:f>IF(C97="","",IFERROR(VLOOKUP(C97,'SẢN_PHẨM'!$A$2:$G$500,2,FALSE),""))</x:f>
      </x:c>
      <x:c r="E97" s="36" t="str">
        <x:f>IF(C97="","",IFERROR(VLOOKUP(C97,'SẢN_PHẨM'!$A$2:$G$500,3,FALSE),""))</x:f>
      </x:c>
      <x:c r="F97" s="39"/>
      <x:c r="G97" s="34" t="str">
        <x:f>IF(C97="","",IFERROR(VLOOKUP(C97,'SẢN_PHẨM'!$A$2:$G$500,4,FALSE),""))</x:f>
      </x:c>
      <x:c r="H97" s="43"/>
      <x:c r="I97" s="38" t="str">
        <x:f>IF(C97="","",IFERROR(VLOOKUP(C97,'SẢN_PHẨM'!$A$2:$G$500,6,FALSE),""))</x:f>
      </x:c>
      <x:c r="J97" s="35" t="str">
        <x:f>IF(OR(F97="",G97=""),"",F97*G97)</x:f>
      </x:c>
      <x:c r="K97" s="35" t="str">
        <x:f>IF(J97="","",J97*H97)</x:f>
      </x:c>
      <x:c r="L97" s="35" t="str">
        <x:f>IF(J97="","",J97-K97)</x:f>
      </x:c>
      <x:c r="M97" s="35" t="str">
        <x:f>IF(L97="","",L97*I97)</x:f>
      </x:c>
      <x:c r="N97" s="35" t="str">
        <x:f>IF(L97="","",L97+M97)</x:f>
      </x:c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36" t="str">
        <x:f>IF(C98="","",IFERROR(VLOOKUP(C98,'SẢN_PHẨM'!$A$2:$G$500,2,FALSE),""))</x:f>
      </x:c>
      <x:c r="E98" s="36" t="str">
        <x:f>IF(C98="","",IFERROR(VLOOKUP(C98,'SẢN_PHẨM'!$A$2:$G$500,3,FALSE),""))</x:f>
      </x:c>
      <x:c r="F98" s="39"/>
      <x:c r="G98" s="34" t="str">
        <x:f>IF(C98="","",IFERROR(VLOOKUP(C98,'SẢN_PHẨM'!$A$2:$G$500,4,FALSE),""))</x:f>
      </x:c>
      <x:c r="H98" s="43"/>
      <x:c r="I98" s="38" t="str">
        <x:f>IF(C98="","",IFERROR(VLOOKUP(C98,'SẢN_PHẨM'!$A$2:$G$500,6,FALSE),""))</x:f>
      </x:c>
      <x:c r="J98" s="35" t="str">
        <x:f>IF(OR(F98="",G98=""),"",F98*G98)</x:f>
      </x:c>
      <x:c r="K98" s="35" t="str">
        <x:f>IF(J98="","",J98*H98)</x:f>
      </x:c>
      <x:c r="L98" s="35" t="str">
        <x:f>IF(J98="","",J98-K98)</x:f>
      </x:c>
      <x:c r="M98" s="35" t="str">
        <x:f>IF(L98="","",L98*I98)</x:f>
      </x:c>
      <x:c r="N98" s="35" t="str">
        <x:f>IF(L98="","",L98+M98)</x:f>
      </x:c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36" t="str">
        <x:f>IF(C99="","",IFERROR(VLOOKUP(C99,'SẢN_PHẨM'!$A$2:$G$500,2,FALSE),""))</x:f>
      </x:c>
      <x:c r="E99" s="36" t="str">
        <x:f>IF(C99="","",IFERROR(VLOOKUP(C99,'SẢN_PHẨM'!$A$2:$G$500,3,FALSE),""))</x:f>
      </x:c>
      <x:c r="F99" s="39"/>
      <x:c r="G99" s="34" t="str">
        <x:f>IF(C99="","",IFERROR(VLOOKUP(C99,'SẢN_PHẨM'!$A$2:$G$500,4,FALSE),""))</x:f>
      </x:c>
      <x:c r="H99" s="43"/>
      <x:c r="I99" s="38" t="str">
        <x:f>IF(C99="","",IFERROR(VLOOKUP(C99,'SẢN_PHẨM'!$A$2:$G$500,6,FALSE),""))</x:f>
      </x:c>
      <x:c r="J99" s="35" t="str">
        <x:f>IF(OR(F99="",G99=""),"",F99*G99)</x:f>
      </x:c>
      <x:c r="K99" s="35" t="str">
        <x:f>IF(J99="","",J99*H99)</x:f>
      </x:c>
      <x:c r="L99" s="35" t="str">
        <x:f>IF(J99="","",J99-K99)</x:f>
      </x:c>
      <x:c r="M99" s="35" t="str">
        <x:f>IF(L99="","",L99*I99)</x:f>
      </x:c>
      <x:c r="N99" s="35" t="str">
        <x:f>IF(L99="","",L99+M99)</x:f>
      </x:c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36" t="str">
        <x:f>IF(C100="","",IFERROR(VLOOKUP(C100,'SẢN_PHẨM'!$A$2:$G$500,2,FALSE),""))</x:f>
      </x:c>
      <x:c r="E100" s="36" t="str">
        <x:f>IF(C100="","",IFERROR(VLOOKUP(C100,'SẢN_PHẨM'!$A$2:$G$500,3,FALSE),""))</x:f>
      </x:c>
      <x:c r="F100" s="39"/>
      <x:c r="G100" s="34" t="str">
        <x:f>IF(C100="","",IFERROR(VLOOKUP(C100,'SẢN_PHẨM'!$A$2:$G$500,4,FALSE),""))</x:f>
      </x:c>
      <x:c r="H100" s="43"/>
      <x:c r="I100" s="38" t="str">
        <x:f>IF(C100="","",IFERROR(VLOOKUP(C100,'SẢN_PHẨM'!$A$2:$G$500,6,FALSE),""))</x:f>
      </x:c>
      <x:c r="J100" s="35" t="str">
        <x:f>IF(OR(F100="",G100=""),"",F100*G100)</x:f>
      </x:c>
      <x:c r="K100" s="35" t="str">
        <x:f>IF(J100="","",J100*H100)</x:f>
      </x:c>
      <x:c r="L100" s="35" t="str">
        <x:f>IF(J100="","",J100-K100)</x:f>
      </x:c>
      <x:c r="M100" s="35" t="str">
        <x:f>IF(L100="","",L100*I100)</x:f>
      </x:c>
      <x:c r="N100" s="35" t="str">
        <x:f>IF(L100="","",L100+M100)</x:f>
      </x:c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36" t="str">
        <x:f>IF(C101="","",IFERROR(VLOOKUP(C101,'SẢN_PHẨM'!$A$2:$G$500,2,FALSE),""))</x:f>
      </x:c>
      <x:c r="E101" s="36" t="str">
        <x:f>IF(C101="","",IFERROR(VLOOKUP(C101,'SẢN_PHẨM'!$A$2:$G$500,3,FALSE),""))</x:f>
      </x:c>
      <x:c r="F101" s="39"/>
      <x:c r="G101" s="34" t="str">
        <x:f>IF(C101="","",IFERROR(VLOOKUP(C101,'SẢN_PHẨM'!$A$2:$G$500,4,FALSE),""))</x:f>
      </x:c>
      <x:c r="H101" s="43"/>
      <x:c r="I101" s="38" t="str">
        <x:f>IF(C101="","",IFERROR(VLOOKUP(C101,'SẢN_PHẨM'!$A$2:$G$500,6,FALSE),""))</x:f>
      </x:c>
      <x:c r="J101" s="35" t="str">
        <x:f>IF(OR(F101="",G101=""),"",F101*G101)</x:f>
      </x:c>
      <x:c r="K101" s="35" t="str">
        <x:f>IF(J101="","",J101*H101)</x:f>
      </x:c>
      <x:c r="L101" s="35" t="str">
        <x:f>IF(J101="","",J101-K101)</x:f>
      </x:c>
      <x:c r="M101" s="35" t="str">
        <x:f>IF(L101="","",L101*I101)</x:f>
      </x:c>
      <x:c r="N101" s="35" t="str">
        <x:f>IF(L101="","",L101+M101)</x:f>
      </x:c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36" t="str">
        <x:f>IF(C102="","",IFERROR(VLOOKUP(C102,'SẢN_PHẨM'!$A$2:$G$500,2,FALSE),""))</x:f>
      </x:c>
      <x:c r="E102" s="36" t="str">
        <x:f>IF(C102="","",IFERROR(VLOOKUP(C102,'SẢN_PHẨM'!$A$2:$G$500,3,FALSE),""))</x:f>
      </x:c>
      <x:c r="F102" s="39"/>
      <x:c r="G102" s="34" t="str">
        <x:f>IF(C102="","",IFERROR(VLOOKUP(C102,'SẢN_PHẨM'!$A$2:$G$500,4,FALSE),""))</x:f>
      </x:c>
      <x:c r="H102" s="43"/>
      <x:c r="I102" s="38" t="str">
        <x:f>IF(C102="","",IFERROR(VLOOKUP(C102,'SẢN_PHẨM'!$A$2:$G$500,6,FALSE),""))</x:f>
      </x:c>
      <x:c r="J102" s="35" t="str">
        <x:f>IF(OR(F102="",G102=""),"",F102*G102)</x:f>
      </x:c>
      <x:c r="K102" s="35" t="str">
        <x:f>IF(J102="","",J102*H102)</x:f>
      </x:c>
      <x:c r="L102" s="35" t="str">
        <x:f>IF(J102="","",J102-K102)</x:f>
      </x:c>
      <x:c r="M102" s="35" t="str">
        <x:f>IF(L102="","",L102*I102)</x:f>
      </x:c>
      <x:c r="N102" s="35" t="str">
        <x:f>IF(L102="","",L102+M102)</x:f>
      </x:c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36" t="str">
        <x:f>IF(C103="","",IFERROR(VLOOKUP(C103,'SẢN_PHẨM'!$A$2:$G$500,2,FALSE),""))</x:f>
      </x:c>
      <x:c r="E103" s="36" t="str">
        <x:f>IF(C103="","",IFERROR(VLOOKUP(C103,'SẢN_PHẨM'!$A$2:$G$500,3,FALSE),""))</x:f>
      </x:c>
      <x:c r="F103" s="39"/>
      <x:c r="G103" s="34" t="str">
        <x:f>IF(C103="","",IFERROR(VLOOKUP(C103,'SẢN_PHẨM'!$A$2:$G$500,4,FALSE),""))</x:f>
      </x:c>
      <x:c r="H103" s="43"/>
      <x:c r="I103" s="38" t="str">
        <x:f>IF(C103="","",IFERROR(VLOOKUP(C103,'SẢN_PHẨM'!$A$2:$G$500,6,FALSE),""))</x:f>
      </x:c>
      <x:c r="J103" s="35" t="str">
        <x:f>IF(OR(F103="",G103=""),"",F103*G103)</x:f>
      </x:c>
      <x:c r="K103" s="35" t="str">
        <x:f>IF(J103="","",J103*H103)</x:f>
      </x:c>
      <x:c r="L103" s="35" t="str">
        <x:f>IF(J103="","",J103-K103)</x:f>
      </x:c>
      <x:c r="M103" s="35" t="str">
        <x:f>IF(L103="","",L103*I103)</x:f>
      </x:c>
      <x:c r="N103" s="35" t="str">
        <x:f>IF(L103="","",L103+M103)</x:f>
      </x:c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36" t="str">
        <x:f>IF(C104="","",IFERROR(VLOOKUP(C104,'SẢN_PHẨM'!$A$2:$G$500,2,FALSE),""))</x:f>
      </x:c>
      <x:c r="E104" s="36" t="str">
        <x:f>IF(C104="","",IFERROR(VLOOKUP(C104,'SẢN_PHẨM'!$A$2:$G$500,3,FALSE),""))</x:f>
      </x:c>
      <x:c r="F104" s="39"/>
      <x:c r="G104" s="34" t="str">
        <x:f>IF(C104="","",IFERROR(VLOOKUP(C104,'SẢN_PHẨM'!$A$2:$G$500,4,FALSE),""))</x:f>
      </x:c>
      <x:c r="H104" s="43"/>
      <x:c r="I104" s="38" t="str">
        <x:f>IF(C104="","",IFERROR(VLOOKUP(C104,'SẢN_PHẨM'!$A$2:$G$500,6,FALSE),""))</x:f>
      </x:c>
      <x:c r="J104" s="35" t="str">
        <x:f>IF(OR(F104="",G104=""),"",F104*G104)</x:f>
      </x:c>
      <x:c r="K104" s="35" t="str">
        <x:f>IF(J104="","",J104*H104)</x:f>
      </x:c>
      <x:c r="L104" s="35" t="str">
        <x:f>IF(J104="","",J104-K104)</x:f>
      </x:c>
      <x:c r="M104" s="35" t="str">
        <x:f>IF(L104="","",L104*I104)</x:f>
      </x:c>
      <x:c r="N104" s="35" t="str">
        <x:f>IF(L104="","",L104+M104)</x:f>
      </x:c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36" t="str">
        <x:f>IF(C105="","",IFERROR(VLOOKUP(C105,'SẢN_PHẨM'!$A$2:$G$500,2,FALSE),""))</x:f>
      </x:c>
      <x:c r="E105" s="36" t="str">
        <x:f>IF(C105="","",IFERROR(VLOOKUP(C105,'SẢN_PHẨM'!$A$2:$G$500,3,FALSE),""))</x:f>
      </x:c>
      <x:c r="F105" s="39"/>
      <x:c r="G105" s="34" t="str">
        <x:f>IF(C105="","",IFERROR(VLOOKUP(C105,'SẢN_PHẨM'!$A$2:$G$500,4,FALSE),""))</x:f>
      </x:c>
      <x:c r="H105" s="43"/>
      <x:c r="I105" s="38" t="str">
        <x:f>IF(C105="","",IFERROR(VLOOKUP(C105,'SẢN_PHẨM'!$A$2:$G$500,6,FALSE),""))</x:f>
      </x:c>
      <x:c r="J105" s="35" t="str">
        <x:f>IF(OR(F105="",G105=""),"",F105*G105)</x:f>
      </x:c>
      <x:c r="K105" s="35" t="str">
        <x:f>IF(J105="","",J105*H105)</x:f>
      </x:c>
      <x:c r="L105" s="35" t="str">
        <x:f>IF(J105="","",J105-K105)</x:f>
      </x:c>
      <x:c r="M105" s="35" t="str">
        <x:f>IF(L105="","",L105*I105)</x:f>
      </x:c>
      <x:c r="N105" s="35" t="str">
        <x:f>IF(L105="","",L105+M105)</x:f>
      </x:c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36" t="str">
        <x:f>IF(C106="","",IFERROR(VLOOKUP(C106,'SẢN_PHẨM'!$A$2:$G$500,2,FALSE),""))</x:f>
      </x:c>
      <x:c r="E106" s="36" t="str">
        <x:f>IF(C106="","",IFERROR(VLOOKUP(C106,'SẢN_PHẨM'!$A$2:$G$500,3,FALSE),""))</x:f>
      </x:c>
      <x:c r="F106" s="39"/>
      <x:c r="G106" s="34" t="str">
        <x:f>IF(C106="","",IFERROR(VLOOKUP(C106,'SẢN_PHẨM'!$A$2:$G$500,4,FALSE),""))</x:f>
      </x:c>
      <x:c r="H106" s="43"/>
      <x:c r="I106" s="38" t="str">
        <x:f>IF(C106="","",IFERROR(VLOOKUP(C106,'SẢN_PHẨM'!$A$2:$G$500,6,FALSE),""))</x:f>
      </x:c>
      <x:c r="J106" s="35" t="str">
        <x:f>IF(OR(F106="",G106=""),"",F106*G106)</x:f>
      </x:c>
      <x:c r="K106" s="35" t="str">
        <x:f>IF(J106="","",J106*H106)</x:f>
      </x:c>
      <x:c r="L106" s="35" t="str">
        <x:f>IF(J106="","",J106-K106)</x:f>
      </x:c>
      <x:c r="M106" s="35" t="str">
        <x:f>IF(L106="","",L106*I106)</x:f>
      </x:c>
      <x:c r="N106" s="35" t="str">
        <x:f>IF(L106="","",L106+M106)</x:f>
      </x:c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36" t="str">
        <x:f>IF(C107="","",IFERROR(VLOOKUP(C107,'SẢN_PHẨM'!$A$2:$G$500,2,FALSE),""))</x:f>
      </x:c>
      <x:c r="E107" s="36" t="str">
        <x:f>IF(C107="","",IFERROR(VLOOKUP(C107,'SẢN_PHẨM'!$A$2:$G$500,3,FALSE),""))</x:f>
      </x:c>
      <x:c r="F107" s="39"/>
      <x:c r="G107" s="34" t="str">
        <x:f>IF(C107="","",IFERROR(VLOOKUP(C107,'SẢN_PHẨM'!$A$2:$G$500,4,FALSE),""))</x:f>
      </x:c>
      <x:c r="H107" s="43"/>
      <x:c r="I107" s="38" t="str">
        <x:f>IF(C107="","",IFERROR(VLOOKUP(C107,'SẢN_PHẨM'!$A$2:$G$500,6,FALSE),""))</x:f>
      </x:c>
      <x:c r="J107" s="35" t="str">
        <x:f>IF(OR(F107="",G107=""),"",F107*G107)</x:f>
      </x:c>
      <x:c r="K107" s="35" t="str">
        <x:f>IF(J107="","",J107*H107)</x:f>
      </x:c>
      <x:c r="L107" s="35" t="str">
        <x:f>IF(J107="","",J107-K107)</x:f>
      </x:c>
      <x:c r="M107" s="35" t="str">
        <x:f>IF(L107="","",L107*I107)</x:f>
      </x:c>
      <x:c r="N107" s="35" t="str">
        <x:f>IF(L107="","",L107+M107)</x:f>
      </x:c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36" t="str">
        <x:f>IF(C108="","",IFERROR(VLOOKUP(C108,'SẢN_PHẨM'!$A$2:$G$500,2,FALSE),""))</x:f>
      </x:c>
      <x:c r="E108" s="36" t="str">
        <x:f>IF(C108="","",IFERROR(VLOOKUP(C108,'SẢN_PHẨM'!$A$2:$G$500,3,FALSE),""))</x:f>
      </x:c>
      <x:c r="F108" s="39"/>
      <x:c r="G108" s="34" t="str">
        <x:f>IF(C108="","",IFERROR(VLOOKUP(C108,'SẢN_PHẨM'!$A$2:$G$500,4,FALSE),""))</x:f>
      </x:c>
      <x:c r="H108" s="43"/>
      <x:c r="I108" s="38" t="str">
        <x:f>IF(C108="","",IFERROR(VLOOKUP(C108,'SẢN_PHẨM'!$A$2:$G$500,6,FALSE),""))</x:f>
      </x:c>
      <x:c r="J108" s="35" t="str">
        <x:f>IF(OR(F108="",G108=""),"",F108*G108)</x:f>
      </x:c>
      <x:c r="K108" s="35" t="str">
        <x:f>IF(J108="","",J108*H108)</x:f>
      </x:c>
      <x:c r="L108" s="35" t="str">
        <x:f>IF(J108="","",J108-K108)</x:f>
      </x:c>
      <x:c r="M108" s="35" t="str">
        <x:f>IF(L108="","",L108*I108)</x:f>
      </x:c>
      <x:c r="N108" s="35" t="str">
        <x:f>IF(L108="","",L108+M108)</x:f>
      </x:c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36" t="str">
        <x:f>IF(C109="","",IFERROR(VLOOKUP(C109,'SẢN_PHẨM'!$A$2:$G$500,2,FALSE),""))</x:f>
      </x:c>
      <x:c r="E109" s="36" t="str">
        <x:f>IF(C109="","",IFERROR(VLOOKUP(C109,'SẢN_PHẨM'!$A$2:$G$500,3,FALSE),""))</x:f>
      </x:c>
      <x:c r="F109" s="39"/>
      <x:c r="G109" s="34" t="str">
        <x:f>IF(C109="","",IFERROR(VLOOKUP(C109,'SẢN_PHẨM'!$A$2:$G$500,4,FALSE),""))</x:f>
      </x:c>
      <x:c r="H109" s="43"/>
      <x:c r="I109" s="38" t="str">
        <x:f>IF(C109="","",IFERROR(VLOOKUP(C109,'SẢN_PHẨM'!$A$2:$G$500,6,FALSE),""))</x:f>
      </x:c>
      <x:c r="J109" s="35" t="str">
        <x:f>IF(OR(F109="",G109=""),"",F109*G109)</x:f>
      </x:c>
      <x:c r="K109" s="35" t="str">
        <x:f>IF(J109="","",J109*H109)</x:f>
      </x:c>
      <x:c r="L109" s="35" t="str">
        <x:f>IF(J109="","",J109-K109)</x:f>
      </x:c>
      <x:c r="M109" s="35" t="str">
        <x:f>IF(L109="","",L109*I109)</x:f>
      </x:c>
      <x:c r="N109" s="35" t="str">
        <x:f>IF(L109="","",L109+M109)</x:f>
      </x:c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36" t="str">
        <x:f>IF(C110="","",IFERROR(VLOOKUP(C110,'SẢN_PHẨM'!$A$2:$G$500,2,FALSE),""))</x:f>
      </x:c>
      <x:c r="E110" s="36" t="str">
        <x:f>IF(C110="","",IFERROR(VLOOKUP(C110,'SẢN_PHẨM'!$A$2:$G$500,3,FALSE),""))</x:f>
      </x:c>
      <x:c r="F110" s="39"/>
      <x:c r="G110" s="34" t="str">
        <x:f>IF(C110="","",IFERROR(VLOOKUP(C110,'SẢN_PHẨM'!$A$2:$G$500,4,FALSE),""))</x:f>
      </x:c>
      <x:c r="H110" s="43"/>
      <x:c r="I110" s="38" t="str">
        <x:f>IF(C110="","",IFERROR(VLOOKUP(C110,'SẢN_PHẨM'!$A$2:$G$500,6,FALSE),""))</x:f>
      </x:c>
      <x:c r="J110" s="35" t="str">
        <x:f>IF(OR(F110="",G110=""),"",F110*G110)</x:f>
      </x:c>
      <x:c r="K110" s="35" t="str">
        <x:f>IF(J110="","",J110*H110)</x:f>
      </x:c>
      <x:c r="L110" s="35" t="str">
        <x:f>IF(J110="","",J110-K110)</x:f>
      </x:c>
      <x:c r="M110" s="35" t="str">
        <x:f>IF(L110="","",L110*I110)</x:f>
      </x:c>
      <x:c r="N110" s="35" t="str">
        <x:f>IF(L110="","",L110+M110)</x:f>
      </x:c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36" t="str">
        <x:f>IF(C111="","",IFERROR(VLOOKUP(C111,'SẢN_PHẨM'!$A$2:$G$500,2,FALSE),""))</x:f>
      </x:c>
      <x:c r="E111" s="36" t="str">
        <x:f>IF(C111="","",IFERROR(VLOOKUP(C111,'SẢN_PHẨM'!$A$2:$G$500,3,FALSE),""))</x:f>
      </x:c>
      <x:c r="F111" s="39"/>
      <x:c r="G111" s="34" t="str">
        <x:f>IF(C111="","",IFERROR(VLOOKUP(C111,'SẢN_PHẨM'!$A$2:$G$500,4,FALSE),""))</x:f>
      </x:c>
      <x:c r="H111" s="43"/>
      <x:c r="I111" s="38" t="str">
        <x:f>IF(C111="","",IFERROR(VLOOKUP(C111,'SẢN_PHẨM'!$A$2:$G$500,6,FALSE),""))</x:f>
      </x:c>
      <x:c r="J111" s="35" t="str">
        <x:f>IF(OR(F111="",G111=""),"",F111*G111)</x:f>
      </x:c>
      <x:c r="K111" s="35" t="str">
        <x:f>IF(J111="","",J111*H111)</x:f>
      </x:c>
      <x:c r="L111" s="35" t="str">
        <x:f>IF(J111="","",J111-K111)</x:f>
      </x:c>
      <x:c r="M111" s="35" t="str">
        <x:f>IF(L111="","",L111*I111)</x:f>
      </x:c>
      <x:c r="N111" s="35" t="str">
        <x:f>IF(L111="","",L111+M111)</x:f>
      </x:c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36" t="str">
        <x:f>IF(C112="","",IFERROR(VLOOKUP(C112,'SẢN_PHẨM'!$A$2:$G$500,2,FALSE),""))</x:f>
      </x:c>
      <x:c r="E112" s="36" t="str">
        <x:f>IF(C112="","",IFERROR(VLOOKUP(C112,'SẢN_PHẨM'!$A$2:$G$500,3,FALSE),""))</x:f>
      </x:c>
      <x:c r="F112" s="39"/>
      <x:c r="G112" s="34" t="str">
        <x:f>IF(C112="","",IFERROR(VLOOKUP(C112,'SẢN_PHẨM'!$A$2:$G$500,4,FALSE),""))</x:f>
      </x:c>
      <x:c r="H112" s="43"/>
      <x:c r="I112" s="38" t="str">
        <x:f>IF(C112="","",IFERROR(VLOOKUP(C112,'SẢN_PHẨM'!$A$2:$G$500,6,FALSE),""))</x:f>
      </x:c>
      <x:c r="J112" s="35" t="str">
        <x:f>IF(OR(F112="",G112=""),"",F112*G112)</x:f>
      </x:c>
      <x:c r="K112" s="35" t="str">
        <x:f>IF(J112="","",J112*H112)</x:f>
      </x:c>
      <x:c r="L112" s="35" t="str">
        <x:f>IF(J112="","",J112-K112)</x:f>
      </x:c>
      <x:c r="M112" s="35" t="str">
        <x:f>IF(L112="","",L112*I112)</x:f>
      </x:c>
      <x:c r="N112" s="35" t="str">
        <x:f>IF(L112="","",L112+M112)</x:f>
      </x:c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36" t="str">
        <x:f>IF(C113="","",IFERROR(VLOOKUP(C113,'SẢN_PHẨM'!$A$2:$G$500,2,FALSE),""))</x:f>
      </x:c>
      <x:c r="E113" s="36" t="str">
        <x:f>IF(C113="","",IFERROR(VLOOKUP(C113,'SẢN_PHẨM'!$A$2:$G$500,3,FALSE),""))</x:f>
      </x:c>
      <x:c r="F113" s="39"/>
      <x:c r="G113" s="34" t="str">
        <x:f>IF(C113="","",IFERROR(VLOOKUP(C113,'SẢN_PHẨM'!$A$2:$G$500,4,FALSE),""))</x:f>
      </x:c>
      <x:c r="H113" s="43"/>
      <x:c r="I113" s="38" t="str">
        <x:f>IF(C113="","",IFERROR(VLOOKUP(C113,'SẢN_PHẨM'!$A$2:$G$500,6,FALSE),""))</x:f>
      </x:c>
      <x:c r="J113" s="35" t="str">
        <x:f>IF(OR(F113="",G113=""),"",F113*G113)</x:f>
      </x:c>
      <x:c r="K113" s="35" t="str">
        <x:f>IF(J113="","",J113*H113)</x:f>
      </x:c>
      <x:c r="L113" s="35" t="str">
        <x:f>IF(J113="","",J113-K113)</x:f>
      </x:c>
      <x:c r="M113" s="35" t="str">
        <x:f>IF(L113="","",L113*I113)</x:f>
      </x:c>
      <x:c r="N113" s="35" t="str">
        <x:f>IF(L113="","",L113+M113)</x:f>
      </x:c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36" t="str">
        <x:f>IF(C114="","",IFERROR(VLOOKUP(C114,'SẢN_PHẨM'!$A$2:$G$500,2,FALSE),""))</x:f>
      </x:c>
      <x:c r="E114" s="36" t="str">
        <x:f>IF(C114="","",IFERROR(VLOOKUP(C114,'SẢN_PHẨM'!$A$2:$G$500,3,FALSE),""))</x:f>
      </x:c>
      <x:c r="F114" s="39"/>
      <x:c r="G114" s="34" t="str">
        <x:f>IF(C114="","",IFERROR(VLOOKUP(C114,'SẢN_PHẨM'!$A$2:$G$500,4,FALSE),""))</x:f>
      </x:c>
      <x:c r="H114" s="43"/>
      <x:c r="I114" s="38" t="str">
        <x:f>IF(C114="","",IFERROR(VLOOKUP(C114,'SẢN_PHẨM'!$A$2:$G$500,6,FALSE),""))</x:f>
      </x:c>
      <x:c r="J114" s="35" t="str">
        <x:f>IF(OR(F114="",G114=""),"",F114*G114)</x:f>
      </x:c>
      <x:c r="K114" s="35" t="str">
        <x:f>IF(J114="","",J114*H114)</x:f>
      </x:c>
      <x:c r="L114" s="35" t="str">
        <x:f>IF(J114="","",J114-K114)</x:f>
      </x:c>
      <x:c r="M114" s="35" t="str">
        <x:f>IF(L114="","",L114*I114)</x:f>
      </x:c>
      <x:c r="N114" s="35" t="str">
        <x:f>IF(L114="","",L114+M114)</x:f>
      </x:c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36" t="str">
        <x:f>IF(C115="","",IFERROR(VLOOKUP(C115,'SẢN_PHẨM'!$A$2:$G$500,2,FALSE),""))</x:f>
      </x:c>
      <x:c r="E115" s="36" t="str">
        <x:f>IF(C115="","",IFERROR(VLOOKUP(C115,'SẢN_PHẨM'!$A$2:$G$500,3,FALSE),""))</x:f>
      </x:c>
      <x:c r="F115" s="39"/>
      <x:c r="G115" s="34" t="str">
        <x:f>IF(C115="","",IFERROR(VLOOKUP(C115,'SẢN_PHẨM'!$A$2:$G$500,4,FALSE),""))</x:f>
      </x:c>
      <x:c r="H115" s="43"/>
      <x:c r="I115" s="38" t="str">
        <x:f>IF(C115="","",IFERROR(VLOOKUP(C115,'SẢN_PHẨM'!$A$2:$G$500,6,FALSE),""))</x:f>
      </x:c>
      <x:c r="J115" s="35" t="str">
        <x:f>IF(OR(F115="",G115=""),"",F115*G115)</x:f>
      </x:c>
      <x:c r="K115" s="35" t="str">
        <x:f>IF(J115="","",J115*H115)</x:f>
      </x:c>
      <x:c r="L115" s="35" t="str">
        <x:f>IF(J115="","",J115-K115)</x:f>
      </x:c>
      <x:c r="M115" s="35" t="str">
        <x:f>IF(L115="","",L115*I115)</x:f>
      </x:c>
      <x:c r="N115" s="35" t="str">
        <x:f>IF(L115="","",L115+M115)</x:f>
      </x:c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36" t="str">
        <x:f>IF(C116="","",IFERROR(VLOOKUP(C116,'SẢN_PHẨM'!$A$2:$G$500,2,FALSE),""))</x:f>
      </x:c>
      <x:c r="E116" s="36" t="str">
        <x:f>IF(C116="","",IFERROR(VLOOKUP(C116,'SẢN_PHẨM'!$A$2:$G$500,3,FALSE),""))</x:f>
      </x:c>
      <x:c r="F116" s="39"/>
      <x:c r="G116" s="34" t="str">
        <x:f>IF(C116="","",IFERROR(VLOOKUP(C116,'SẢN_PHẨM'!$A$2:$G$500,4,FALSE),""))</x:f>
      </x:c>
      <x:c r="H116" s="43"/>
      <x:c r="I116" s="38" t="str">
        <x:f>IF(C116="","",IFERROR(VLOOKUP(C116,'SẢN_PHẨM'!$A$2:$G$500,6,FALSE),""))</x:f>
      </x:c>
      <x:c r="J116" s="35" t="str">
        <x:f>IF(OR(F116="",G116=""),"",F116*G116)</x:f>
      </x:c>
      <x:c r="K116" s="35" t="str">
        <x:f>IF(J116="","",J116*H116)</x:f>
      </x:c>
      <x:c r="L116" s="35" t="str">
        <x:f>IF(J116="","",J116-K116)</x:f>
      </x:c>
      <x:c r="M116" s="35" t="str">
        <x:f>IF(L116="","",L116*I116)</x:f>
      </x:c>
      <x:c r="N116" s="35" t="str">
        <x:f>IF(L116="","",L116+M116)</x:f>
      </x:c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36" t="str">
        <x:f>IF(C117="","",IFERROR(VLOOKUP(C117,'SẢN_PHẨM'!$A$2:$G$500,2,FALSE),""))</x:f>
      </x:c>
      <x:c r="E117" s="36" t="str">
        <x:f>IF(C117="","",IFERROR(VLOOKUP(C117,'SẢN_PHẨM'!$A$2:$G$500,3,FALSE),""))</x:f>
      </x:c>
      <x:c r="F117" s="39"/>
      <x:c r="G117" s="34" t="str">
        <x:f>IF(C117="","",IFERROR(VLOOKUP(C117,'SẢN_PHẨM'!$A$2:$G$500,4,FALSE),""))</x:f>
      </x:c>
      <x:c r="H117" s="43"/>
      <x:c r="I117" s="38" t="str">
        <x:f>IF(C117="","",IFERROR(VLOOKUP(C117,'SẢN_PHẨM'!$A$2:$G$500,6,FALSE),""))</x:f>
      </x:c>
      <x:c r="J117" s="35" t="str">
        <x:f>IF(OR(F117="",G117=""),"",F117*G117)</x:f>
      </x:c>
      <x:c r="K117" s="35" t="str">
        <x:f>IF(J117="","",J117*H117)</x:f>
      </x:c>
      <x:c r="L117" s="35" t="str">
        <x:f>IF(J117="","",J117-K117)</x:f>
      </x:c>
      <x:c r="M117" s="35" t="str">
        <x:f>IF(L117="","",L117*I117)</x:f>
      </x:c>
      <x:c r="N117" s="35" t="str">
        <x:f>IF(L117="","",L117+M117)</x:f>
      </x:c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36" t="str">
        <x:f>IF(C118="","",IFERROR(VLOOKUP(C118,'SẢN_PHẨM'!$A$2:$G$500,2,FALSE),""))</x:f>
      </x:c>
      <x:c r="E118" s="36" t="str">
        <x:f>IF(C118="","",IFERROR(VLOOKUP(C118,'SẢN_PHẨM'!$A$2:$G$500,3,FALSE),""))</x:f>
      </x:c>
      <x:c r="F118" s="39"/>
      <x:c r="G118" s="34" t="str">
        <x:f>IF(C118="","",IFERROR(VLOOKUP(C118,'SẢN_PHẨM'!$A$2:$G$500,4,FALSE),""))</x:f>
      </x:c>
      <x:c r="H118" s="43"/>
      <x:c r="I118" s="38" t="str">
        <x:f>IF(C118="","",IFERROR(VLOOKUP(C118,'SẢN_PHẨM'!$A$2:$G$500,6,FALSE),""))</x:f>
      </x:c>
      <x:c r="J118" s="35" t="str">
        <x:f>IF(OR(F118="",G118=""),"",F118*G118)</x:f>
      </x:c>
      <x:c r="K118" s="35" t="str">
        <x:f>IF(J118="","",J118*H118)</x:f>
      </x:c>
      <x:c r="L118" s="35" t="str">
        <x:f>IF(J118="","",J118-K118)</x:f>
      </x:c>
      <x:c r="M118" s="35" t="str">
        <x:f>IF(L118="","",L118*I118)</x:f>
      </x:c>
      <x:c r="N118" s="35" t="str">
        <x:f>IF(L118="","",L118+M118)</x:f>
      </x:c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36" t="str">
        <x:f>IF(C119="","",IFERROR(VLOOKUP(C119,'SẢN_PHẨM'!$A$2:$G$500,2,FALSE),""))</x:f>
      </x:c>
      <x:c r="E119" s="36" t="str">
        <x:f>IF(C119="","",IFERROR(VLOOKUP(C119,'SẢN_PHẨM'!$A$2:$G$500,3,FALSE),""))</x:f>
      </x:c>
      <x:c r="F119" s="39"/>
      <x:c r="G119" s="34" t="str">
        <x:f>IF(C119="","",IFERROR(VLOOKUP(C119,'SẢN_PHẨM'!$A$2:$G$500,4,FALSE),""))</x:f>
      </x:c>
      <x:c r="H119" s="43"/>
      <x:c r="I119" s="38" t="str">
        <x:f>IF(C119="","",IFERROR(VLOOKUP(C119,'SẢN_PHẨM'!$A$2:$G$500,6,FALSE),""))</x:f>
      </x:c>
      <x:c r="J119" s="35" t="str">
        <x:f>IF(OR(F119="",G119=""),"",F119*G119)</x:f>
      </x:c>
      <x:c r="K119" s="35" t="str">
        <x:f>IF(J119="","",J119*H119)</x:f>
      </x:c>
      <x:c r="L119" s="35" t="str">
        <x:f>IF(J119="","",J119-K119)</x:f>
      </x:c>
      <x:c r="M119" s="35" t="str">
        <x:f>IF(L119="","",L119*I119)</x:f>
      </x:c>
      <x:c r="N119" s="35" t="str">
        <x:f>IF(L119="","",L119+M119)</x:f>
      </x:c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36" t="str">
        <x:f>IF(C120="","",IFERROR(VLOOKUP(C120,'SẢN_PHẨM'!$A$2:$G$500,2,FALSE),""))</x:f>
      </x:c>
      <x:c r="E120" s="36" t="str">
        <x:f>IF(C120="","",IFERROR(VLOOKUP(C120,'SẢN_PHẨM'!$A$2:$G$500,3,FALSE),""))</x:f>
      </x:c>
      <x:c r="F120" s="39"/>
      <x:c r="G120" s="34" t="str">
        <x:f>IF(C120="","",IFERROR(VLOOKUP(C120,'SẢN_PHẨM'!$A$2:$G$500,4,FALSE),""))</x:f>
      </x:c>
      <x:c r="H120" s="43"/>
      <x:c r="I120" s="38" t="str">
        <x:f>IF(C120="","",IFERROR(VLOOKUP(C120,'SẢN_PHẨM'!$A$2:$G$500,6,FALSE),""))</x:f>
      </x:c>
      <x:c r="J120" s="35" t="str">
        <x:f>IF(OR(F120="",G120=""),"",F120*G120)</x:f>
      </x:c>
      <x:c r="K120" s="35" t="str">
        <x:f>IF(J120="","",J120*H120)</x:f>
      </x:c>
      <x:c r="L120" s="35" t="str">
        <x:f>IF(J120="","",J120-K120)</x:f>
      </x:c>
      <x:c r="M120" s="35" t="str">
        <x:f>IF(L120="","",L120*I120)</x:f>
      </x:c>
      <x:c r="N120" s="35" t="str">
        <x:f>IF(L120="","",L120+M120)</x:f>
      </x:c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36" t="str">
        <x:f>IF(C121="","",IFERROR(VLOOKUP(C121,'SẢN_PHẨM'!$A$2:$G$500,2,FALSE),""))</x:f>
      </x:c>
      <x:c r="E121" s="36" t="str">
        <x:f>IF(C121="","",IFERROR(VLOOKUP(C121,'SẢN_PHẨM'!$A$2:$G$500,3,FALSE),""))</x:f>
      </x:c>
      <x:c r="F121" s="39"/>
      <x:c r="G121" s="34" t="str">
        <x:f>IF(C121="","",IFERROR(VLOOKUP(C121,'SẢN_PHẨM'!$A$2:$G$500,4,FALSE),""))</x:f>
      </x:c>
      <x:c r="H121" s="43"/>
      <x:c r="I121" s="38" t="str">
        <x:f>IF(C121="","",IFERROR(VLOOKUP(C121,'SẢN_PHẨM'!$A$2:$G$500,6,FALSE),""))</x:f>
      </x:c>
      <x:c r="J121" s="35" t="str">
        <x:f>IF(OR(F121="",G121=""),"",F121*G121)</x:f>
      </x:c>
      <x:c r="K121" s="35" t="str">
        <x:f>IF(J121="","",J121*H121)</x:f>
      </x:c>
      <x:c r="L121" s="35" t="str">
        <x:f>IF(J121="","",J121-K121)</x:f>
      </x:c>
      <x:c r="M121" s="35" t="str">
        <x:f>IF(L121="","",L121*I121)</x:f>
      </x:c>
      <x:c r="N121" s="35" t="str">
        <x:f>IF(L121="","",L121+M121)</x:f>
      </x:c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36" t="str">
        <x:f>IF(C122="","",IFERROR(VLOOKUP(C122,'SẢN_PHẨM'!$A$2:$G$500,2,FALSE),""))</x:f>
      </x:c>
      <x:c r="E122" s="36" t="str">
        <x:f>IF(C122="","",IFERROR(VLOOKUP(C122,'SẢN_PHẨM'!$A$2:$G$500,3,FALSE),""))</x:f>
      </x:c>
      <x:c r="F122" s="39"/>
      <x:c r="G122" s="34" t="str">
        <x:f>IF(C122="","",IFERROR(VLOOKUP(C122,'SẢN_PHẨM'!$A$2:$G$500,4,FALSE),""))</x:f>
      </x:c>
      <x:c r="H122" s="43"/>
      <x:c r="I122" s="38" t="str">
        <x:f>IF(C122="","",IFERROR(VLOOKUP(C122,'SẢN_PHẨM'!$A$2:$G$500,6,FALSE),""))</x:f>
      </x:c>
      <x:c r="J122" s="35" t="str">
        <x:f>IF(OR(F122="",G122=""),"",F122*G122)</x:f>
      </x:c>
      <x:c r="K122" s="35" t="str">
        <x:f>IF(J122="","",J122*H122)</x:f>
      </x:c>
      <x:c r="L122" s="35" t="str">
        <x:f>IF(J122="","",J122-K122)</x:f>
      </x:c>
      <x:c r="M122" s="35" t="str">
        <x:f>IF(L122="","",L122*I122)</x:f>
      </x:c>
      <x:c r="N122" s="35" t="str">
        <x:f>IF(L122="","",L122+M122)</x:f>
      </x:c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36" t="str">
        <x:f>IF(C123="","",IFERROR(VLOOKUP(C123,'SẢN_PHẨM'!$A$2:$G$500,2,FALSE),""))</x:f>
      </x:c>
      <x:c r="E123" s="36" t="str">
        <x:f>IF(C123="","",IFERROR(VLOOKUP(C123,'SẢN_PHẨM'!$A$2:$G$500,3,FALSE),""))</x:f>
      </x:c>
      <x:c r="F123" s="39"/>
      <x:c r="G123" s="34" t="str">
        <x:f>IF(C123="","",IFERROR(VLOOKUP(C123,'SẢN_PHẨM'!$A$2:$G$500,4,FALSE),""))</x:f>
      </x:c>
      <x:c r="H123" s="43"/>
      <x:c r="I123" s="38" t="str">
        <x:f>IF(C123="","",IFERROR(VLOOKUP(C123,'SẢN_PHẨM'!$A$2:$G$500,6,FALSE),""))</x:f>
      </x:c>
      <x:c r="J123" s="35" t="str">
        <x:f>IF(OR(F123="",G123=""),"",F123*G123)</x:f>
      </x:c>
      <x:c r="K123" s="35" t="str">
        <x:f>IF(J123="","",J123*H123)</x:f>
      </x:c>
      <x:c r="L123" s="35" t="str">
        <x:f>IF(J123="","",J123-K123)</x:f>
      </x:c>
      <x:c r="M123" s="35" t="str">
        <x:f>IF(L123="","",L123*I123)</x:f>
      </x:c>
      <x:c r="N123" s="35" t="str">
        <x:f>IF(L123="","",L123+M123)</x:f>
      </x:c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36" t="str">
        <x:f>IF(C124="","",IFERROR(VLOOKUP(C124,'SẢN_PHẨM'!$A$2:$G$500,2,FALSE),""))</x:f>
      </x:c>
      <x:c r="E124" s="36" t="str">
        <x:f>IF(C124="","",IFERROR(VLOOKUP(C124,'SẢN_PHẨM'!$A$2:$G$500,3,FALSE),""))</x:f>
      </x:c>
      <x:c r="F124" s="39"/>
      <x:c r="G124" s="34" t="str">
        <x:f>IF(C124="","",IFERROR(VLOOKUP(C124,'SẢN_PHẨM'!$A$2:$G$500,4,FALSE),""))</x:f>
      </x:c>
      <x:c r="H124" s="43"/>
      <x:c r="I124" s="38" t="str">
        <x:f>IF(C124="","",IFERROR(VLOOKUP(C124,'SẢN_PHẨM'!$A$2:$G$500,6,FALSE),""))</x:f>
      </x:c>
      <x:c r="J124" s="35" t="str">
        <x:f>IF(OR(F124="",G124=""),"",F124*G124)</x:f>
      </x:c>
      <x:c r="K124" s="35" t="str">
        <x:f>IF(J124="","",J124*H124)</x:f>
      </x:c>
      <x:c r="L124" s="35" t="str">
        <x:f>IF(J124="","",J124-K124)</x:f>
      </x:c>
      <x:c r="M124" s="35" t="str">
        <x:f>IF(L124="","",L124*I124)</x:f>
      </x:c>
      <x:c r="N124" s="35" t="str">
        <x:f>IF(L124="","",L124+M124)</x:f>
      </x:c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36" t="str">
        <x:f>IF(C125="","",IFERROR(VLOOKUP(C125,'SẢN_PHẨM'!$A$2:$G$500,2,FALSE),""))</x:f>
      </x:c>
      <x:c r="E125" s="36" t="str">
        <x:f>IF(C125="","",IFERROR(VLOOKUP(C125,'SẢN_PHẨM'!$A$2:$G$500,3,FALSE),""))</x:f>
      </x:c>
      <x:c r="F125" s="39"/>
      <x:c r="G125" s="34" t="str">
        <x:f>IF(C125="","",IFERROR(VLOOKUP(C125,'SẢN_PHẨM'!$A$2:$G$500,4,FALSE),""))</x:f>
      </x:c>
      <x:c r="H125" s="43"/>
      <x:c r="I125" s="38" t="str">
        <x:f>IF(C125="","",IFERROR(VLOOKUP(C125,'SẢN_PHẨM'!$A$2:$G$500,6,FALSE),""))</x:f>
      </x:c>
      <x:c r="J125" s="35" t="str">
        <x:f>IF(OR(F125="",G125=""),"",F125*G125)</x:f>
      </x:c>
      <x:c r="K125" s="35" t="str">
        <x:f>IF(J125="","",J125*H125)</x:f>
      </x:c>
      <x:c r="L125" s="35" t="str">
        <x:f>IF(J125="","",J125-K125)</x:f>
      </x:c>
      <x:c r="M125" s="35" t="str">
        <x:f>IF(L125="","",L125*I125)</x:f>
      </x:c>
      <x:c r="N125" s="35" t="str">
        <x:f>IF(L125="","",L125+M125)</x:f>
      </x:c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36" t="str">
        <x:f>IF(C126="","",IFERROR(VLOOKUP(C126,'SẢN_PHẨM'!$A$2:$G$500,2,FALSE),""))</x:f>
      </x:c>
      <x:c r="E126" s="36" t="str">
        <x:f>IF(C126="","",IFERROR(VLOOKUP(C126,'SẢN_PHẨM'!$A$2:$G$500,3,FALSE),""))</x:f>
      </x:c>
      <x:c r="F126" s="39"/>
      <x:c r="G126" s="34" t="str">
        <x:f>IF(C126="","",IFERROR(VLOOKUP(C126,'SẢN_PHẨM'!$A$2:$G$500,4,FALSE),""))</x:f>
      </x:c>
      <x:c r="H126" s="43"/>
      <x:c r="I126" s="38" t="str">
        <x:f>IF(C126="","",IFERROR(VLOOKUP(C126,'SẢN_PHẨM'!$A$2:$G$500,6,FALSE),""))</x:f>
      </x:c>
      <x:c r="J126" s="35" t="str">
        <x:f>IF(OR(F126="",G126=""),"",F126*G126)</x:f>
      </x:c>
      <x:c r="K126" s="35" t="str">
        <x:f>IF(J126="","",J126*H126)</x:f>
      </x:c>
      <x:c r="L126" s="35" t="str">
        <x:f>IF(J126="","",J126-K126)</x:f>
      </x:c>
      <x:c r="M126" s="35" t="str">
        <x:f>IF(L126="","",L126*I126)</x:f>
      </x:c>
      <x:c r="N126" s="35" t="str">
        <x:f>IF(L126="","",L126+M126)</x:f>
      </x:c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36" t="str">
        <x:f>IF(C127="","",IFERROR(VLOOKUP(C127,'SẢN_PHẨM'!$A$2:$G$500,2,FALSE),""))</x:f>
      </x:c>
      <x:c r="E127" s="36" t="str">
        <x:f>IF(C127="","",IFERROR(VLOOKUP(C127,'SẢN_PHẨM'!$A$2:$G$500,3,FALSE),""))</x:f>
      </x:c>
      <x:c r="F127" s="39"/>
      <x:c r="G127" s="34" t="str">
        <x:f>IF(C127="","",IFERROR(VLOOKUP(C127,'SẢN_PHẨM'!$A$2:$G$500,4,FALSE),""))</x:f>
      </x:c>
      <x:c r="H127" s="43"/>
      <x:c r="I127" s="38" t="str">
        <x:f>IF(C127="","",IFERROR(VLOOKUP(C127,'SẢN_PHẨM'!$A$2:$G$500,6,FALSE),""))</x:f>
      </x:c>
      <x:c r="J127" s="35" t="str">
        <x:f>IF(OR(F127="",G127=""),"",F127*G127)</x:f>
      </x:c>
      <x:c r="K127" s="35" t="str">
        <x:f>IF(J127="","",J127*H127)</x:f>
      </x:c>
      <x:c r="L127" s="35" t="str">
        <x:f>IF(J127="","",J127-K127)</x:f>
      </x:c>
      <x:c r="M127" s="35" t="str">
        <x:f>IF(L127="","",L127*I127)</x:f>
      </x:c>
      <x:c r="N127" s="35" t="str">
        <x:f>IF(L127="","",L127+M127)</x:f>
      </x:c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36" t="str">
        <x:f>IF(C128="","",IFERROR(VLOOKUP(C128,'SẢN_PHẨM'!$A$2:$G$500,2,FALSE),""))</x:f>
      </x:c>
      <x:c r="E128" s="36" t="str">
        <x:f>IF(C128="","",IFERROR(VLOOKUP(C128,'SẢN_PHẨM'!$A$2:$G$500,3,FALSE),""))</x:f>
      </x:c>
      <x:c r="F128" s="39"/>
      <x:c r="G128" s="34" t="str">
        <x:f>IF(C128="","",IFERROR(VLOOKUP(C128,'SẢN_PHẨM'!$A$2:$G$500,4,FALSE),""))</x:f>
      </x:c>
      <x:c r="H128" s="43"/>
      <x:c r="I128" s="38" t="str">
        <x:f>IF(C128="","",IFERROR(VLOOKUP(C128,'SẢN_PHẨM'!$A$2:$G$500,6,FALSE),""))</x:f>
      </x:c>
      <x:c r="J128" s="35" t="str">
        <x:f>IF(OR(F128="",G128=""),"",F128*G128)</x:f>
      </x:c>
      <x:c r="K128" s="35" t="str">
        <x:f>IF(J128="","",J128*H128)</x:f>
      </x:c>
      <x:c r="L128" s="35" t="str">
        <x:f>IF(J128="","",J128-K128)</x:f>
      </x:c>
      <x:c r="M128" s="35" t="str">
        <x:f>IF(L128="","",L128*I128)</x:f>
      </x:c>
      <x:c r="N128" s="35" t="str">
        <x:f>IF(L128="","",L128+M128)</x:f>
      </x:c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36" t="str">
        <x:f>IF(C129="","",IFERROR(VLOOKUP(C129,'SẢN_PHẨM'!$A$2:$G$500,2,FALSE),""))</x:f>
      </x:c>
      <x:c r="E129" s="36" t="str">
        <x:f>IF(C129="","",IFERROR(VLOOKUP(C129,'SẢN_PHẨM'!$A$2:$G$500,3,FALSE),""))</x:f>
      </x:c>
      <x:c r="F129" s="39"/>
      <x:c r="G129" s="34" t="str">
        <x:f>IF(C129="","",IFERROR(VLOOKUP(C129,'SẢN_PHẨM'!$A$2:$G$500,4,FALSE),""))</x:f>
      </x:c>
      <x:c r="H129" s="43"/>
      <x:c r="I129" s="38" t="str">
        <x:f>IF(C129="","",IFERROR(VLOOKUP(C129,'SẢN_PHẨM'!$A$2:$G$500,6,FALSE),""))</x:f>
      </x:c>
      <x:c r="J129" s="35" t="str">
        <x:f>IF(OR(F129="",G129=""),"",F129*G129)</x:f>
      </x:c>
      <x:c r="K129" s="35" t="str">
        <x:f>IF(J129="","",J129*H129)</x:f>
      </x:c>
      <x:c r="L129" s="35" t="str">
        <x:f>IF(J129="","",J129-K129)</x:f>
      </x:c>
      <x:c r="M129" s="35" t="str">
        <x:f>IF(L129="","",L129*I129)</x:f>
      </x:c>
      <x:c r="N129" s="35" t="str">
        <x:f>IF(L129="","",L129+M129)</x:f>
      </x:c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36" t="str">
        <x:f>IF(C130="","",IFERROR(VLOOKUP(C130,'SẢN_PHẨM'!$A$2:$G$500,2,FALSE),""))</x:f>
      </x:c>
      <x:c r="E130" s="36" t="str">
        <x:f>IF(C130="","",IFERROR(VLOOKUP(C130,'SẢN_PHẨM'!$A$2:$G$500,3,FALSE),""))</x:f>
      </x:c>
      <x:c r="F130" s="39"/>
      <x:c r="G130" s="34" t="str">
        <x:f>IF(C130="","",IFERROR(VLOOKUP(C130,'SẢN_PHẨM'!$A$2:$G$500,4,FALSE),""))</x:f>
      </x:c>
      <x:c r="H130" s="43"/>
      <x:c r="I130" s="38" t="str">
        <x:f>IF(C130="","",IFERROR(VLOOKUP(C130,'SẢN_PHẨM'!$A$2:$G$500,6,FALSE),""))</x:f>
      </x:c>
      <x:c r="J130" s="35" t="str">
        <x:f>IF(OR(F130="",G130=""),"",F130*G130)</x:f>
      </x:c>
      <x:c r="K130" s="35" t="str">
        <x:f>IF(J130="","",J130*H130)</x:f>
      </x:c>
      <x:c r="L130" s="35" t="str">
        <x:f>IF(J130="","",J130-K130)</x:f>
      </x:c>
      <x:c r="M130" s="35" t="str">
        <x:f>IF(L130="","",L130*I130)</x:f>
      </x:c>
      <x:c r="N130" s="35" t="str">
        <x:f>IF(L130="","",L130+M130)</x:f>
      </x:c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36" t="str">
        <x:f>IF(C131="","",IFERROR(VLOOKUP(C131,'SẢN_PHẨM'!$A$2:$G$500,2,FALSE),""))</x:f>
      </x:c>
      <x:c r="E131" s="36" t="str">
        <x:f>IF(C131="","",IFERROR(VLOOKUP(C131,'SẢN_PHẨM'!$A$2:$G$500,3,FALSE),""))</x:f>
      </x:c>
      <x:c r="F131" s="39"/>
      <x:c r="G131" s="34" t="str">
        <x:f>IF(C131="","",IFERROR(VLOOKUP(C131,'SẢN_PHẨM'!$A$2:$G$500,4,FALSE),""))</x:f>
      </x:c>
      <x:c r="H131" s="43"/>
      <x:c r="I131" s="38" t="str">
        <x:f>IF(C131="","",IFERROR(VLOOKUP(C131,'SẢN_PHẨM'!$A$2:$G$500,6,FALSE),""))</x:f>
      </x:c>
      <x:c r="J131" s="35" t="str">
        <x:f>IF(OR(F131="",G131=""),"",F131*G131)</x:f>
      </x:c>
      <x:c r="K131" s="35" t="str">
        <x:f>IF(J131="","",J131*H131)</x:f>
      </x:c>
      <x:c r="L131" s="35" t="str">
        <x:f>IF(J131="","",J131-K131)</x:f>
      </x:c>
      <x:c r="M131" s="35" t="str">
        <x:f>IF(L131="","",L131*I131)</x:f>
      </x:c>
      <x:c r="N131" s="35" t="str">
        <x:f>IF(L131="","",L131+M131)</x:f>
      </x:c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36" t="str">
        <x:f>IF(C132="","",IFERROR(VLOOKUP(C132,'SẢN_PHẨM'!$A$2:$G$500,2,FALSE),""))</x:f>
      </x:c>
      <x:c r="E132" s="36" t="str">
        <x:f>IF(C132="","",IFERROR(VLOOKUP(C132,'SẢN_PHẨM'!$A$2:$G$500,3,FALSE),""))</x:f>
      </x:c>
      <x:c r="F132" s="39"/>
      <x:c r="G132" s="34" t="str">
        <x:f>IF(C132="","",IFERROR(VLOOKUP(C132,'SẢN_PHẨM'!$A$2:$G$500,4,FALSE),""))</x:f>
      </x:c>
      <x:c r="H132" s="43"/>
      <x:c r="I132" s="38" t="str">
        <x:f>IF(C132="","",IFERROR(VLOOKUP(C132,'SẢN_PHẨM'!$A$2:$G$500,6,FALSE),""))</x:f>
      </x:c>
      <x:c r="J132" s="35" t="str">
        <x:f>IF(OR(F132="",G132=""),"",F132*G132)</x:f>
      </x:c>
      <x:c r="K132" s="35" t="str">
        <x:f>IF(J132="","",J132*H132)</x:f>
      </x:c>
      <x:c r="L132" s="35" t="str">
        <x:f>IF(J132="","",J132-K132)</x:f>
      </x:c>
      <x:c r="M132" s="35" t="str">
        <x:f>IF(L132="","",L132*I132)</x:f>
      </x:c>
      <x:c r="N132" s="35" t="str">
        <x:f>IF(L132="","",L132+M132)</x:f>
      </x:c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36" t="str">
        <x:f>IF(C133="","",IFERROR(VLOOKUP(C133,'SẢN_PHẨM'!$A$2:$G$500,2,FALSE),""))</x:f>
      </x:c>
      <x:c r="E133" s="36" t="str">
        <x:f>IF(C133="","",IFERROR(VLOOKUP(C133,'SẢN_PHẨM'!$A$2:$G$500,3,FALSE),""))</x:f>
      </x:c>
      <x:c r="F133" s="39"/>
      <x:c r="G133" s="34" t="str">
        <x:f>IF(C133="","",IFERROR(VLOOKUP(C133,'SẢN_PHẨM'!$A$2:$G$500,4,FALSE),""))</x:f>
      </x:c>
      <x:c r="H133" s="43"/>
      <x:c r="I133" s="38" t="str">
        <x:f>IF(C133="","",IFERROR(VLOOKUP(C133,'SẢN_PHẨM'!$A$2:$G$500,6,FALSE),""))</x:f>
      </x:c>
      <x:c r="J133" s="35" t="str">
        <x:f>IF(OR(F133="",G133=""),"",F133*G133)</x:f>
      </x:c>
      <x:c r="K133" s="35" t="str">
        <x:f>IF(J133="","",J133*H133)</x:f>
      </x:c>
      <x:c r="L133" s="35" t="str">
        <x:f>IF(J133="","",J133-K133)</x:f>
      </x:c>
      <x:c r="M133" s="35" t="str">
        <x:f>IF(L133="","",L133*I133)</x:f>
      </x:c>
      <x:c r="N133" s="35" t="str">
        <x:f>IF(L133="","",L133+M133)</x:f>
      </x:c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36" t="str">
        <x:f>IF(C134="","",IFERROR(VLOOKUP(C134,'SẢN_PHẨM'!$A$2:$G$500,2,FALSE),""))</x:f>
      </x:c>
      <x:c r="E134" s="36" t="str">
        <x:f>IF(C134="","",IFERROR(VLOOKUP(C134,'SẢN_PHẨM'!$A$2:$G$500,3,FALSE),""))</x:f>
      </x:c>
      <x:c r="F134" s="39"/>
      <x:c r="G134" s="34" t="str">
        <x:f>IF(C134="","",IFERROR(VLOOKUP(C134,'SẢN_PHẨM'!$A$2:$G$500,4,FALSE),""))</x:f>
      </x:c>
      <x:c r="H134" s="43"/>
      <x:c r="I134" s="38" t="str">
        <x:f>IF(C134="","",IFERROR(VLOOKUP(C134,'SẢN_PHẨM'!$A$2:$G$500,6,FALSE),""))</x:f>
      </x:c>
      <x:c r="J134" s="35" t="str">
        <x:f>IF(OR(F134="",G134=""),"",F134*G134)</x:f>
      </x:c>
      <x:c r="K134" s="35" t="str">
        <x:f>IF(J134="","",J134*H134)</x:f>
      </x:c>
      <x:c r="L134" s="35" t="str">
        <x:f>IF(J134="","",J134-K134)</x:f>
      </x:c>
      <x:c r="M134" s="35" t="str">
        <x:f>IF(L134="","",L134*I134)</x:f>
      </x:c>
      <x:c r="N134" s="35" t="str">
        <x:f>IF(L134="","",L134+M134)</x:f>
      </x:c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36" t="str">
        <x:f>IF(C135="","",IFERROR(VLOOKUP(C135,'SẢN_PHẨM'!$A$2:$G$500,2,FALSE),""))</x:f>
      </x:c>
      <x:c r="E135" s="36" t="str">
        <x:f>IF(C135="","",IFERROR(VLOOKUP(C135,'SẢN_PHẨM'!$A$2:$G$500,3,FALSE),""))</x:f>
      </x:c>
      <x:c r="F135" s="39"/>
      <x:c r="G135" s="34" t="str">
        <x:f>IF(C135="","",IFERROR(VLOOKUP(C135,'SẢN_PHẨM'!$A$2:$G$500,4,FALSE),""))</x:f>
      </x:c>
      <x:c r="H135" s="43"/>
      <x:c r="I135" s="38" t="str">
        <x:f>IF(C135="","",IFERROR(VLOOKUP(C135,'SẢN_PHẨM'!$A$2:$G$500,6,FALSE),""))</x:f>
      </x:c>
      <x:c r="J135" s="35" t="str">
        <x:f>IF(OR(F135="",G135=""),"",F135*G135)</x:f>
      </x:c>
      <x:c r="K135" s="35" t="str">
        <x:f>IF(J135="","",J135*H135)</x:f>
      </x:c>
      <x:c r="L135" s="35" t="str">
        <x:f>IF(J135="","",J135-K135)</x:f>
      </x:c>
      <x:c r="M135" s="35" t="str">
        <x:f>IF(L135="","",L135*I135)</x:f>
      </x:c>
      <x:c r="N135" s="35" t="str">
        <x:f>IF(L135="","",L135+M135)</x:f>
      </x:c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36" t="str">
        <x:f>IF(C136="","",IFERROR(VLOOKUP(C136,'SẢN_PHẨM'!$A$2:$G$500,2,FALSE),""))</x:f>
      </x:c>
      <x:c r="E136" s="36" t="str">
        <x:f>IF(C136="","",IFERROR(VLOOKUP(C136,'SẢN_PHẨM'!$A$2:$G$500,3,FALSE),""))</x:f>
      </x:c>
      <x:c r="F136" s="39"/>
      <x:c r="G136" s="34" t="str">
        <x:f>IF(C136="","",IFERROR(VLOOKUP(C136,'SẢN_PHẨM'!$A$2:$G$500,4,FALSE),""))</x:f>
      </x:c>
      <x:c r="H136" s="43"/>
      <x:c r="I136" s="38" t="str">
        <x:f>IF(C136="","",IFERROR(VLOOKUP(C136,'SẢN_PHẨM'!$A$2:$G$500,6,FALSE),""))</x:f>
      </x:c>
      <x:c r="J136" s="35" t="str">
        <x:f>IF(OR(F136="",G136=""),"",F136*G136)</x:f>
      </x:c>
      <x:c r="K136" s="35" t="str">
        <x:f>IF(J136="","",J136*H136)</x:f>
      </x:c>
      <x:c r="L136" s="35" t="str">
        <x:f>IF(J136="","",J136-K136)</x:f>
      </x:c>
      <x:c r="M136" s="35" t="str">
        <x:f>IF(L136="","",L136*I136)</x:f>
      </x:c>
      <x:c r="N136" s="35" t="str">
        <x:f>IF(L136="","",L136+M136)</x:f>
      </x:c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36" t="str">
        <x:f>IF(C137="","",IFERROR(VLOOKUP(C137,'SẢN_PHẨM'!$A$2:$G$500,2,FALSE),""))</x:f>
      </x:c>
      <x:c r="E137" s="36" t="str">
        <x:f>IF(C137="","",IFERROR(VLOOKUP(C137,'SẢN_PHẨM'!$A$2:$G$500,3,FALSE),""))</x:f>
      </x:c>
      <x:c r="F137" s="39"/>
      <x:c r="G137" s="34" t="str">
        <x:f>IF(C137="","",IFERROR(VLOOKUP(C137,'SẢN_PHẨM'!$A$2:$G$500,4,FALSE),""))</x:f>
      </x:c>
      <x:c r="H137" s="43"/>
      <x:c r="I137" s="38" t="str">
        <x:f>IF(C137="","",IFERROR(VLOOKUP(C137,'SẢN_PHẨM'!$A$2:$G$500,6,FALSE),""))</x:f>
      </x:c>
      <x:c r="J137" s="35" t="str">
        <x:f>IF(OR(F137="",G137=""),"",F137*G137)</x:f>
      </x:c>
      <x:c r="K137" s="35" t="str">
        <x:f>IF(J137="","",J137*H137)</x:f>
      </x:c>
      <x:c r="L137" s="35" t="str">
        <x:f>IF(J137="","",J137-K137)</x:f>
      </x:c>
      <x:c r="M137" s="35" t="str">
        <x:f>IF(L137="","",L137*I137)</x:f>
      </x:c>
      <x:c r="N137" s="35" t="str">
        <x:f>IF(L137="","",L137+M137)</x:f>
      </x:c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36" t="str">
        <x:f>IF(C138="","",IFERROR(VLOOKUP(C138,'SẢN_PHẨM'!$A$2:$G$500,2,FALSE),""))</x:f>
      </x:c>
      <x:c r="E138" s="36" t="str">
        <x:f>IF(C138="","",IFERROR(VLOOKUP(C138,'SẢN_PHẨM'!$A$2:$G$500,3,FALSE),""))</x:f>
      </x:c>
      <x:c r="F138" s="39"/>
      <x:c r="G138" s="34" t="str">
        <x:f>IF(C138="","",IFERROR(VLOOKUP(C138,'SẢN_PHẨM'!$A$2:$G$500,4,FALSE),""))</x:f>
      </x:c>
      <x:c r="H138" s="43"/>
      <x:c r="I138" s="38" t="str">
        <x:f>IF(C138="","",IFERROR(VLOOKUP(C138,'SẢN_PHẨM'!$A$2:$G$500,6,FALSE),""))</x:f>
      </x:c>
      <x:c r="J138" s="35" t="str">
        <x:f>IF(OR(F138="",G138=""),"",F138*G138)</x:f>
      </x:c>
      <x:c r="K138" s="35" t="str">
        <x:f>IF(J138="","",J138*H138)</x:f>
      </x:c>
      <x:c r="L138" s="35" t="str">
        <x:f>IF(J138="","",J138-K138)</x:f>
      </x:c>
      <x:c r="M138" s="35" t="str">
        <x:f>IF(L138="","",L138*I138)</x:f>
      </x:c>
      <x:c r="N138" s="35" t="str">
        <x:f>IF(L138="","",L138+M138)</x:f>
      </x:c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36" t="str">
        <x:f>IF(C139="","",IFERROR(VLOOKUP(C139,'SẢN_PHẨM'!$A$2:$G$500,2,FALSE),""))</x:f>
      </x:c>
      <x:c r="E139" s="36" t="str">
        <x:f>IF(C139="","",IFERROR(VLOOKUP(C139,'SẢN_PHẨM'!$A$2:$G$500,3,FALSE),""))</x:f>
      </x:c>
      <x:c r="F139" s="39"/>
      <x:c r="G139" s="34" t="str">
        <x:f>IF(C139="","",IFERROR(VLOOKUP(C139,'SẢN_PHẨM'!$A$2:$G$500,4,FALSE),""))</x:f>
      </x:c>
      <x:c r="H139" s="43"/>
      <x:c r="I139" s="38" t="str">
        <x:f>IF(C139="","",IFERROR(VLOOKUP(C139,'SẢN_PHẨM'!$A$2:$G$500,6,FALSE),""))</x:f>
      </x:c>
      <x:c r="J139" s="35" t="str">
        <x:f>IF(OR(F139="",G139=""),"",F139*G139)</x:f>
      </x:c>
      <x:c r="K139" s="35" t="str">
        <x:f>IF(J139="","",J139*H139)</x:f>
      </x:c>
      <x:c r="L139" s="35" t="str">
        <x:f>IF(J139="","",J139-K139)</x:f>
      </x:c>
      <x:c r="M139" s="35" t="str">
        <x:f>IF(L139="","",L139*I139)</x:f>
      </x:c>
      <x:c r="N139" s="35" t="str">
        <x:f>IF(L139="","",L139+M139)</x:f>
      </x:c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36" t="str">
        <x:f>IF(C140="","",IFERROR(VLOOKUP(C140,'SẢN_PHẨM'!$A$2:$G$500,2,FALSE),""))</x:f>
      </x:c>
      <x:c r="E140" s="36" t="str">
        <x:f>IF(C140="","",IFERROR(VLOOKUP(C140,'SẢN_PHẨM'!$A$2:$G$500,3,FALSE),""))</x:f>
      </x:c>
      <x:c r="F140" s="39"/>
      <x:c r="G140" s="34" t="str">
        <x:f>IF(C140="","",IFERROR(VLOOKUP(C140,'SẢN_PHẨM'!$A$2:$G$500,4,FALSE),""))</x:f>
      </x:c>
      <x:c r="H140" s="43"/>
      <x:c r="I140" s="38" t="str">
        <x:f>IF(C140="","",IFERROR(VLOOKUP(C140,'SẢN_PHẨM'!$A$2:$G$500,6,FALSE),""))</x:f>
      </x:c>
      <x:c r="J140" s="35" t="str">
        <x:f>IF(OR(F140="",G140=""),"",F140*G140)</x:f>
      </x:c>
      <x:c r="K140" s="35" t="str">
        <x:f>IF(J140="","",J140*H140)</x:f>
      </x:c>
      <x:c r="L140" s="35" t="str">
        <x:f>IF(J140="","",J140-K140)</x:f>
      </x:c>
      <x:c r="M140" s="35" t="str">
        <x:f>IF(L140="","",L140*I140)</x:f>
      </x:c>
      <x:c r="N140" s="35" t="str">
        <x:f>IF(L140="","",L140+M140)</x:f>
      </x:c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36" t="str">
        <x:f>IF(C141="","",IFERROR(VLOOKUP(C141,'SẢN_PHẨM'!$A$2:$G$500,2,FALSE),""))</x:f>
      </x:c>
      <x:c r="E141" s="36" t="str">
        <x:f>IF(C141="","",IFERROR(VLOOKUP(C141,'SẢN_PHẨM'!$A$2:$G$500,3,FALSE),""))</x:f>
      </x:c>
      <x:c r="F141" s="39"/>
      <x:c r="G141" s="34" t="str">
        <x:f>IF(C141="","",IFERROR(VLOOKUP(C141,'SẢN_PHẨM'!$A$2:$G$500,4,FALSE),""))</x:f>
      </x:c>
      <x:c r="H141" s="43"/>
      <x:c r="I141" s="38" t="str">
        <x:f>IF(C141="","",IFERROR(VLOOKUP(C141,'SẢN_PHẨM'!$A$2:$G$500,6,FALSE),""))</x:f>
      </x:c>
      <x:c r="J141" s="35" t="str">
        <x:f>IF(OR(F141="",G141=""),"",F141*G141)</x:f>
      </x:c>
      <x:c r="K141" s="35" t="str">
        <x:f>IF(J141="","",J141*H141)</x:f>
      </x:c>
      <x:c r="L141" s="35" t="str">
        <x:f>IF(J141="","",J141-K141)</x:f>
      </x:c>
      <x:c r="M141" s="35" t="str">
        <x:f>IF(L141="","",L141*I141)</x:f>
      </x:c>
      <x:c r="N141" s="35" t="str">
        <x:f>IF(L141="","",L141+M141)</x:f>
      </x:c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36" t="str">
        <x:f>IF(C142="","",IFERROR(VLOOKUP(C142,'SẢN_PHẨM'!$A$2:$G$500,2,FALSE),""))</x:f>
      </x:c>
      <x:c r="E142" s="36" t="str">
        <x:f>IF(C142="","",IFERROR(VLOOKUP(C142,'SẢN_PHẨM'!$A$2:$G$500,3,FALSE),""))</x:f>
      </x:c>
      <x:c r="F142" s="39"/>
      <x:c r="G142" s="34" t="str">
        <x:f>IF(C142="","",IFERROR(VLOOKUP(C142,'SẢN_PHẨM'!$A$2:$G$500,4,FALSE),""))</x:f>
      </x:c>
      <x:c r="H142" s="43"/>
      <x:c r="I142" s="38" t="str">
        <x:f>IF(C142="","",IFERROR(VLOOKUP(C142,'SẢN_PHẨM'!$A$2:$G$500,6,FALSE),""))</x:f>
      </x:c>
      <x:c r="J142" s="35" t="str">
        <x:f>IF(OR(F142="",G142=""),"",F142*G142)</x:f>
      </x:c>
      <x:c r="K142" s="35" t="str">
        <x:f>IF(J142="","",J142*H142)</x:f>
      </x:c>
      <x:c r="L142" s="35" t="str">
        <x:f>IF(J142="","",J142-K142)</x:f>
      </x:c>
      <x:c r="M142" s="35" t="str">
        <x:f>IF(L142="","",L142*I142)</x:f>
      </x:c>
      <x:c r="N142" s="35" t="str">
        <x:f>IF(L142="","",L142+M142)</x:f>
      </x:c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36" t="str">
        <x:f>IF(C143="","",IFERROR(VLOOKUP(C143,'SẢN_PHẨM'!$A$2:$G$500,2,FALSE),""))</x:f>
      </x:c>
      <x:c r="E143" s="36" t="str">
        <x:f>IF(C143="","",IFERROR(VLOOKUP(C143,'SẢN_PHẨM'!$A$2:$G$500,3,FALSE),""))</x:f>
      </x:c>
      <x:c r="F143" s="39"/>
      <x:c r="G143" s="34" t="str">
        <x:f>IF(C143="","",IFERROR(VLOOKUP(C143,'SẢN_PHẨM'!$A$2:$G$500,4,FALSE),""))</x:f>
      </x:c>
      <x:c r="H143" s="43"/>
      <x:c r="I143" s="38" t="str">
        <x:f>IF(C143="","",IFERROR(VLOOKUP(C143,'SẢN_PHẨM'!$A$2:$G$500,6,FALSE),""))</x:f>
      </x:c>
      <x:c r="J143" s="35" t="str">
        <x:f>IF(OR(F143="",G143=""),"",F143*G143)</x:f>
      </x:c>
      <x:c r="K143" s="35" t="str">
        <x:f>IF(J143="","",J143*H143)</x:f>
      </x:c>
      <x:c r="L143" s="35" t="str">
        <x:f>IF(J143="","",J143-K143)</x:f>
      </x:c>
      <x:c r="M143" s="35" t="str">
        <x:f>IF(L143="","",L143*I143)</x:f>
      </x:c>
      <x:c r="N143" s="35" t="str">
        <x:f>IF(L143="","",L143+M143)</x:f>
      </x:c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36" t="str">
        <x:f>IF(C144="","",IFERROR(VLOOKUP(C144,'SẢN_PHẨM'!$A$2:$G$500,2,FALSE),""))</x:f>
      </x:c>
      <x:c r="E144" s="36" t="str">
        <x:f>IF(C144="","",IFERROR(VLOOKUP(C144,'SẢN_PHẨM'!$A$2:$G$500,3,FALSE),""))</x:f>
      </x:c>
      <x:c r="F144" s="39"/>
      <x:c r="G144" s="34" t="str">
        <x:f>IF(C144="","",IFERROR(VLOOKUP(C144,'SẢN_PHẨM'!$A$2:$G$500,4,FALSE),""))</x:f>
      </x:c>
      <x:c r="H144" s="43"/>
      <x:c r="I144" s="38" t="str">
        <x:f>IF(C144="","",IFERROR(VLOOKUP(C144,'SẢN_PHẨM'!$A$2:$G$500,6,FALSE),""))</x:f>
      </x:c>
      <x:c r="J144" s="35" t="str">
        <x:f>IF(OR(F144="",G144=""),"",F144*G144)</x:f>
      </x:c>
      <x:c r="K144" s="35" t="str">
        <x:f>IF(J144="","",J144*H144)</x:f>
      </x:c>
      <x:c r="L144" s="35" t="str">
        <x:f>IF(J144="","",J144-K144)</x:f>
      </x:c>
      <x:c r="M144" s="35" t="str">
        <x:f>IF(L144="","",L144*I144)</x:f>
      </x:c>
      <x:c r="N144" s="35" t="str">
        <x:f>IF(L144="","",L144+M144)</x:f>
      </x:c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36" t="str">
        <x:f>IF(C145="","",IFERROR(VLOOKUP(C145,'SẢN_PHẨM'!$A$2:$G$500,2,FALSE),""))</x:f>
      </x:c>
      <x:c r="E145" s="36" t="str">
        <x:f>IF(C145="","",IFERROR(VLOOKUP(C145,'SẢN_PHẨM'!$A$2:$G$500,3,FALSE),""))</x:f>
      </x:c>
      <x:c r="F145" s="39"/>
      <x:c r="G145" s="34" t="str">
        <x:f>IF(C145="","",IFERROR(VLOOKUP(C145,'SẢN_PHẨM'!$A$2:$G$500,4,FALSE),""))</x:f>
      </x:c>
      <x:c r="H145" s="43"/>
      <x:c r="I145" s="38" t="str">
        <x:f>IF(C145="","",IFERROR(VLOOKUP(C145,'SẢN_PHẨM'!$A$2:$G$500,6,FALSE),""))</x:f>
      </x:c>
      <x:c r="J145" s="35" t="str">
        <x:f>IF(OR(F145="",G145=""),"",F145*G145)</x:f>
      </x:c>
      <x:c r="K145" s="35" t="str">
        <x:f>IF(J145="","",J145*H145)</x:f>
      </x:c>
      <x:c r="L145" s="35" t="str">
        <x:f>IF(J145="","",J145-K145)</x:f>
      </x:c>
      <x:c r="M145" s="35" t="str">
        <x:f>IF(L145="","",L145*I145)</x:f>
      </x:c>
      <x:c r="N145" s="35" t="str">
        <x:f>IF(L145="","",L145+M145)</x:f>
      </x:c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36" t="str">
        <x:f>IF(C146="","",IFERROR(VLOOKUP(C146,'SẢN_PHẨM'!$A$2:$G$500,2,FALSE),""))</x:f>
      </x:c>
      <x:c r="E146" s="36" t="str">
        <x:f>IF(C146="","",IFERROR(VLOOKUP(C146,'SẢN_PHẨM'!$A$2:$G$500,3,FALSE),""))</x:f>
      </x:c>
      <x:c r="F146" s="39"/>
      <x:c r="G146" s="34" t="str">
        <x:f>IF(C146="","",IFERROR(VLOOKUP(C146,'SẢN_PHẨM'!$A$2:$G$500,4,FALSE),""))</x:f>
      </x:c>
      <x:c r="H146" s="43"/>
      <x:c r="I146" s="38" t="str">
        <x:f>IF(C146="","",IFERROR(VLOOKUP(C146,'SẢN_PHẨM'!$A$2:$G$500,6,FALSE),""))</x:f>
      </x:c>
      <x:c r="J146" s="35" t="str">
        <x:f>IF(OR(F146="",G146=""),"",F146*G146)</x:f>
      </x:c>
      <x:c r="K146" s="35" t="str">
        <x:f>IF(J146="","",J146*H146)</x:f>
      </x:c>
      <x:c r="L146" s="35" t="str">
        <x:f>IF(J146="","",J146-K146)</x:f>
      </x:c>
      <x:c r="M146" s="35" t="str">
        <x:f>IF(L146="","",L146*I146)</x:f>
      </x:c>
      <x:c r="N146" s="35" t="str">
        <x:f>IF(L146="","",L146+M146)</x:f>
      </x:c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36" t="str">
        <x:f>IF(C147="","",IFERROR(VLOOKUP(C147,'SẢN_PHẨM'!$A$2:$G$500,2,FALSE),""))</x:f>
      </x:c>
      <x:c r="E147" s="36" t="str">
        <x:f>IF(C147="","",IFERROR(VLOOKUP(C147,'SẢN_PHẨM'!$A$2:$G$500,3,FALSE),""))</x:f>
      </x:c>
      <x:c r="F147" s="39"/>
      <x:c r="G147" s="34" t="str">
        <x:f>IF(C147="","",IFERROR(VLOOKUP(C147,'SẢN_PHẨM'!$A$2:$G$500,4,FALSE),""))</x:f>
      </x:c>
      <x:c r="H147" s="43"/>
      <x:c r="I147" s="38" t="str">
        <x:f>IF(C147="","",IFERROR(VLOOKUP(C147,'SẢN_PHẨM'!$A$2:$G$500,6,FALSE),""))</x:f>
      </x:c>
      <x:c r="J147" s="35" t="str">
        <x:f>IF(OR(F147="",G147=""),"",F147*G147)</x:f>
      </x:c>
      <x:c r="K147" s="35" t="str">
        <x:f>IF(J147="","",J147*H147)</x:f>
      </x:c>
      <x:c r="L147" s="35" t="str">
        <x:f>IF(J147="","",J147-K147)</x:f>
      </x:c>
      <x:c r="M147" s="35" t="str">
        <x:f>IF(L147="","",L147*I147)</x:f>
      </x:c>
      <x:c r="N147" s="35" t="str">
        <x:f>IF(L147="","",L147+M147)</x:f>
      </x:c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36" t="str">
        <x:f>IF(C148="","",IFERROR(VLOOKUP(C148,'SẢN_PHẨM'!$A$2:$G$500,2,FALSE),""))</x:f>
      </x:c>
      <x:c r="E148" s="36" t="str">
        <x:f>IF(C148="","",IFERROR(VLOOKUP(C148,'SẢN_PHẨM'!$A$2:$G$500,3,FALSE),""))</x:f>
      </x:c>
      <x:c r="F148" s="39"/>
      <x:c r="G148" s="34" t="str">
        <x:f>IF(C148="","",IFERROR(VLOOKUP(C148,'SẢN_PHẨM'!$A$2:$G$500,4,FALSE),""))</x:f>
      </x:c>
      <x:c r="H148" s="43"/>
      <x:c r="I148" s="38" t="str">
        <x:f>IF(C148="","",IFERROR(VLOOKUP(C148,'SẢN_PHẨM'!$A$2:$G$500,6,FALSE),""))</x:f>
      </x:c>
      <x:c r="J148" s="35" t="str">
        <x:f>IF(OR(F148="",G148=""),"",F148*G148)</x:f>
      </x:c>
      <x:c r="K148" s="35" t="str">
        <x:f>IF(J148="","",J148*H148)</x:f>
      </x:c>
      <x:c r="L148" s="35" t="str">
        <x:f>IF(J148="","",J148-K148)</x:f>
      </x:c>
      <x:c r="M148" s="35" t="str">
        <x:f>IF(L148="","",L148*I148)</x:f>
      </x:c>
      <x:c r="N148" s="35" t="str">
        <x:f>IF(L148="","",L148+M148)</x:f>
      </x:c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36" t="str">
        <x:f>IF(C149="","",IFERROR(VLOOKUP(C149,'SẢN_PHẨM'!$A$2:$G$500,2,FALSE),""))</x:f>
      </x:c>
      <x:c r="E149" s="36" t="str">
        <x:f>IF(C149="","",IFERROR(VLOOKUP(C149,'SẢN_PHẨM'!$A$2:$G$500,3,FALSE),""))</x:f>
      </x:c>
      <x:c r="F149" s="39"/>
      <x:c r="G149" s="34" t="str">
        <x:f>IF(C149="","",IFERROR(VLOOKUP(C149,'SẢN_PHẨM'!$A$2:$G$500,4,FALSE),""))</x:f>
      </x:c>
      <x:c r="H149" s="43"/>
      <x:c r="I149" s="38" t="str">
        <x:f>IF(C149="","",IFERROR(VLOOKUP(C149,'SẢN_PHẨM'!$A$2:$G$500,6,FALSE),""))</x:f>
      </x:c>
      <x:c r="J149" s="35" t="str">
        <x:f>IF(OR(F149="",G149=""),"",F149*G149)</x:f>
      </x:c>
      <x:c r="K149" s="35" t="str">
        <x:f>IF(J149="","",J149*H149)</x:f>
      </x:c>
      <x:c r="L149" s="35" t="str">
        <x:f>IF(J149="","",J149-K149)</x:f>
      </x:c>
      <x:c r="M149" s="35" t="str">
        <x:f>IF(L149="","",L149*I149)</x:f>
      </x:c>
      <x:c r="N149" s="35" t="str">
        <x:f>IF(L149="","",L149+M149)</x:f>
      </x:c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36" t="str">
        <x:f>IF(C150="","",IFERROR(VLOOKUP(C150,'SẢN_PHẨM'!$A$2:$G$500,2,FALSE),""))</x:f>
      </x:c>
      <x:c r="E150" s="36" t="str">
        <x:f>IF(C150="","",IFERROR(VLOOKUP(C150,'SẢN_PHẨM'!$A$2:$G$500,3,FALSE),""))</x:f>
      </x:c>
      <x:c r="F150" s="39"/>
      <x:c r="G150" s="34" t="str">
        <x:f>IF(C150="","",IFERROR(VLOOKUP(C150,'SẢN_PHẨM'!$A$2:$G$500,4,FALSE),""))</x:f>
      </x:c>
      <x:c r="H150" s="43"/>
      <x:c r="I150" s="38" t="str">
        <x:f>IF(C150="","",IFERROR(VLOOKUP(C150,'SẢN_PHẨM'!$A$2:$G$500,6,FALSE),""))</x:f>
      </x:c>
      <x:c r="J150" s="35" t="str">
        <x:f>IF(OR(F150="",G150=""),"",F150*G150)</x:f>
      </x:c>
      <x:c r="K150" s="35" t="str">
        <x:f>IF(J150="","",J150*H150)</x:f>
      </x:c>
      <x:c r="L150" s="35" t="str">
        <x:f>IF(J150="","",J150-K150)</x:f>
      </x:c>
      <x:c r="M150" s="35" t="str">
        <x:f>IF(L150="","",L150*I150)</x:f>
      </x:c>
      <x:c r="N150" s="35" t="str">
        <x:f>IF(L150="","",L150+M150)</x:f>
      </x:c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36" t="str">
        <x:f>IF(C151="","",IFERROR(VLOOKUP(C151,'SẢN_PHẨM'!$A$2:$G$500,2,FALSE),""))</x:f>
      </x:c>
      <x:c r="E151" s="36" t="str">
        <x:f>IF(C151="","",IFERROR(VLOOKUP(C151,'SẢN_PHẨM'!$A$2:$G$500,3,FALSE),""))</x:f>
      </x:c>
      <x:c r="F151" s="39"/>
      <x:c r="G151" s="34" t="str">
        <x:f>IF(C151="","",IFERROR(VLOOKUP(C151,'SẢN_PHẨM'!$A$2:$G$500,4,FALSE),""))</x:f>
      </x:c>
      <x:c r="H151" s="43"/>
      <x:c r="I151" s="38" t="str">
        <x:f>IF(C151="","",IFERROR(VLOOKUP(C151,'SẢN_PHẨM'!$A$2:$G$500,6,FALSE),""))</x:f>
      </x:c>
      <x:c r="J151" s="35" t="str">
        <x:f>IF(OR(F151="",G151=""),"",F151*G151)</x:f>
      </x:c>
      <x:c r="K151" s="35" t="str">
        <x:f>IF(J151="","",J151*H151)</x:f>
      </x:c>
      <x:c r="L151" s="35" t="str">
        <x:f>IF(J151="","",J151-K151)</x:f>
      </x:c>
      <x:c r="M151" s="35" t="str">
        <x:f>IF(L151="","",L151*I151)</x:f>
      </x:c>
      <x:c r="N151" s="35" t="str">
        <x:f>IF(L151="","",L151+M151)</x:f>
      </x:c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36" t="str">
        <x:f>IF(C152="","",IFERROR(VLOOKUP(C152,'SẢN_PHẨM'!$A$2:$G$500,2,FALSE),""))</x:f>
      </x:c>
      <x:c r="E152" s="36" t="str">
        <x:f>IF(C152="","",IFERROR(VLOOKUP(C152,'SẢN_PHẨM'!$A$2:$G$500,3,FALSE),""))</x:f>
      </x:c>
      <x:c r="F152" s="39"/>
      <x:c r="G152" s="34" t="str">
        <x:f>IF(C152="","",IFERROR(VLOOKUP(C152,'SẢN_PHẨM'!$A$2:$G$500,4,FALSE),""))</x:f>
      </x:c>
      <x:c r="H152" s="43"/>
      <x:c r="I152" s="38" t="str">
        <x:f>IF(C152="","",IFERROR(VLOOKUP(C152,'SẢN_PHẨM'!$A$2:$G$500,6,FALSE),""))</x:f>
      </x:c>
      <x:c r="J152" s="35" t="str">
        <x:f>IF(OR(F152="",G152=""),"",F152*G152)</x:f>
      </x:c>
      <x:c r="K152" s="35" t="str">
        <x:f>IF(J152="","",J152*H152)</x:f>
      </x:c>
      <x:c r="L152" s="35" t="str">
        <x:f>IF(J152="","",J152-K152)</x:f>
      </x:c>
      <x:c r="M152" s="35" t="str">
        <x:f>IF(L152="","",L152*I152)</x:f>
      </x:c>
      <x:c r="N152" s="35" t="str">
        <x:f>IF(L152="","",L152+M152)</x:f>
      </x:c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36" t="str">
        <x:f>IF(C153="","",IFERROR(VLOOKUP(C153,'SẢN_PHẨM'!$A$2:$G$500,2,FALSE),""))</x:f>
      </x:c>
      <x:c r="E153" s="36" t="str">
        <x:f>IF(C153="","",IFERROR(VLOOKUP(C153,'SẢN_PHẨM'!$A$2:$G$500,3,FALSE),""))</x:f>
      </x:c>
      <x:c r="F153" s="39"/>
      <x:c r="G153" s="34" t="str">
        <x:f>IF(C153="","",IFERROR(VLOOKUP(C153,'SẢN_PHẨM'!$A$2:$G$500,4,FALSE),""))</x:f>
      </x:c>
      <x:c r="H153" s="43"/>
      <x:c r="I153" s="38" t="str">
        <x:f>IF(C153="","",IFERROR(VLOOKUP(C153,'SẢN_PHẨM'!$A$2:$G$500,6,FALSE),""))</x:f>
      </x:c>
      <x:c r="J153" s="35" t="str">
        <x:f>IF(OR(F153="",G153=""),"",F153*G153)</x:f>
      </x:c>
      <x:c r="K153" s="35" t="str">
        <x:f>IF(J153="","",J153*H153)</x:f>
      </x:c>
      <x:c r="L153" s="35" t="str">
        <x:f>IF(J153="","",J153-K153)</x:f>
      </x:c>
      <x:c r="M153" s="35" t="str">
        <x:f>IF(L153="","",L153*I153)</x:f>
      </x:c>
      <x:c r="N153" s="35" t="str">
        <x:f>IF(L153="","",L153+M153)</x:f>
      </x:c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36" t="str">
        <x:f>IF(C154="","",IFERROR(VLOOKUP(C154,'SẢN_PHẨM'!$A$2:$G$500,2,FALSE),""))</x:f>
      </x:c>
      <x:c r="E154" s="36" t="str">
        <x:f>IF(C154="","",IFERROR(VLOOKUP(C154,'SẢN_PHẨM'!$A$2:$G$500,3,FALSE),""))</x:f>
      </x:c>
      <x:c r="F154" s="39"/>
      <x:c r="G154" s="34" t="str">
        <x:f>IF(C154="","",IFERROR(VLOOKUP(C154,'SẢN_PHẨM'!$A$2:$G$500,4,FALSE),""))</x:f>
      </x:c>
      <x:c r="H154" s="43"/>
      <x:c r="I154" s="38" t="str">
        <x:f>IF(C154="","",IFERROR(VLOOKUP(C154,'SẢN_PHẨM'!$A$2:$G$500,6,FALSE),""))</x:f>
      </x:c>
      <x:c r="J154" s="35" t="str">
        <x:f>IF(OR(F154="",G154=""),"",F154*G154)</x:f>
      </x:c>
      <x:c r="K154" s="35" t="str">
        <x:f>IF(J154="","",J154*H154)</x:f>
      </x:c>
      <x:c r="L154" s="35" t="str">
        <x:f>IF(J154="","",J154-K154)</x:f>
      </x:c>
      <x:c r="M154" s="35" t="str">
        <x:f>IF(L154="","",L154*I154)</x:f>
      </x:c>
      <x:c r="N154" s="35" t="str">
        <x:f>IF(L154="","",L154+M154)</x:f>
      </x:c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36" t="str">
        <x:f>IF(C155="","",IFERROR(VLOOKUP(C155,'SẢN_PHẨM'!$A$2:$G$500,2,FALSE),""))</x:f>
      </x:c>
      <x:c r="E155" s="36" t="str">
        <x:f>IF(C155="","",IFERROR(VLOOKUP(C155,'SẢN_PHẨM'!$A$2:$G$500,3,FALSE),""))</x:f>
      </x:c>
      <x:c r="F155" s="39"/>
      <x:c r="G155" s="34" t="str">
        <x:f>IF(C155="","",IFERROR(VLOOKUP(C155,'SẢN_PHẨM'!$A$2:$G$500,4,FALSE),""))</x:f>
      </x:c>
      <x:c r="H155" s="43"/>
      <x:c r="I155" s="38" t="str">
        <x:f>IF(C155="","",IFERROR(VLOOKUP(C155,'SẢN_PHẨM'!$A$2:$G$500,6,FALSE),""))</x:f>
      </x:c>
      <x:c r="J155" s="35" t="str">
        <x:f>IF(OR(F155="",G155=""),"",F155*G155)</x:f>
      </x:c>
      <x:c r="K155" s="35" t="str">
        <x:f>IF(J155="","",J155*H155)</x:f>
      </x:c>
      <x:c r="L155" s="35" t="str">
        <x:f>IF(J155="","",J155-K155)</x:f>
      </x:c>
      <x:c r="M155" s="35" t="str">
        <x:f>IF(L155="","",L155*I155)</x:f>
      </x:c>
      <x:c r="N155" s="35" t="str">
        <x:f>IF(L155="","",L155+M155)</x:f>
      </x:c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36" t="str">
        <x:f>IF(C156="","",IFERROR(VLOOKUP(C156,'SẢN_PHẨM'!$A$2:$G$500,2,FALSE),""))</x:f>
      </x:c>
      <x:c r="E156" s="36" t="str">
        <x:f>IF(C156="","",IFERROR(VLOOKUP(C156,'SẢN_PHẨM'!$A$2:$G$500,3,FALSE),""))</x:f>
      </x:c>
      <x:c r="F156" s="39"/>
      <x:c r="G156" s="34" t="str">
        <x:f>IF(C156="","",IFERROR(VLOOKUP(C156,'SẢN_PHẨM'!$A$2:$G$500,4,FALSE),""))</x:f>
      </x:c>
      <x:c r="H156" s="43"/>
      <x:c r="I156" s="38" t="str">
        <x:f>IF(C156="","",IFERROR(VLOOKUP(C156,'SẢN_PHẨM'!$A$2:$G$500,6,FALSE),""))</x:f>
      </x:c>
      <x:c r="J156" s="35" t="str">
        <x:f>IF(OR(F156="",G156=""),"",F156*G156)</x:f>
      </x:c>
      <x:c r="K156" s="35" t="str">
        <x:f>IF(J156="","",J156*H156)</x:f>
      </x:c>
      <x:c r="L156" s="35" t="str">
        <x:f>IF(J156="","",J156-K156)</x:f>
      </x:c>
      <x:c r="M156" s="35" t="str">
        <x:f>IF(L156="","",L156*I156)</x:f>
      </x:c>
      <x:c r="N156" s="35" t="str">
        <x:f>IF(L156="","",L156+M156)</x:f>
      </x:c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36" t="str">
        <x:f>IF(C157="","",IFERROR(VLOOKUP(C157,'SẢN_PHẨM'!$A$2:$G$500,2,FALSE),""))</x:f>
      </x:c>
      <x:c r="E157" s="36" t="str">
        <x:f>IF(C157="","",IFERROR(VLOOKUP(C157,'SẢN_PHẨM'!$A$2:$G$500,3,FALSE),""))</x:f>
      </x:c>
      <x:c r="F157" s="39"/>
      <x:c r="G157" s="34" t="str">
        <x:f>IF(C157="","",IFERROR(VLOOKUP(C157,'SẢN_PHẨM'!$A$2:$G$500,4,FALSE),""))</x:f>
      </x:c>
      <x:c r="H157" s="43"/>
      <x:c r="I157" s="38" t="str">
        <x:f>IF(C157="","",IFERROR(VLOOKUP(C157,'SẢN_PHẨM'!$A$2:$G$500,6,FALSE),""))</x:f>
      </x:c>
      <x:c r="J157" s="35" t="str">
        <x:f>IF(OR(F157="",G157=""),"",F157*G157)</x:f>
      </x:c>
      <x:c r="K157" s="35" t="str">
        <x:f>IF(J157="","",J157*H157)</x:f>
      </x:c>
      <x:c r="L157" s="35" t="str">
        <x:f>IF(J157="","",J157-K157)</x:f>
      </x:c>
      <x:c r="M157" s="35" t="str">
        <x:f>IF(L157="","",L157*I157)</x:f>
      </x:c>
      <x:c r="N157" s="35" t="str">
        <x:f>IF(L157="","",L157+M157)</x:f>
      </x:c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36" t="str">
        <x:f>IF(C158="","",IFERROR(VLOOKUP(C158,'SẢN_PHẨM'!$A$2:$G$500,2,FALSE),""))</x:f>
      </x:c>
      <x:c r="E158" s="36" t="str">
        <x:f>IF(C158="","",IFERROR(VLOOKUP(C158,'SẢN_PHẨM'!$A$2:$G$500,3,FALSE),""))</x:f>
      </x:c>
      <x:c r="F158" s="39"/>
      <x:c r="G158" s="34" t="str">
        <x:f>IF(C158="","",IFERROR(VLOOKUP(C158,'SẢN_PHẨM'!$A$2:$G$500,4,FALSE),""))</x:f>
      </x:c>
      <x:c r="H158" s="43"/>
      <x:c r="I158" s="38" t="str">
        <x:f>IF(C158="","",IFERROR(VLOOKUP(C158,'SẢN_PHẨM'!$A$2:$G$500,6,FALSE),""))</x:f>
      </x:c>
      <x:c r="J158" s="35" t="str">
        <x:f>IF(OR(F158="",G158=""),"",F158*G158)</x:f>
      </x:c>
      <x:c r="K158" s="35" t="str">
        <x:f>IF(J158="","",J158*H158)</x:f>
      </x:c>
      <x:c r="L158" s="35" t="str">
        <x:f>IF(J158="","",J158-K158)</x:f>
      </x:c>
      <x:c r="M158" s="35" t="str">
        <x:f>IF(L158="","",L158*I158)</x:f>
      </x:c>
      <x:c r="N158" s="35" t="str">
        <x:f>IF(L158="","",L158+M158)</x:f>
      </x:c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36" t="str">
        <x:f>IF(C159="","",IFERROR(VLOOKUP(C159,'SẢN_PHẨM'!$A$2:$G$500,2,FALSE),""))</x:f>
      </x:c>
      <x:c r="E159" s="36" t="str">
        <x:f>IF(C159="","",IFERROR(VLOOKUP(C159,'SẢN_PHẨM'!$A$2:$G$500,3,FALSE),""))</x:f>
      </x:c>
      <x:c r="F159" s="39"/>
      <x:c r="G159" s="34" t="str">
        <x:f>IF(C159="","",IFERROR(VLOOKUP(C159,'SẢN_PHẨM'!$A$2:$G$500,4,FALSE),""))</x:f>
      </x:c>
      <x:c r="H159" s="43"/>
      <x:c r="I159" s="38" t="str">
        <x:f>IF(C159="","",IFERROR(VLOOKUP(C159,'SẢN_PHẨM'!$A$2:$G$500,6,FALSE),""))</x:f>
      </x:c>
      <x:c r="J159" s="35" t="str">
        <x:f>IF(OR(F159="",G159=""),"",F159*G159)</x:f>
      </x:c>
      <x:c r="K159" s="35" t="str">
        <x:f>IF(J159="","",J159*H159)</x:f>
      </x:c>
      <x:c r="L159" s="35" t="str">
        <x:f>IF(J159="","",J159-K159)</x:f>
      </x:c>
      <x:c r="M159" s="35" t="str">
        <x:f>IF(L159="","",L159*I159)</x:f>
      </x:c>
      <x:c r="N159" s="35" t="str">
        <x:f>IF(L159="","",L159+M159)</x:f>
      </x:c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36" t="str">
        <x:f>IF(C160="","",IFERROR(VLOOKUP(C160,'SẢN_PHẨM'!$A$2:$G$500,2,FALSE),""))</x:f>
      </x:c>
      <x:c r="E160" s="36" t="str">
        <x:f>IF(C160="","",IFERROR(VLOOKUP(C160,'SẢN_PHẨM'!$A$2:$G$500,3,FALSE),""))</x:f>
      </x:c>
      <x:c r="F160" s="39"/>
      <x:c r="G160" s="34" t="str">
        <x:f>IF(C160="","",IFERROR(VLOOKUP(C160,'SẢN_PHẨM'!$A$2:$G$500,4,FALSE),""))</x:f>
      </x:c>
      <x:c r="H160" s="43"/>
      <x:c r="I160" s="38" t="str">
        <x:f>IF(C160="","",IFERROR(VLOOKUP(C160,'SẢN_PHẨM'!$A$2:$G$500,6,FALSE),""))</x:f>
      </x:c>
      <x:c r="J160" s="35" t="str">
        <x:f>IF(OR(F160="",G160=""),"",F160*G160)</x:f>
      </x:c>
      <x:c r="K160" s="35" t="str">
        <x:f>IF(J160="","",J160*H160)</x:f>
      </x:c>
      <x:c r="L160" s="35" t="str">
        <x:f>IF(J160="","",J160-K160)</x:f>
      </x:c>
      <x:c r="M160" s="35" t="str">
        <x:f>IF(L160="","",L160*I160)</x:f>
      </x:c>
      <x:c r="N160" s="35" t="str">
        <x:f>IF(L160="","",L160+M160)</x:f>
      </x:c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36" t="str">
        <x:f>IF(C161="","",IFERROR(VLOOKUP(C161,'SẢN_PHẨM'!$A$2:$G$500,2,FALSE),""))</x:f>
      </x:c>
      <x:c r="E161" s="36" t="str">
        <x:f>IF(C161="","",IFERROR(VLOOKUP(C161,'SẢN_PHẨM'!$A$2:$G$500,3,FALSE),""))</x:f>
      </x:c>
      <x:c r="F161" s="39"/>
      <x:c r="G161" s="34" t="str">
        <x:f>IF(C161="","",IFERROR(VLOOKUP(C161,'SẢN_PHẨM'!$A$2:$G$500,4,FALSE),""))</x:f>
      </x:c>
      <x:c r="H161" s="43"/>
      <x:c r="I161" s="38" t="str">
        <x:f>IF(C161="","",IFERROR(VLOOKUP(C161,'SẢN_PHẨM'!$A$2:$G$500,6,FALSE),""))</x:f>
      </x:c>
      <x:c r="J161" s="35" t="str">
        <x:f>IF(OR(F161="",G161=""),"",F161*G161)</x:f>
      </x:c>
      <x:c r="K161" s="35" t="str">
        <x:f>IF(J161="","",J161*H161)</x:f>
      </x:c>
      <x:c r="L161" s="35" t="str">
        <x:f>IF(J161="","",J161-K161)</x:f>
      </x:c>
      <x:c r="M161" s="35" t="str">
        <x:f>IF(L161="","",L161*I161)</x:f>
      </x:c>
      <x:c r="N161" s="35" t="str">
        <x:f>IF(L161="","",L161+M161)</x:f>
      </x:c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36" t="str">
        <x:f>IF(C162="","",IFERROR(VLOOKUP(C162,'SẢN_PHẨM'!$A$2:$G$500,2,FALSE),""))</x:f>
      </x:c>
      <x:c r="E162" s="36" t="str">
        <x:f>IF(C162="","",IFERROR(VLOOKUP(C162,'SẢN_PHẨM'!$A$2:$G$500,3,FALSE),""))</x:f>
      </x:c>
      <x:c r="F162" s="39"/>
      <x:c r="G162" s="34" t="str">
        <x:f>IF(C162="","",IFERROR(VLOOKUP(C162,'SẢN_PHẨM'!$A$2:$G$500,4,FALSE),""))</x:f>
      </x:c>
      <x:c r="H162" s="43"/>
      <x:c r="I162" s="38" t="str">
        <x:f>IF(C162="","",IFERROR(VLOOKUP(C162,'SẢN_PHẨM'!$A$2:$G$500,6,FALSE),""))</x:f>
      </x:c>
      <x:c r="J162" s="35" t="str">
        <x:f>IF(OR(F162="",G162=""),"",F162*G162)</x:f>
      </x:c>
      <x:c r="K162" s="35" t="str">
        <x:f>IF(J162="","",J162*H162)</x:f>
      </x:c>
      <x:c r="L162" s="35" t="str">
        <x:f>IF(J162="","",J162-K162)</x:f>
      </x:c>
      <x:c r="M162" s="35" t="str">
        <x:f>IF(L162="","",L162*I162)</x:f>
      </x:c>
      <x:c r="N162" s="35" t="str">
        <x:f>IF(L162="","",L162+M162)</x:f>
      </x:c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36" t="str">
        <x:f>IF(C163="","",IFERROR(VLOOKUP(C163,'SẢN_PHẨM'!$A$2:$G$500,2,FALSE),""))</x:f>
      </x:c>
      <x:c r="E163" s="36" t="str">
        <x:f>IF(C163="","",IFERROR(VLOOKUP(C163,'SẢN_PHẨM'!$A$2:$G$500,3,FALSE),""))</x:f>
      </x:c>
      <x:c r="F163" s="39"/>
      <x:c r="G163" s="34" t="str">
        <x:f>IF(C163="","",IFERROR(VLOOKUP(C163,'SẢN_PHẨM'!$A$2:$G$500,4,FALSE),""))</x:f>
      </x:c>
      <x:c r="H163" s="43"/>
      <x:c r="I163" s="38" t="str">
        <x:f>IF(C163="","",IFERROR(VLOOKUP(C163,'SẢN_PHẨM'!$A$2:$G$500,6,FALSE),""))</x:f>
      </x:c>
      <x:c r="J163" s="35" t="str">
        <x:f>IF(OR(F163="",G163=""),"",F163*G163)</x:f>
      </x:c>
      <x:c r="K163" s="35" t="str">
        <x:f>IF(J163="","",J163*H163)</x:f>
      </x:c>
      <x:c r="L163" s="35" t="str">
        <x:f>IF(J163="","",J163-K163)</x:f>
      </x:c>
      <x:c r="M163" s="35" t="str">
        <x:f>IF(L163="","",L163*I163)</x:f>
      </x:c>
      <x:c r="N163" s="35" t="str">
        <x:f>IF(L163="","",L163+M163)</x:f>
      </x:c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36" t="str">
        <x:f>IF(C164="","",IFERROR(VLOOKUP(C164,'SẢN_PHẨM'!$A$2:$G$500,2,FALSE),""))</x:f>
      </x:c>
      <x:c r="E164" s="36" t="str">
        <x:f>IF(C164="","",IFERROR(VLOOKUP(C164,'SẢN_PHẨM'!$A$2:$G$500,3,FALSE),""))</x:f>
      </x:c>
      <x:c r="F164" s="39"/>
      <x:c r="G164" s="34" t="str">
        <x:f>IF(C164="","",IFERROR(VLOOKUP(C164,'SẢN_PHẨM'!$A$2:$G$500,4,FALSE),""))</x:f>
      </x:c>
      <x:c r="H164" s="43"/>
      <x:c r="I164" s="38" t="str">
        <x:f>IF(C164="","",IFERROR(VLOOKUP(C164,'SẢN_PHẨM'!$A$2:$G$500,6,FALSE),""))</x:f>
      </x:c>
      <x:c r="J164" s="35" t="str">
        <x:f>IF(OR(F164="",G164=""),"",F164*G164)</x:f>
      </x:c>
      <x:c r="K164" s="35" t="str">
        <x:f>IF(J164="","",J164*H164)</x:f>
      </x:c>
      <x:c r="L164" s="35" t="str">
        <x:f>IF(J164="","",J164-K164)</x:f>
      </x:c>
      <x:c r="M164" s="35" t="str">
        <x:f>IF(L164="","",L164*I164)</x:f>
      </x:c>
      <x:c r="N164" s="35" t="str">
        <x:f>IF(L164="","",L164+M164)</x:f>
      </x:c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36" t="str">
        <x:f>IF(C165="","",IFERROR(VLOOKUP(C165,'SẢN_PHẨM'!$A$2:$G$500,2,FALSE),""))</x:f>
      </x:c>
      <x:c r="E165" s="36" t="str">
        <x:f>IF(C165="","",IFERROR(VLOOKUP(C165,'SẢN_PHẨM'!$A$2:$G$500,3,FALSE),""))</x:f>
      </x:c>
      <x:c r="F165" s="39"/>
      <x:c r="G165" s="34" t="str">
        <x:f>IF(C165="","",IFERROR(VLOOKUP(C165,'SẢN_PHẨM'!$A$2:$G$500,4,FALSE),""))</x:f>
      </x:c>
      <x:c r="H165" s="43"/>
      <x:c r="I165" s="38" t="str">
        <x:f>IF(C165="","",IFERROR(VLOOKUP(C165,'SẢN_PHẨM'!$A$2:$G$500,6,FALSE),""))</x:f>
      </x:c>
      <x:c r="J165" s="35" t="str">
        <x:f>IF(OR(F165="",G165=""),"",F165*G165)</x:f>
      </x:c>
      <x:c r="K165" s="35" t="str">
        <x:f>IF(J165="","",J165*H165)</x:f>
      </x:c>
      <x:c r="L165" s="35" t="str">
        <x:f>IF(J165="","",J165-K165)</x:f>
      </x:c>
      <x:c r="M165" s="35" t="str">
        <x:f>IF(L165="","",L165*I165)</x:f>
      </x:c>
      <x:c r="N165" s="35" t="str">
        <x:f>IF(L165="","",L165+M165)</x:f>
      </x:c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36" t="str">
        <x:f>IF(C166="","",IFERROR(VLOOKUP(C166,'SẢN_PHẨM'!$A$2:$G$500,2,FALSE),""))</x:f>
      </x:c>
      <x:c r="E166" s="36" t="str">
        <x:f>IF(C166="","",IFERROR(VLOOKUP(C166,'SẢN_PHẨM'!$A$2:$G$500,3,FALSE),""))</x:f>
      </x:c>
      <x:c r="F166" s="39"/>
      <x:c r="G166" s="34" t="str">
        <x:f>IF(C166="","",IFERROR(VLOOKUP(C166,'SẢN_PHẨM'!$A$2:$G$500,4,FALSE),""))</x:f>
      </x:c>
      <x:c r="H166" s="43"/>
      <x:c r="I166" s="38" t="str">
        <x:f>IF(C166="","",IFERROR(VLOOKUP(C166,'SẢN_PHẨM'!$A$2:$G$500,6,FALSE),""))</x:f>
      </x:c>
      <x:c r="J166" s="35" t="str">
        <x:f>IF(OR(F166="",G166=""),"",F166*G166)</x:f>
      </x:c>
      <x:c r="K166" s="35" t="str">
        <x:f>IF(J166="","",J166*H166)</x:f>
      </x:c>
      <x:c r="L166" s="35" t="str">
        <x:f>IF(J166="","",J166-K166)</x:f>
      </x:c>
      <x:c r="M166" s="35" t="str">
        <x:f>IF(L166="","",L166*I166)</x:f>
      </x:c>
      <x:c r="N166" s="35" t="str">
        <x:f>IF(L166="","",L166+M166)</x:f>
      </x:c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36" t="str">
        <x:f>IF(C167="","",IFERROR(VLOOKUP(C167,'SẢN_PHẨM'!$A$2:$G$500,2,FALSE),""))</x:f>
      </x:c>
      <x:c r="E167" s="36" t="str">
        <x:f>IF(C167="","",IFERROR(VLOOKUP(C167,'SẢN_PHẨM'!$A$2:$G$500,3,FALSE),""))</x:f>
      </x:c>
      <x:c r="F167" s="39"/>
      <x:c r="G167" s="34" t="str">
        <x:f>IF(C167="","",IFERROR(VLOOKUP(C167,'SẢN_PHẨM'!$A$2:$G$500,4,FALSE),""))</x:f>
      </x:c>
      <x:c r="H167" s="43"/>
      <x:c r="I167" s="38" t="str">
        <x:f>IF(C167="","",IFERROR(VLOOKUP(C167,'SẢN_PHẨM'!$A$2:$G$500,6,FALSE),""))</x:f>
      </x:c>
      <x:c r="J167" s="35" t="str">
        <x:f>IF(OR(F167="",G167=""),"",F167*G167)</x:f>
      </x:c>
      <x:c r="K167" s="35" t="str">
        <x:f>IF(J167="","",J167*H167)</x:f>
      </x:c>
      <x:c r="L167" s="35" t="str">
        <x:f>IF(J167="","",J167-K167)</x:f>
      </x:c>
      <x:c r="M167" s="35" t="str">
        <x:f>IF(L167="","",L167*I167)</x:f>
      </x:c>
      <x:c r="N167" s="35" t="str">
        <x:f>IF(L167="","",L167+M167)</x:f>
      </x:c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36" t="str">
        <x:f>IF(C168="","",IFERROR(VLOOKUP(C168,'SẢN_PHẨM'!$A$2:$G$500,2,FALSE),""))</x:f>
      </x:c>
      <x:c r="E168" s="36" t="str">
        <x:f>IF(C168="","",IFERROR(VLOOKUP(C168,'SẢN_PHẨM'!$A$2:$G$500,3,FALSE),""))</x:f>
      </x:c>
      <x:c r="F168" s="39"/>
      <x:c r="G168" s="34" t="str">
        <x:f>IF(C168="","",IFERROR(VLOOKUP(C168,'SẢN_PHẨM'!$A$2:$G$500,4,FALSE),""))</x:f>
      </x:c>
      <x:c r="H168" s="43"/>
      <x:c r="I168" s="38" t="str">
        <x:f>IF(C168="","",IFERROR(VLOOKUP(C168,'SẢN_PHẨM'!$A$2:$G$500,6,FALSE),""))</x:f>
      </x:c>
      <x:c r="J168" s="35" t="str">
        <x:f>IF(OR(F168="",G168=""),"",F168*G168)</x:f>
      </x:c>
      <x:c r="K168" s="35" t="str">
        <x:f>IF(J168="","",J168*H168)</x:f>
      </x:c>
      <x:c r="L168" s="35" t="str">
        <x:f>IF(J168="","",J168-K168)</x:f>
      </x:c>
      <x:c r="M168" s="35" t="str">
        <x:f>IF(L168="","",L168*I168)</x:f>
      </x:c>
      <x:c r="N168" s="35" t="str">
        <x:f>IF(L168="","",L168+M168)</x:f>
      </x:c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36" t="str">
        <x:f>IF(C169="","",IFERROR(VLOOKUP(C169,'SẢN_PHẨM'!$A$2:$G$500,2,FALSE),""))</x:f>
      </x:c>
      <x:c r="E169" s="36" t="str">
        <x:f>IF(C169="","",IFERROR(VLOOKUP(C169,'SẢN_PHẨM'!$A$2:$G$500,3,FALSE),""))</x:f>
      </x:c>
      <x:c r="F169" s="39"/>
      <x:c r="G169" s="34" t="str">
        <x:f>IF(C169="","",IFERROR(VLOOKUP(C169,'SẢN_PHẨM'!$A$2:$G$500,4,FALSE),""))</x:f>
      </x:c>
      <x:c r="H169" s="43"/>
      <x:c r="I169" s="38" t="str">
        <x:f>IF(C169="","",IFERROR(VLOOKUP(C169,'SẢN_PHẨM'!$A$2:$G$500,6,FALSE),""))</x:f>
      </x:c>
      <x:c r="J169" s="35" t="str">
        <x:f>IF(OR(F169="",G169=""),"",F169*G169)</x:f>
      </x:c>
      <x:c r="K169" s="35" t="str">
        <x:f>IF(J169="","",J169*H169)</x:f>
      </x:c>
      <x:c r="L169" s="35" t="str">
        <x:f>IF(J169="","",J169-K169)</x:f>
      </x:c>
      <x:c r="M169" s="35" t="str">
        <x:f>IF(L169="","",L169*I169)</x:f>
      </x:c>
      <x:c r="N169" s="35" t="str">
        <x:f>IF(L169="","",L169+M169)</x:f>
      </x:c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36" t="str">
        <x:f>IF(C170="","",IFERROR(VLOOKUP(C170,'SẢN_PHẨM'!$A$2:$G$500,2,FALSE),""))</x:f>
      </x:c>
      <x:c r="E170" s="36" t="str">
        <x:f>IF(C170="","",IFERROR(VLOOKUP(C170,'SẢN_PHẨM'!$A$2:$G$500,3,FALSE),""))</x:f>
      </x:c>
      <x:c r="F170" s="39"/>
      <x:c r="G170" s="34" t="str">
        <x:f>IF(C170="","",IFERROR(VLOOKUP(C170,'SẢN_PHẨM'!$A$2:$G$500,4,FALSE),""))</x:f>
      </x:c>
      <x:c r="H170" s="43"/>
      <x:c r="I170" s="38" t="str">
        <x:f>IF(C170="","",IFERROR(VLOOKUP(C170,'SẢN_PHẨM'!$A$2:$G$500,6,FALSE),""))</x:f>
      </x:c>
      <x:c r="J170" s="35" t="str">
        <x:f>IF(OR(F170="",G170=""),"",F170*G170)</x:f>
      </x:c>
      <x:c r="K170" s="35" t="str">
        <x:f>IF(J170="","",J170*H170)</x:f>
      </x:c>
      <x:c r="L170" s="35" t="str">
        <x:f>IF(J170="","",J170-K170)</x:f>
      </x:c>
      <x:c r="M170" s="35" t="str">
        <x:f>IF(L170="","",L170*I170)</x:f>
      </x:c>
      <x:c r="N170" s="35" t="str">
        <x:f>IF(L170="","",L170+M170)</x:f>
      </x:c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36" t="str">
        <x:f>IF(C171="","",IFERROR(VLOOKUP(C171,'SẢN_PHẨM'!$A$2:$G$500,2,FALSE),""))</x:f>
      </x:c>
      <x:c r="E171" s="36" t="str">
        <x:f>IF(C171="","",IFERROR(VLOOKUP(C171,'SẢN_PHẨM'!$A$2:$G$500,3,FALSE),""))</x:f>
      </x:c>
      <x:c r="F171" s="39"/>
      <x:c r="G171" s="34" t="str">
        <x:f>IF(C171="","",IFERROR(VLOOKUP(C171,'SẢN_PHẨM'!$A$2:$G$500,4,FALSE),""))</x:f>
      </x:c>
      <x:c r="H171" s="43"/>
      <x:c r="I171" s="38" t="str">
        <x:f>IF(C171="","",IFERROR(VLOOKUP(C171,'SẢN_PHẨM'!$A$2:$G$500,6,FALSE),""))</x:f>
      </x:c>
      <x:c r="J171" s="35" t="str">
        <x:f>IF(OR(F171="",G171=""),"",F171*G171)</x:f>
      </x:c>
      <x:c r="K171" s="35" t="str">
        <x:f>IF(J171="","",J171*H171)</x:f>
      </x:c>
      <x:c r="L171" s="35" t="str">
        <x:f>IF(J171="","",J171-K171)</x:f>
      </x:c>
      <x:c r="M171" s="35" t="str">
        <x:f>IF(L171="","",L171*I171)</x:f>
      </x:c>
      <x:c r="N171" s="35" t="str">
        <x:f>IF(L171="","",L171+M171)</x:f>
      </x:c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36" t="str">
        <x:f>IF(C172="","",IFERROR(VLOOKUP(C172,'SẢN_PHẨM'!$A$2:$G$500,2,FALSE),""))</x:f>
      </x:c>
      <x:c r="E172" s="36" t="str">
        <x:f>IF(C172="","",IFERROR(VLOOKUP(C172,'SẢN_PHẨM'!$A$2:$G$500,3,FALSE),""))</x:f>
      </x:c>
      <x:c r="F172" s="39"/>
      <x:c r="G172" s="34" t="str">
        <x:f>IF(C172="","",IFERROR(VLOOKUP(C172,'SẢN_PHẨM'!$A$2:$G$500,4,FALSE),""))</x:f>
      </x:c>
      <x:c r="H172" s="43"/>
      <x:c r="I172" s="38" t="str">
        <x:f>IF(C172="","",IFERROR(VLOOKUP(C172,'SẢN_PHẨM'!$A$2:$G$500,6,FALSE),""))</x:f>
      </x:c>
      <x:c r="J172" s="35" t="str">
        <x:f>IF(OR(F172="",G172=""),"",F172*G172)</x:f>
      </x:c>
      <x:c r="K172" s="35" t="str">
        <x:f>IF(J172="","",J172*H172)</x:f>
      </x:c>
      <x:c r="L172" s="35" t="str">
        <x:f>IF(J172="","",J172-K172)</x:f>
      </x:c>
      <x:c r="M172" s="35" t="str">
        <x:f>IF(L172="","",L172*I172)</x:f>
      </x:c>
      <x:c r="N172" s="35" t="str">
        <x:f>IF(L172="","",L172+M172)</x:f>
      </x:c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36" t="str">
        <x:f>IF(C173="","",IFERROR(VLOOKUP(C173,'SẢN_PHẨM'!$A$2:$G$500,2,FALSE),""))</x:f>
      </x:c>
      <x:c r="E173" s="36" t="str">
        <x:f>IF(C173="","",IFERROR(VLOOKUP(C173,'SẢN_PHẨM'!$A$2:$G$500,3,FALSE),""))</x:f>
      </x:c>
      <x:c r="F173" s="39"/>
      <x:c r="G173" s="34" t="str">
        <x:f>IF(C173="","",IFERROR(VLOOKUP(C173,'SẢN_PHẨM'!$A$2:$G$500,4,FALSE),""))</x:f>
      </x:c>
      <x:c r="H173" s="43"/>
      <x:c r="I173" s="38" t="str">
        <x:f>IF(C173="","",IFERROR(VLOOKUP(C173,'SẢN_PHẨM'!$A$2:$G$500,6,FALSE),""))</x:f>
      </x:c>
      <x:c r="J173" s="35" t="str">
        <x:f>IF(OR(F173="",G173=""),"",F173*G173)</x:f>
      </x:c>
      <x:c r="K173" s="35" t="str">
        <x:f>IF(J173="","",J173*H173)</x:f>
      </x:c>
      <x:c r="L173" s="35" t="str">
        <x:f>IF(J173="","",J173-K173)</x:f>
      </x:c>
      <x:c r="M173" s="35" t="str">
        <x:f>IF(L173="","",L173*I173)</x:f>
      </x:c>
      <x:c r="N173" s="35" t="str">
        <x:f>IF(L173="","",L173+M173)</x:f>
      </x:c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36" t="str">
        <x:f>IF(C174="","",IFERROR(VLOOKUP(C174,'SẢN_PHẨM'!$A$2:$G$500,2,FALSE),""))</x:f>
      </x:c>
      <x:c r="E174" s="36" t="str">
        <x:f>IF(C174="","",IFERROR(VLOOKUP(C174,'SẢN_PHẨM'!$A$2:$G$500,3,FALSE),""))</x:f>
      </x:c>
      <x:c r="F174" s="39"/>
      <x:c r="G174" s="34" t="str">
        <x:f>IF(C174="","",IFERROR(VLOOKUP(C174,'SẢN_PHẨM'!$A$2:$G$500,4,FALSE),""))</x:f>
      </x:c>
      <x:c r="H174" s="43"/>
      <x:c r="I174" s="38" t="str">
        <x:f>IF(C174="","",IFERROR(VLOOKUP(C174,'SẢN_PHẨM'!$A$2:$G$500,6,FALSE),""))</x:f>
      </x:c>
      <x:c r="J174" s="35" t="str">
        <x:f>IF(OR(F174="",G174=""),"",F174*G174)</x:f>
      </x:c>
      <x:c r="K174" s="35" t="str">
        <x:f>IF(J174="","",J174*H174)</x:f>
      </x:c>
      <x:c r="L174" s="35" t="str">
        <x:f>IF(J174="","",J174-K174)</x:f>
      </x:c>
      <x:c r="M174" s="35" t="str">
        <x:f>IF(L174="","",L174*I174)</x:f>
      </x:c>
      <x:c r="N174" s="35" t="str">
        <x:f>IF(L174="","",L174+M174)</x:f>
      </x:c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36" t="str">
        <x:f>IF(C175="","",IFERROR(VLOOKUP(C175,'SẢN_PHẨM'!$A$2:$G$500,2,FALSE),""))</x:f>
      </x:c>
      <x:c r="E175" s="36" t="str">
        <x:f>IF(C175="","",IFERROR(VLOOKUP(C175,'SẢN_PHẨM'!$A$2:$G$500,3,FALSE),""))</x:f>
      </x:c>
      <x:c r="F175" s="39"/>
      <x:c r="G175" s="34" t="str">
        <x:f>IF(C175="","",IFERROR(VLOOKUP(C175,'SẢN_PHẨM'!$A$2:$G$500,4,FALSE),""))</x:f>
      </x:c>
      <x:c r="H175" s="43"/>
      <x:c r="I175" s="38" t="str">
        <x:f>IF(C175="","",IFERROR(VLOOKUP(C175,'SẢN_PHẨM'!$A$2:$G$500,6,FALSE),""))</x:f>
      </x:c>
      <x:c r="J175" s="35" t="str">
        <x:f>IF(OR(F175="",G175=""),"",F175*G175)</x:f>
      </x:c>
      <x:c r="K175" s="35" t="str">
        <x:f>IF(J175="","",J175*H175)</x:f>
      </x:c>
      <x:c r="L175" s="35" t="str">
        <x:f>IF(J175="","",J175-K175)</x:f>
      </x:c>
      <x:c r="M175" s="35" t="str">
        <x:f>IF(L175="","",L175*I175)</x:f>
      </x:c>
      <x:c r="N175" s="35" t="str">
        <x:f>IF(L175="","",L175+M175)</x:f>
      </x:c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36" t="str">
        <x:f>IF(C176="","",IFERROR(VLOOKUP(C176,'SẢN_PHẨM'!$A$2:$G$500,2,FALSE),""))</x:f>
      </x:c>
      <x:c r="E176" s="36" t="str">
        <x:f>IF(C176="","",IFERROR(VLOOKUP(C176,'SẢN_PHẨM'!$A$2:$G$500,3,FALSE),""))</x:f>
      </x:c>
      <x:c r="F176" s="39"/>
      <x:c r="G176" s="34" t="str">
        <x:f>IF(C176="","",IFERROR(VLOOKUP(C176,'SẢN_PHẨM'!$A$2:$G$500,4,FALSE),""))</x:f>
      </x:c>
      <x:c r="H176" s="43"/>
      <x:c r="I176" s="38" t="str">
        <x:f>IF(C176="","",IFERROR(VLOOKUP(C176,'SẢN_PHẨM'!$A$2:$G$500,6,FALSE),""))</x:f>
      </x:c>
      <x:c r="J176" s="35" t="str">
        <x:f>IF(OR(F176="",G176=""),"",F176*G176)</x:f>
      </x:c>
      <x:c r="K176" s="35" t="str">
        <x:f>IF(J176="","",J176*H176)</x:f>
      </x:c>
      <x:c r="L176" s="35" t="str">
        <x:f>IF(J176="","",J176-K176)</x:f>
      </x:c>
      <x:c r="M176" s="35" t="str">
        <x:f>IF(L176="","",L176*I176)</x:f>
      </x:c>
      <x:c r="N176" s="35" t="str">
        <x:f>IF(L176="","",L176+M176)</x:f>
      </x:c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36" t="str">
        <x:f>IF(C177="","",IFERROR(VLOOKUP(C177,'SẢN_PHẨM'!$A$2:$G$500,2,FALSE),""))</x:f>
      </x:c>
      <x:c r="E177" s="36" t="str">
        <x:f>IF(C177="","",IFERROR(VLOOKUP(C177,'SẢN_PHẨM'!$A$2:$G$500,3,FALSE),""))</x:f>
      </x:c>
      <x:c r="F177" s="39"/>
      <x:c r="G177" s="34" t="str">
        <x:f>IF(C177="","",IFERROR(VLOOKUP(C177,'SẢN_PHẨM'!$A$2:$G$500,4,FALSE),""))</x:f>
      </x:c>
      <x:c r="H177" s="43"/>
      <x:c r="I177" s="38" t="str">
        <x:f>IF(C177="","",IFERROR(VLOOKUP(C177,'SẢN_PHẨM'!$A$2:$G$500,6,FALSE),""))</x:f>
      </x:c>
      <x:c r="J177" s="35" t="str">
        <x:f>IF(OR(F177="",G177=""),"",F177*G177)</x:f>
      </x:c>
      <x:c r="K177" s="35" t="str">
        <x:f>IF(J177="","",J177*H177)</x:f>
      </x:c>
      <x:c r="L177" s="35" t="str">
        <x:f>IF(J177="","",J177-K177)</x:f>
      </x:c>
      <x:c r="M177" s="35" t="str">
        <x:f>IF(L177="","",L177*I177)</x:f>
      </x:c>
      <x:c r="N177" s="35" t="str">
        <x:f>IF(L177="","",L177+M177)</x:f>
      </x:c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36" t="str">
        <x:f>IF(C178="","",IFERROR(VLOOKUP(C178,'SẢN_PHẨM'!$A$2:$G$500,2,FALSE),""))</x:f>
      </x:c>
      <x:c r="E178" s="36" t="str">
        <x:f>IF(C178="","",IFERROR(VLOOKUP(C178,'SẢN_PHẨM'!$A$2:$G$500,3,FALSE),""))</x:f>
      </x:c>
      <x:c r="F178" s="39"/>
      <x:c r="G178" s="34" t="str">
        <x:f>IF(C178="","",IFERROR(VLOOKUP(C178,'SẢN_PHẨM'!$A$2:$G$500,4,FALSE),""))</x:f>
      </x:c>
      <x:c r="H178" s="43"/>
      <x:c r="I178" s="38" t="str">
        <x:f>IF(C178="","",IFERROR(VLOOKUP(C178,'SẢN_PHẨM'!$A$2:$G$500,6,FALSE),""))</x:f>
      </x:c>
      <x:c r="J178" s="35" t="str">
        <x:f>IF(OR(F178="",G178=""),"",F178*G178)</x:f>
      </x:c>
      <x:c r="K178" s="35" t="str">
        <x:f>IF(J178="","",J178*H178)</x:f>
      </x:c>
      <x:c r="L178" s="35" t="str">
        <x:f>IF(J178="","",J178-K178)</x:f>
      </x:c>
      <x:c r="M178" s="35" t="str">
        <x:f>IF(L178="","",L178*I178)</x:f>
      </x:c>
      <x:c r="N178" s="35" t="str">
        <x:f>IF(L178="","",L178+M178)</x:f>
      </x:c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36" t="str">
        <x:f>IF(C179="","",IFERROR(VLOOKUP(C179,'SẢN_PHẨM'!$A$2:$G$500,2,FALSE),""))</x:f>
      </x:c>
      <x:c r="E179" s="36" t="str">
        <x:f>IF(C179="","",IFERROR(VLOOKUP(C179,'SẢN_PHẨM'!$A$2:$G$500,3,FALSE),""))</x:f>
      </x:c>
      <x:c r="F179" s="39"/>
      <x:c r="G179" s="34" t="str">
        <x:f>IF(C179="","",IFERROR(VLOOKUP(C179,'SẢN_PHẨM'!$A$2:$G$500,4,FALSE),""))</x:f>
      </x:c>
      <x:c r="H179" s="43"/>
      <x:c r="I179" s="38" t="str">
        <x:f>IF(C179="","",IFERROR(VLOOKUP(C179,'SẢN_PHẨM'!$A$2:$G$500,6,FALSE),""))</x:f>
      </x:c>
      <x:c r="J179" s="35" t="str">
        <x:f>IF(OR(F179="",G179=""),"",F179*G179)</x:f>
      </x:c>
      <x:c r="K179" s="35" t="str">
        <x:f>IF(J179="","",J179*H179)</x:f>
      </x:c>
      <x:c r="L179" s="35" t="str">
        <x:f>IF(J179="","",J179-K179)</x:f>
      </x:c>
      <x:c r="M179" s="35" t="str">
        <x:f>IF(L179="","",L179*I179)</x:f>
      </x:c>
      <x:c r="N179" s="35" t="str">
        <x:f>IF(L179="","",L179+M179)</x:f>
      </x:c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36" t="str">
        <x:f>IF(C180="","",IFERROR(VLOOKUP(C180,'SẢN_PHẨM'!$A$2:$G$500,2,FALSE),""))</x:f>
      </x:c>
      <x:c r="E180" s="36" t="str">
        <x:f>IF(C180="","",IFERROR(VLOOKUP(C180,'SẢN_PHẨM'!$A$2:$G$500,3,FALSE),""))</x:f>
      </x:c>
      <x:c r="F180" s="39"/>
      <x:c r="G180" s="34" t="str">
        <x:f>IF(C180="","",IFERROR(VLOOKUP(C180,'SẢN_PHẨM'!$A$2:$G$500,4,FALSE),""))</x:f>
      </x:c>
      <x:c r="H180" s="43"/>
      <x:c r="I180" s="38" t="str">
        <x:f>IF(C180="","",IFERROR(VLOOKUP(C180,'SẢN_PHẨM'!$A$2:$G$500,6,FALSE),""))</x:f>
      </x:c>
      <x:c r="J180" s="35" t="str">
        <x:f>IF(OR(F180="",G180=""),"",F180*G180)</x:f>
      </x:c>
      <x:c r="K180" s="35" t="str">
        <x:f>IF(J180="","",J180*H180)</x:f>
      </x:c>
      <x:c r="L180" s="35" t="str">
        <x:f>IF(J180="","",J180-K180)</x:f>
      </x:c>
      <x:c r="M180" s="35" t="str">
        <x:f>IF(L180="","",L180*I180)</x:f>
      </x:c>
      <x:c r="N180" s="35" t="str">
        <x:f>IF(L180="","",L180+M180)</x:f>
      </x:c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36" t="str">
        <x:f>IF(C181="","",IFERROR(VLOOKUP(C181,'SẢN_PHẨM'!$A$2:$G$500,2,FALSE),""))</x:f>
      </x:c>
      <x:c r="E181" s="36" t="str">
        <x:f>IF(C181="","",IFERROR(VLOOKUP(C181,'SẢN_PHẨM'!$A$2:$G$500,3,FALSE),""))</x:f>
      </x:c>
      <x:c r="F181" s="39"/>
      <x:c r="G181" s="34" t="str">
        <x:f>IF(C181="","",IFERROR(VLOOKUP(C181,'SẢN_PHẨM'!$A$2:$G$500,4,FALSE),""))</x:f>
      </x:c>
      <x:c r="H181" s="43"/>
      <x:c r="I181" s="38" t="str">
        <x:f>IF(C181="","",IFERROR(VLOOKUP(C181,'SẢN_PHẨM'!$A$2:$G$500,6,FALSE),""))</x:f>
      </x:c>
      <x:c r="J181" s="35" t="str">
        <x:f>IF(OR(F181="",G181=""),"",F181*G181)</x:f>
      </x:c>
      <x:c r="K181" s="35" t="str">
        <x:f>IF(J181="","",J181*H181)</x:f>
      </x:c>
      <x:c r="L181" s="35" t="str">
        <x:f>IF(J181="","",J181-K181)</x:f>
      </x:c>
      <x:c r="M181" s="35" t="str">
        <x:f>IF(L181="","",L181*I181)</x:f>
      </x:c>
      <x:c r="N181" s="35" t="str">
        <x:f>IF(L181="","",L181+M181)</x:f>
      </x:c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36" t="str">
        <x:f>IF(C182="","",IFERROR(VLOOKUP(C182,'SẢN_PHẨM'!$A$2:$G$500,2,FALSE),""))</x:f>
      </x:c>
      <x:c r="E182" s="36" t="str">
        <x:f>IF(C182="","",IFERROR(VLOOKUP(C182,'SẢN_PHẨM'!$A$2:$G$500,3,FALSE),""))</x:f>
      </x:c>
      <x:c r="F182" s="39"/>
      <x:c r="G182" s="34" t="str">
        <x:f>IF(C182="","",IFERROR(VLOOKUP(C182,'SẢN_PHẨM'!$A$2:$G$500,4,FALSE),""))</x:f>
      </x:c>
      <x:c r="H182" s="43"/>
      <x:c r="I182" s="38" t="str">
        <x:f>IF(C182="","",IFERROR(VLOOKUP(C182,'SẢN_PHẨM'!$A$2:$G$500,6,FALSE),""))</x:f>
      </x:c>
      <x:c r="J182" s="35" t="str">
        <x:f>IF(OR(F182="",G182=""),"",F182*G182)</x:f>
      </x:c>
      <x:c r="K182" s="35" t="str">
        <x:f>IF(J182="","",J182*H182)</x:f>
      </x:c>
      <x:c r="L182" s="35" t="str">
        <x:f>IF(J182="","",J182-K182)</x:f>
      </x:c>
      <x:c r="M182" s="35" t="str">
        <x:f>IF(L182="","",L182*I182)</x:f>
      </x:c>
      <x:c r="N182" s="35" t="str">
        <x:f>IF(L182="","",L182+M182)</x:f>
      </x:c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36" t="str">
        <x:f>IF(C183="","",IFERROR(VLOOKUP(C183,'SẢN_PHẨM'!$A$2:$G$500,2,FALSE),""))</x:f>
      </x:c>
      <x:c r="E183" s="36" t="str">
        <x:f>IF(C183="","",IFERROR(VLOOKUP(C183,'SẢN_PHẨM'!$A$2:$G$500,3,FALSE),""))</x:f>
      </x:c>
      <x:c r="F183" s="39"/>
      <x:c r="G183" s="34" t="str">
        <x:f>IF(C183="","",IFERROR(VLOOKUP(C183,'SẢN_PHẨM'!$A$2:$G$500,4,FALSE),""))</x:f>
      </x:c>
      <x:c r="H183" s="43"/>
      <x:c r="I183" s="38" t="str">
        <x:f>IF(C183="","",IFERROR(VLOOKUP(C183,'SẢN_PHẨM'!$A$2:$G$500,6,FALSE),""))</x:f>
      </x:c>
      <x:c r="J183" s="35" t="str">
        <x:f>IF(OR(F183="",G183=""),"",F183*G183)</x:f>
      </x:c>
      <x:c r="K183" s="35" t="str">
        <x:f>IF(J183="","",J183*H183)</x:f>
      </x:c>
      <x:c r="L183" s="35" t="str">
        <x:f>IF(J183="","",J183-K183)</x:f>
      </x:c>
      <x:c r="M183" s="35" t="str">
        <x:f>IF(L183="","",L183*I183)</x:f>
      </x:c>
      <x:c r="N183" s="35" t="str">
        <x:f>IF(L183="","",L183+M183)</x:f>
      </x:c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36" t="str">
        <x:f>IF(C184="","",IFERROR(VLOOKUP(C184,'SẢN_PHẨM'!$A$2:$G$500,2,FALSE),""))</x:f>
      </x:c>
      <x:c r="E184" s="36" t="str">
        <x:f>IF(C184="","",IFERROR(VLOOKUP(C184,'SẢN_PHẨM'!$A$2:$G$500,3,FALSE),""))</x:f>
      </x:c>
      <x:c r="F184" s="39"/>
      <x:c r="G184" s="34" t="str">
        <x:f>IF(C184="","",IFERROR(VLOOKUP(C184,'SẢN_PHẨM'!$A$2:$G$500,4,FALSE),""))</x:f>
      </x:c>
      <x:c r="H184" s="43"/>
      <x:c r="I184" s="38" t="str">
        <x:f>IF(C184="","",IFERROR(VLOOKUP(C184,'SẢN_PHẨM'!$A$2:$G$500,6,FALSE),""))</x:f>
      </x:c>
      <x:c r="J184" s="35" t="str">
        <x:f>IF(OR(F184="",G184=""),"",F184*G184)</x:f>
      </x:c>
      <x:c r="K184" s="35" t="str">
        <x:f>IF(J184="","",J184*H184)</x:f>
      </x:c>
      <x:c r="L184" s="35" t="str">
        <x:f>IF(J184="","",J184-K184)</x:f>
      </x:c>
      <x:c r="M184" s="35" t="str">
        <x:f>IF(L184="","",L184*I184)</x:f>
      </x:c>
      <x:c r="N184" s="35" t="str">
        <x:f>IF(L184="","",L184+M184)</x:f>
      </x:c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36" t="str">
        <x:f>IF(C185="","",IFERROR(VLOOKUP(C185,'SẢN_PHẨM'!$A$2:$G$500,2,FALSE),""))</x:f>
      </x:c>
      <x:c r="E185" s="36" t="str">
        <x:f>IF(C185="","",IFERROR(VLOOKUP(C185,'SẢN_PHẨM'!$A$2:$G$500,3,FALSE),""))</x:f>
      </x:c>
      <x:c r="F185" s="39"/>
      <x:c r="G185" s="34" t="str">
        <x:f>IF(C185="","",IFERROR(VLOOKUP(C185,'SẢN_PHẨM'!$A$2:$G$500,4,FALSE),""))</x:f>
      </x:c>
      <x:c r="H185" s="43"/>
      <x:c r="I185" s="38" t="str">
        <x:f>IF(C185="","",IFERROR(VLOOKUP(C185,'SẢN_PHẨM'!$A$2:$G$500,6,FALSE),""))</x:f>
      </x:c>
      <x:c r="J185" s="35" t="str">
        <x:f>IF(OR(F185="",G185=""),"",F185*G185)</x:f>
      </x:c>
      <x:c r="K185" s="35" t="str">
        <x:f>IF(J185="","",J185*H185)</x:f>
      </x:c>
      <x:c r="L185" s="35" t="str">
        <x:f>IF(J185="","",J185-K185)</x:f>
      </x:c>
      <x:c r="M185" s="35" t="str">
        <x:f>IF(L185="","",L185*I185)</x:f>
      </x:c>
      <x:c r="N185" s="35" t="str">
        <x:f>IF(L185="","",L185+M185)</x:f>
      </x:c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36" t="str">
        <x:f>IF(C186="","",IFERROR(VLOOKUP(C186,'SẢN_PHẨM'!$A$2:$G$500,2,FALSE),""))</x:f>
      </x:c>
      <x:c r="E186" s="36" t="str">
        <x:f>IF(C186="","",IFERROR(VLOOKUP(C186,'SẢN_PHẨM'!$A$2:$G$500,3,FALSE),""))</x:f>
      </x:c>
      <x:c r="F186" s="39"/>
      <x:c r="G186" s="34" t="str">
        <x:f>IF(C186="","",IFERROR(VLOOKUP(C186,'SẢN_PHẨM'!$A$2:$G$500,4,FALSE),""))</x:f>
      </x:c>
      <x:c r="H186" s="43"/>
      <x:c r="I186" s="38" t="str">
        <x:f>IF(C186="","",IFERROR(VLOOKUP(C186,'SẢN_PHẨM'!$A$2:$G$500,6,FALSE),""))</x:f>
      </x:c>
      <x:c r="J186" s="35" t="str">
        <x:f>IF(OR(F186="",G186=""),"",F186*G186)</x:f>
      </x:c>
      <x:c r="K186" s="35" t="str">
        <x:f>IF(J186="","",J186*H186)</x:f>
      </x:c>
      <x:c r="L186" s="35" t="str">
        <x:f>IF(J186="","",J186-K186)</x:f>
      </x:c>
      <x:c r="M186" s="35" t="str">
        <x:f>IF(L186="","",L186*I186)</x:f>
      </x:c>
      <x:c r="N186" s="35" t="str">
        <x:f>IF(L186="","",L186+M186)</x:f>
      </x:c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36" t="str">
        <x:f>IF(C187="","",IFERROR(VLOOKUP(C187,'SẢN_PHẨM'!$A$2:$G$500,2,FALSE),""))</x:f>
      </x:c>
      <x:c r="E187" s="36" t="str">
        <x:f>IF(C187="","",IFERROR(VLOOKUP(C187,'SẢN_PHẨM'!$A$2:$G$500,3,FALSE),""))</x:f>
      </x:c>
      <x:c r="F187" s="39"/>
      <x:c r="G187" s="34" t="str">
        <x:f>IF(C187="","",IFERROR(VLOOKUP(C187,'SẢN_PHẨM'!$A$2:$G$500,4,FALSE),""))</x:f>
      </x:c>
      <x:c r="H187" s="43"/>
      <x:c r="I187" s="38" t="str">
        <x:f>IF(C187="","",IFERROR(VLOOKUP(C187,'SẢN_PHẨM'!$A$2:$G$500,6,FALSE),""))</x:f>
      </x:c>
      <x:c r="J187" s="35" t="str">
        <x:f>IF(OR(F187="",G187=""),"",F187*G187)</x:f>
      </x:c>
      <x:c r="K187" s="35" t="str">
        <x:f>IF(J187="","",J187*H187)</x:f>
      </x:c>
      <x:c r="L187" s="35" t="str">
        <x:f>IF(J187="","",J187-K187)</x:f>
      </x:c>
      <x:c r="M187" s="35" t="str">
        <x:f>IF(L187="","",L187*I187)</x:f>
      </x:c>
      <x:c r="N187" s="35" t="str">
        <x:f>IF(L187="","",L187+M187)</x:f>
      </x:c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36" t="str">
        <x:f>IF(C188="","",IFERROR(VLOOKUP(C188,'SẢN_PHẨM'!$A$2:$G$500,2,FALSE),""))</x:f>
      </x:c>
      <x:c r="E188" s="36" t="str">
        <x:f>IF(C188="","",IFERROR(VLOOKUP(C188,'SẢN_PHẨM'!$A$2:$G$500,3,FALSE),""))</x:f>
      </x:c>
      <x:c r="F188" s="39"/>
      <x:c r="G188" s="34" t="str">
        <x:f>IF(C188="","",IFERROR(VLOOKUP(C188,'SẢN_PHẨM'!$A$2:$G$500,4,FALSE),""))</x:f>
      </x:c>
      <x:c r="H188" s="43"/>
      <x:c r="I188" s="38" t="str">
        <x:f>IF(C188="","",IFERROR(VLOOKUP(C188,'SẢN_PHẨM'!$A$2:$G$500,6,FALSE),""))</x:f>
      </x:c>
      <x:c r="J188" s="35" t="str">
        <x:f>IF(OR(F188="",G188=""),"",F188*G188)</x:f>
      </x:c>
      <x:c r="K188" s="35" t="str">
        <x:f>IF(J188="","",J188*H188)</x:f>
      </x:c>
      <x:c r="L188" s="35" t="str">
        <x:f>IF(J188="","",J188-K188)</x:f>
      </x:c>
      <x:c r="M188" s="35" t="str">
        <x:f>IF(L188="","",L188*I188)</x:f>
      </x:c>
      <x:c r="N188" s="35" t="str">
        <x:f>IF(L188="","",L188+M188)</x:f>
      </x:c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36" t="str">
        <x:f>IF(C189="","",IFERROR(VLOOKUP(C189,'SẢN_PHẨM'!$A$2:$G$500,2,FALSE),""))</x:f>
      </x:c>
      <x:c r="E189" s="36" t="str">
        <x:f>IF(C189="","",IFERROR(VLOOKUP(C189,'SẢN_PHẨM'!$A$2:$G$500,3,FALSE),""))</x:f>
      </x:c>
      <x:c r="F189" s="39"/>
      <x:c r="G189" s="34" t="str">
        <x:f>IF(C189="","",IFERROR(VLOOKUP(C189,'SẢN_PHẨM'!$A$2:$G$500,4,FALSE),""))</x:f>
      </x:c>
      <x:c r="H189" s="43"/>
      <x:c r="I189" s="38" t="str">
        <x:f>IF(C189="","",IFERROR(VLOOKUP(C189,'SẢN_PHẨM'!$A$2:$G$500,6,FALSE),""))</x:f>
      </x:c>
      <x:c r="J189" s="35" t="str">
        <x:f>IF(OR(F189="",G189=""),"",F189*G189)</x:f>
      </x:c>
      <x:c r="K189" s="35" t="str">
        <x:f>IF(J189="","",J189*H189)</x:f>
      </x:c>
      <x:c r="L189" s="35" t="str">
        <x:f>IF(J189="","",J189-K189)</x:f>
      </x:c>
      <x:c r="M189" s="35" t="str">
        <x:f>IF(L189="","",L189*I189)</x:f>
      </x:c>
      <x:c r="N189" s="35" t="str">
        <x:f>IF(L189="","",L189+M189)</x:f>
      </x:c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36" t="str">
        <x:f>IF(C190="","",IFERROR(VLOOKUP(C190,'SẢN_PHẨM'!$A$2:$G$500,2,FALSE),""))</x:f>
      </x:c>
      <x:c r="E190" s="36" t="str">
        <x:f>IF(C190="","",IFERROR(VLOOKUP(C190,'SẢN_PHẨM'!$A$2:$G$500,3,FALSE),""))</x:f>
      </x:c>
      <x:c r="F190" s="39"/>
      <x:c r="G190" s="34" t="str">
        <x:f>IF(C190="","",IFERROR(VLOOKUP(C190,'SẢN_PHẨM'!$A$2:$G$500,4,FALSE),""))</x:f>
      </x:c>
      <x:c r="H190" s="43"/>
      <x:c r="I190" s="38" t="str">
        <x:f>IF(C190="","",IFERROR(VLOOKUP(C190,'SẢN_PHẨM'!$A$2:$G$500,6,FALSE),""))</x:f>
      </x:c>
      <x:c r="J190" s="35" t="str">
        <x:f>IF(OR(F190="",G190=""),"",F190*G190)</x:f>
      </x:c>
      <x:c r="K190" s="35" t="str">
        <x:f>IF(J190="","",J190*H190)</x:f>
      </x:c>
      <x:c r="L190" s="35" t="str">
        <x:f>IF(J190="","",J190-K190)</x:f>
      </x:c>
      <x:c r="M190" s="35" t="str">
        <x:f>IF(L190="","",L190*I190)</x:f>
      </x:c>
      <x:c r="N190" s="35" t="str">
        <x:f>IF(L190="","",L190+M190)</x:f>
      </x:c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36" t="str">
        <x:f>IF(C191="","",IFERROR(VLOOKUP(C191,'SẢN_PHẨM'!$A$2:$G$500,2,FALSE),""))</x:f>
      </x:c>
      <x:c r="E191" s="36" t="str">
        <x:f>IF(C191="","",IFERROR(VLOOKUP(C191,'SẢN_PHẨM'!$A$2:$G$500,3,FALSE),""))</x:f>
      </x:c>
      <x:c r="F191" s="39"/>
      <x:c r="G191" s="34" t="str">
        <x:f>IF(C191="","",IFERROR(VLOOKUP(C191,'SẢN_PHẨM'!$A$2:$G$500,4,FALSE),""))</x:f>
      </x:c>
      <x:c r="H191" s="43"/>
      <x:c r="I191" s="38" t="str">
        <x:f>IF(C191="","",IFERROR(VLOOKUP(C191,'SẢN_PHẨM'!$A$2:$G$500,6,FALSE),""))</x:f>
      </x:c>
      <x:c r="J191" s="35" t="str">
        <x:f>IF(OR(F191="",G191=""),"",F191*G191)</x:f>
      </x:c>
      <x:c r="K191" s="35" t="str">
        <x:f>IF(J191="","",J191*H191)</x:f>
      </x:c>
      <x:c r="L191" s="35" t="str">
        <x:f>IF(J191="","",J191-K191)</x:f>
      </x:c>
      <x:c r="M191" s="35" t="str">
        <x:f>IF(L191="","",L191*I191)</x:f>
      </x:c>
      <x:c r="N191" s="35" t="str">
        <x:f>IF(L191="","",L191+M191)</x:f>
      </x:c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36" t="str">
        <x:f>IF(C192="","",IFERROR(VLOOKUP(C192,'SẢN_PHẨM'!$A$2:$G$500,2,FALSE),""))</x:f>
      </x:c>
      <x:c r="E192" s="36" t="str">
        <x:f>IF(C192="","",IFERROR(VLOOKUP(C192,'SẢN_PHẨM'!$A$2:$G$500,3,FALSE),""))</x:f>
      </x:c>
      <x:c r="F192" s="39"/>
      <x:c r="G192" s="34" t="str">
        <x:f>IF(C192="","",IFERROR(VLOOKUP(C192,'SẢN_PHẨM'!$A$2:$G$500,4,FALSE),""))</x:f>
      </x:c>
      <x:c r="H192" s="43"/>
      <x:c r="I192" s="38" t="str">
        <x:f>IF(C192="","",IFERROR(VLOOKUP(C192,'SẢN_PHẨM'!$A$2:$G$500,6,FALSE),""))</x:f>
      </x:c>
      <x:c r="J192" s="35" t="str">
        <x:f>IF(OR(F192="",G192=""),"",F192*G192)</x:f>
      </x:c>
      <x:c r="K192" s="35" t="str">
        <x:f>IF(J192="","",J192*H192)</x:f>
      </x:c>
      <x:c r="L192" s="35" t="str">
        <x:f>IF(J192="","",J192-K192)</x:f>
      </x:c>
      <x:c r="M192" s="35" t="str">
        <x:f>IF(L192="","",L192*I192)</x:f>
      </x:c>
      <x:c r="N192" s="35" t="str">
        <x:f>IF(L192="","",L192+M192)</x:f>
      </x:c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36" t="str">
        <x:f>IF(C193="","",IFERROR(VLOOKUP(C193,'SẢN_PHẨM'!$A$2:$G$500,2,FALSE),""))</x:f>
      </x:c>
      <x:c r="E193" s="36" t="str">
        <x:f>IF(C193="","",IFERROR(VLOOKUP(C193,'SẢN_PHẨM'!$A$2:$G$500,3,FALSE),""))</x:f>
      </x:c>
      <x:c r="F193" s="39"/>
      <x:c r="G193" s="34" t="str">
        <x:f>IF(C193="","",IFERROR(VLOOKUP(C193,'SẢN_PHẨM'!$A$2:$G$500,4,FALSE),""))</x:f>
      </x:c>
      <x:c r="H193" s="43"/>
      <x:c r="I193" s="38" t="str">
        <x:f>IF(C193="","",IFERROR(VLOOKUP(C193,'SẢN_PHẨM'!$A$2:$G$500,6,FALSE),""))</x:f>
      </x:c>
      <x:c r="J193" s="35" t="str">
        <x:f>IF(OR(F193="",G193=""),"",F193*G193)</x:f>
      </x:c>
      <x:c r="K193" s="35" t="str">
        <x:f>IF(J193="","",J193*H193)</x:f>
      </x:c>
      <x:c r="L193" s="35" t="str">
        <x:f>IF(J193="","",J193-K193)</x:f>
      </x:c>
      <x:c r="M193" s="35" t="str">
        <x:f>IF(L193="","",L193*I193)</x:f>
      </x:c>
      <x:c r="N193" s="35" t="str">
        <x:f>IF(L193="","",L193+M193)</x:f>
      </x:c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36" t="str">
        <x:f>IF(C194="","",IFERROR(VLOOKUP(C194,'SẢN_PHẨM'!$A$2:$G$500,2,FALSE),""))</x:f>
      </x:c>
      <x:c r="E194" s="36" t="str">
        <x:f>IF(C194="","",IFERROR(VLOOKUP(C194,'SẢN_PHẨM'!$A$2:$G$500,3,FALSE),""))</x:f>
      </x:c>
      <x:c r="F194" s="39"/>
      <x:c r="G194" s="34" t="str">
        <x:f>IF(C194="","",IFERROR(VLOOKUP(C194,'SẢN_PHẨM'!$A$2:$G$500,4,FALSE),""))</x:f>
      </x:c>
      <x:c r="H194" s="43"/>
      <x:c r="I194" s="38" t="str">
        <x:f>IF(C194="","",IFERROR(VLOOKUP(C194,'SẢN_PHẨM'!$A$2:$G$500,6,FALSE),""))</x:f>
      </x:c>
      <x:c r="J194" s="35" t="str">
        <x:f>IF(OR(F194="",G194=""),"",F194*G194)</x:f>
      </x:c>
      <x:c r="K194" s="35" t="str">
        <x:f>IF(J194="","",J194*H194)</x:f>
      </x:c>
      <x:c r="L194" s="35" t="str">
        <x:f>IF(J194="","",J194-K194)</x:f>
      </x:c>
      <x:c r="M194" s="35" t="str">
        <x:f>IF(L194="","",L194*I194)</x:f>
      </x:c>
      <x:c r="N194" s="35" t="str">
        <x:f>IF(L194="","",L194+M194)</x:f>
      </x:c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36" t="str">
        <x:f>IF(C195="","",IFERROR(VLOOKUP(C195,'SẢN_PHẨM'!$A$2:$G$500,2,FALSE),""))</x:f>
      </x:c>
      <x:c r="E195" s="36" t="str">
        <x:f>IF(C195="","",IFERROR(VLOOKUP(C195,'SẢN_PHẨM'!$A$2:$G$500,3,FALSE),""))</x:f>
      </x:c>
      <x:c r="F195" s="39"/>
      <x:c r="G195" s="34" t="str">
        <x:f>IF(C195="","",IFERROR(VLOOKUP(C195,'SẢN_PHẨM'!$A$2:$G$500,4,FALSE),""))</x:f>
      </x:c>
      <x:c r="H195" s="43"/>
      <x:c r="I195" s="38" t="str">
        <x:f>IF(C195="","",IFERROR(VLOOKUP(C195,'SẢN_PHẨM'!$A$2:$G$500,6,FALSE),""))</x:f>
      </x:c>
      <x:c r="J195" s="35" t="str">
        <x:f>IF(OR(F195="",G195=""),"",F195*G195)</x:f>
      </x:c>
      <x:c r="K195" s="35" t="str">
        <x:f>IF(J195="","",J195*H195)</x:f>
      </x:c>
      <x:c r="L195" s="35" t="str">
        <x:f>IF(J195="","",J195-K195)</x:f>
      </x:c>
      <x:c r="M195" s="35" t="str">
        <x:f>IF(L195="","",L195*I195)</x:f>
      </x:c>
      <x:c r="N195" s="35" t="str">
        <x:f>IF(L195="","",L195+M195)</x:f>
      </x:c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36" t="str">
        <x:f>IF(C196="","",IFERROR(VLOOKUP(C196,'SẢN_PHẨM'!$A$2:$G$500,2,FALSE),""))</x:f>
      </x:c>
      <x:c r="E196" s="36" t="str">
        <x:f>IF(C196="","",IFERROR(VLOOKUP(C196,'SẢN_PHẨM'!$A$2:$G$500,3,FALSE),""))</x:f>
      </x:c>
      <x:c r="F196" s="39"/>
      <x:c r="G196" s="34" t="str">
        <x:f>IF(C196="","",IFERROR(VLOOKUP(C196,'SẢN_PHẨM'!$A$2:$G$500,4,FALSE),""))</x:f>
      </x:c>
      <x:c r="H196" s="43"/>
      <x:c r="I196" s="38" t="str">
        <x:f>IF(C196="","",IFERROR(VLOOKUP(C196,'SẢN_PHẨM'!$A$2:$G$500,6,FALSE),""))</x:f>
      </x:c>
      <x:c r="J196" s="35" t="str">
        <x:f>IF(OR(F196="",G196=""),"",F196*G196)</x:f>
      </x:c>
      <x:c r="K196" s="35" t="str">
        <x:f>IF(J196="","",J196*H196)</x:f>
      </x:c>
      <x:c r="L196" s="35" t="str">
        <x:f>IF(J196="","",J196-K196)</x:f>
      </x:c>
      <x:c r="M196" s="35" t="str">
        <x:f>IF(L196="","",L196*I196)</x:f>
      </x:c>
      <x:c r="N196" s="35" t="str">
        <x:f>IF(L196="","",L196+M196)</x:f>
      </x:c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36" t="str">
        <x:f>IF(C197="","",IFERROR(VLOOKUP(C197,'SẢN_PHẨM'!$A$2:$G$500,2,FALSE),""))</x:f>
      </x:c>
      <x:c r="E197" s="36" t="str">
        <x:f>IF(C197="","",IFERROR(VLOOKUP(C197,'SẢN_PHẨM'!$A$2:$G$500,3,FALSE),""))</x:f>
      </x:c>
      <x:c r="F197" s="39"/>
      <x:c r="G197" s="34" t="str">
        <x:f>IF(C197="","",IFERROR(VLOOKUP(C197,'SẢN_PHẨM'!$A$2:$G$500,4,FALSE),""))</x:f>
      </x:c>
      <x:c r="H197" s="43"/>
      <x:c r="I197" s="38" t="str">
        <x:f>IF(C197="","",IFERROR(VLOOKUP(C197,'SẢN_PHẨM'!$A$2:$G$500,6,FALSE),""))</x:f>
      </x:c>
      <x:c r="J197" s="35" t="str">
        <x:f>IF(OR(F197="",G197=""),"",F197*G197)</x:f>
      </x:c>
      <x:c r="K197" s="35" t="str">
        <x:f>IF(J197="","",J197*H197)</x:f>
      </x:c>
      <x:c r="L197" s="35" t="str">
        <x:f>IF(J197="","",J197-K197)</x:f>
      </x:c>
      <x:c r="M197" s="35" t="str">
        <x:f>IF(L197="","",L197*I197)</x:f>
      </x:c>
      <x:c r="N197" s="35" t="str">
        <x:f>IF(L197="","",L197+M197)</x:f>
      </x:c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36" t="str">
        <x:f>IF(C198="","",IFERROR(VLOOKUP(C198,'SẢN_PHẨM'!$A$2:$G$500,2,FALSE),""))</x:f>
      </x:c>
      <x:c r="E198" s="36" t="str">
        <x:f>IF(C198="","",IFERROR(VLOOKUP(C198,'SẢN_PHẨM'!$A$2:$G$500,3,FALSE),""))</x:f>
      </x:c>
      <x:c r="F198" s="39"/>
      <x:c r="G198" s="34" t="str">
        <x:f>IF(C198="","",IFERROR(VLOOKUP(C198,'SẢN_PHẨM'!$A$2:$G$500,4,FALSE),""))</x:f>
      </x:c>
      <x:c r="H198" s="43"/>
      <x:c r="I198" s="38" t="str">
        <x:f>IF(C198="","",IFERROR(VLOOKUP(C198,'SẢN_PHẨM'!$A$2:$G$500,6,FALSE),""))</x:f>
      </x:c>
      <x:c r="J198" s="35" t="str">
        <x:f>IF(OR(F198="",G198=""),"",F198*G198)</x:f>
      </x:c>
      <x:c r="K198" s="35" t="str">
        <x:f>IF(J198="","",J198*H198)</x:f>
      </x:c>
      <x:c r="L198" s="35" t="str">
        <x:f>IF(J198="","",J198-K198)</x:f>
      </x:c>
      <x:c r="M198" s="35" t="str">
        <x:f>IF(L198="","",L198*I198)</x:f>
      </x:c>
      <x:c r="N198" s="35" t="str">
        <x:f>IF(L198="","",L198+M198)</x:f>
      </x:c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36" t="str">
        <x:f>IF(C199="","",IFERROR(VLOOKUP(C199,'SẢN_PHẨM'!$A$2:$G$500,2,FALSE),""))</x:f>
      </x:c>
      <x:c r="E199" s="36" t="str">
        <x:f>IF(C199="","",IFERROR(VLOOKUP(C199,'SẢN_PHẨM'!$A$2:$G$500,3,FALSE),""))</x:f>
      </x:c>
      <x:c r="F199" s="39"/>
      <x:c r="G199" s="34" t="str">
        <x:f>IF(C199="","",IFERROR(VLOOKUP(C199,'SẢN_PHẨM'!$A$2:$G$500,4,FALSE),""))</x:f>
      </x:c>
      <x:c r="H199" s="43"/>
      <x:c r="I199" s="38" t="str">
        <x:f>IF(C199="","",IFERROR(VLOOKUP(C199,'SẢN_PHẨM'!$A$2:$G$500,6,FALSE),""))</x:f>
      </x:c>
      <x:c r="J199" s="35" t="str">
        <x:f>IF(OR(F199="",G199=""),"",F199*G199)</x:f>
      </x:c>
      <x:c r="K199" s="35" t="str">
        <x:f>IF(J199="","",J199*H199)</x:f>
      </x:c>
      <x:c r="L199" s="35" t="str">
        <x:f>IF(J199="","",J199-K199)</x:f>
      </x:c>
      <x:c r="M199" s="35" t="str">
        <x:f>IF(L199="","",L199*I199)</x:f>
      </x:c>
      <x:c r="N199" s="35" t="str">
        <x:f>IF(L199="","",L199+M199)</x:f>
      </x:c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36" t="str">
        <x:f>IF(C200="","",IFERROR(VLOOKUP(C200,'SẢN_PHẨM'!$A$2:$G$500,2,FALSE),""))</x:f>
      </x:c>
      <x:c r="E200" s="36" t="str">
        <x:f>IF(C200="","",IFERROR(VLOOKUP(C200,'SẢN_PHẨM'!$A$2:$G$500,3,FALSE),""))</x:f>
      </x:c>
      <x:c r="F200" s="39"/>
      <x:c r="G200" s="34" t="str">
        <x:f>IF(C200="","",IFERROR(VLOOKUP(C200,'SẢN_PHẨM'!$A$2:$G$500,4,FALSE),""))</x:f>
      </x:c>
      <x:c r="H200" s="43"/>
      <x:c r="I200" s="38" t="str">
        <x:f>IF(C200="","",IFERROR(VLOOKUP(C200,'SẢN_PHẨM'!$A$2:$G$500,6,FALSE),""))</x:f>
      </x:c>
      <x:c r="J200" s="35" t="str">
        <x:f>IF(OR(F200="",G200=""),"",F200*G200)</x:f>
      </x:c>
      <x:c r="K200" s="35" t="str">
        <x:f>IF(J200="","",J200*H200)</x:f>
      </x:c>
      <x:c r="L200" s="35" t="str">
        <x:f>IF(J200="","",J200-K200)</x:f>
      </x:c>
      <x:c r="M200" s="35" t="str">
        <x:f>IF(L200="","",L200*I200)</x:f>
      </x:c>
      <x:c r="N200" s="35" t="str">
        <x:f>IF(L200="","",L200+M200)</x:f>
      </x:c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36" t="str">
        <x:f>IF(C201="","",IFERROR(VLOOKUP(C201,'SẢN_PHẨM'!$A$2:$G$500,2,FALSE),""))</x:f>
      </x:c>
      <x:c r="E201" s="36" t="str">
        <x:f>IF(C201="","",IFERROR(VLOOKUP(C201,'SẢN_PHẨM'!$A$2:$G$500,3,FALSE),""))</x:f>
      </x:c>
      <x:c r="F201" s="39"/>
      <x:c r="G201" s="34" t="str">
        <x:f>IF(C201="","",IFERROR(VLOOKUP(C201,'SẢN_PHẨM'!$A$2:$G$500,4,FALSE),""))</x:f>
      </x:c>
      <x:c r="H201" s="43"/>
      <x:c r="I201" s="38" t="str">
        <x:f>IF(C201="","",IFERROR(VLOOKUP(C201,'SẢN_PHẨM'!$A$2:$G$500,6,FALSE),""))</x:f>
      </x:c>
      <x:c r="J201" s="35" t="str">
        <x:f>IF(OR(F201="",G201=""),"",F201*G201)</x:f>
      </x:c>
      <x:c r="K201" s="35" t="str">
        <x:f>IF(J201="","",J201*H201)</x:f>
      </x:c>
      <x:c r="L201" s="35" t="str">
        <x:f>IF(J201="","",J201-K201)</x:f>
      </x:c>
      <x:c r="M201" s="35" t="str">
        <x:f>IF(L201="","",L201*I201)</x:f>
      </x:c>
      <x:c r="N201" s="35" t="str">
        <x:f>IF(L201="","",L201+M201)</x:f>
      </x:c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36" t="str">
        <x:f>IF(C202="","",IFERROR(VLOOKUP(C202,'SẢN_PHẨM'!$A$2:$G$500,2,FALSE),""))</x:f>
      </x:c>
      <x:c r="E202" s="36" t="str">
        <x:f>IF(C202="","",IFERROR(VLOOKUP(C202,'SẢN_PHẨM'!$A$2:$G$500,3,FALSE),""))</x:f>
      </x:c>
      <x:c r="F202" s="39"/>
      <x:c r="G202" s="34" t="str">
        <x:f>IF(C202="","",IFERROR(VLOOKUP(C202,'SẢN_PHẨM'!$A$2:$G$500,4,FALSE),""))</x:f>
      </x:c>
      <x:c r="H202" s="43"/>
      <x:c r="I202" s="38" t="str">
        <x:f>IF(C202="","",IFERROR(VLOOKUP(C202,'SẢN_PHẨM'!$A$2:$G$500,6,FALSE),""))</x:f>
      </x:c>
      <x:c r="J202" s="35" t="str">
        <x:f>IF(OR(F202="",G202=""),"",F202*G202)</x:f>
      </x:c>
      <x:c r="K202" s="35" t="str">
        <x:f>IF(J202="","",J202*H202)</x:f>
      </x:c>
      <x:c r="L202" s="35" t="str">
        <x:f>IF(J202="","",J202-K202)</x:f>
      </x:c>
      <x:c r="M202" s="35" t="str">
        <x:f>IF(L202="","",L202*I202)</x:f>
      </x:c>
      <x:c r="N202" s="35" t="str">
        <x:f>IF(L202="","",L202+M202)</x:f>
      </x:c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36" t="str">
        <x:f>IF(C203="","",IFERROR(VLOOKUP(C203,'SẢN_PHẨM'!$A$2:$G$500,2,FALSE),""))</x:f>
      </x:c>
      <x:c r="E203" s="36" t="str">
        <x:f>IF(C203="","",IFERROR(VLOOKUP(C203,'SẢN_PHẨM'!$A$2:$G$500,3,FALSE),""))</x:f>
      </x:c>
      <x:c r="F203" s="39"/>
      <x:c r="G203" s="34" t="str">
        <x:f>IF(C203="","",IFERROR(VLOOKUP(C203,'SẢN_PHẨM'!$A$2:$G$500,4,FALSE),""))</x:f>
      </x:c>
      <x:c r="H203" s="43"/>
      <x:c r="I203" s="38" t="str">
        <x:f>IF(C203="","",IFERROR(VLOOKUP(C203,'SẢN_PHẨM'!$A$2:$G$500,6,FALSE),""))</x:f>
      </x:c>
      <x:c r="J203" s="35" t="str">
        <x:f>IF(OR(F203="",G203=""),"",F203*G203)</x:f>
      </x:c>
      <x:c r="K203" s="35" t="str">
        <x:f>IF(J203="","",J203*H203)</x:f>
      </x:c>
      <x:c r="L203" s="35" t="str">
        <x:f>IF(J203="","",J203-K203)</x:f>
      </x:c>
      <x:c r="M203" s="35" t="str">
        <x:f>IF(L203="","",L203*I203)</x:f>
      </x:c>
      <x:c r="N203" s="35" t="str">
        <x:f>IF(L203="","",L203+M203)</x:f>
      </x:c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36" t="str">
        <x:f>IF(C204="","",IFERROR(VLOOKUP(C204,'SẢN_PHẨM'!$A$2:$G$500,2,FALSE),""))</x:f>
      </x:c>
      <x:c r="E204" s="36" t="str">
        <x:f>IF(C204="","",IFERROR(VLOOKUP(C204,'SẢN_PHẨM'!$A$2:$G$500,3,FALSE),""))</x:f>
      </x:c>
      <x:c r="F204" s="39"/>
      <x:c r="G204" s="34" t="str">
        <x:f>IF(C204="","",IFERROR(VLOOKUP(C204,'SẢN_PHẨM'!$A$2:$G$500,4,FALSE),""))</x:f>
      </x:c>
      <x:c r="H204" s="43"/>
      <x:c r="I204" s="38" t="str">
        <x:f>IF(C204="","",IFERROR(VLOOKUP(C204,'SẢN_PHẨM'!$A$2:$G$500,6,FALSE),""))</x:f>
      </x:c>
      <x:c r="J204" s="35" t="str">
        <x:f>IF(OR(F204="",G204=""),"",F204*G204)</x:f>
      </x:c>
      <x:c r="K204" s="35" t="str">
        <x:f>IF(J204="","",J204*H204)</x:f>
      </x:c>
      <x:c r="L204" s="35" t="str">
        <x:f>IF(J204="","",J204-K204)</x:f>
      </x:c>
      <x:c r="M204" s="35" t="str">
        <x:f>IF(L204="","",L204*I204)</x:f>
      </x:c>
      <x:c r="N204" s="35" t="str">
        <x:f>IF(L204="","",L204+M204)</x:f>
      </x:c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36" t="str">
        <x:f>IF(C205="","",IFERROR(VLOOKUP(C205,'SẢN_PHẨM'!$A$2:$G$500,2,FALSE),""))</x:f>
      </x:c>
      <x:c r="E205" s="36" t="str">
        <x:f>IF(C205="","",IFERROR(VLOOKUP(C205,'SẢN_PHẨM'!$A$2:$G$500,3,FALSE),""))</x:f>
      </x:c>
      <x:c r="F205" s="39"/>
      <x:c r="G205" s="34" t="str">
        <x:f>IF(C205="","",IFERROR(VLOOKUP(C205,'SẢN_PHẨM'!$A$2:$G$500,4,FALSE),""))</x:f>
      </x:c>
      <x:c r="H205" s="43"/>
      <x:c r="I205" s="38" t="str">
        <x:f>IF(C205="","",IFERROR(VLOOKUP(C205,'SẢN_PHẨM'!$A$2:$G$500,6,FALSE),""))</x:f>
      </x:c>
      <x:c r="J205" s="35" t="str">
        <x:f>IF(OR(F205="",G205=""),"",F205*G205)</x:f>
      </x:c>
      <x:c r="K205" s="35" t="str">
        <x:f>IF(J205="","",J205*H205)</x:f>
      </x:c>
      <x:c r="L205" s="35" t="str">
        <x:f>IF(J205="","",J205-K205)</x:f>
      </x:c>
      <x:c r="M205" s="35" t="str">
        <x:f>IF(L205="","",L205*I205)</x:f>
      </x:c>
      <x:c r="N205" s="35" t="str">
        <x:f>IF(L205="","",L205+M205)</x:f>
      </x:c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36" t="str">
        <x:f>IF(C206="","",IFERROR(VLOOKUP(C206,'SẢN_PHẨM'!$A$2:$G$500,2,FALSE),""))</x:f>
      </x:c>
      <x:c r="E206" s="36" t="str">
        <x:f>IF(C206="","",IFERROR(VLOOKUP(C206,'SẢN_PHẨM'!$A$2:$G$500,3,FALSE),""))</x:f>
      </x:c>
      <x:c r="F206" s="39"/>
      <x:c r="G206" s="34" t="str">
        <x:f>IF(C206="","",IFERROR(VLOOKUP(C206,'SẢN_PHẨM'!$A$2:$G$500,4,FALSE),""))</x:f>
      </x:c>
      <x:c r="H206" s="43"/>
      <x:c r="I206" s="38" t="str">
        <x:f>IF(C206="","",IFERROR(VLOOKUP(C206,'SẢN_PHẨM'!$A$2:$G$500,6,FALSE),""))</x:f>
      </x:c>
      <x:c r="J206" s="35" t="str">
        <x:f>IF(OR(F206="",G206=""),"",F206*G206)</x:f>
      </x:c>
      <x:c r="K206" s="35" t="str">
        <x:f>IF(J206="","",J206*H206)</x:f>
      </x:c>
      <x:c r="L206" s="35" t="str">
        <x:f>IF(J206="","",J206-K206)</x:f>
      </x:c>
      <x:c r="M206" s="35" t="str">
        <x:f>IF(L206="","",L206*I206)</x:f>
      </x:c>
      <x:c r="N206" s="35" t="str">
        <x:f>IF(L206="","",L206+M206)</x:f>
      </x:c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36" t="str">
        <x:f>IF(C207="","",IFERROR(VLOOKUP(C207,'SẢN_PHẨM'!$A$2:$G$500,2,FALSE),""))</x:f>
      </x:c>
      <x:c r="E207" s="36" t="str">
        <x:f>IF(C207="","",IFERROR(VLOOKUP(C207,'SẢN_PHẨM'!$A$2:$G$500,3,FALSE),""))</x:f>
      </x:c>
      <x:c r="F207" s="39"/>
      <x:c r="G207" s="34" t="str">
        <x:f>IF(C207="","",IFERROR(VLOOKUP(C207,'SẢN_PHẨM'!$A$2:$G$500,4,FALSE),""))</x:f>
      </x:c>
      <x:c r="H207" s="43"/>
      <x:c r="I207" s="38" t="str">
        <x:f>IF(C207="","",IFERROR(VLOOKUP(C207,'SẢN_PHẨM'!$A$2:$G$500,6,FALSE),""))</x:f>
      </x:c>
      <x:c r="J207" s="35" t="str">
        <x:f>IF(OR(F207="",G207=""),"",F207*G207)</x:f>
      </x:c>
      <x:c r="K207" s="35" t="str">
        <x:f>IF(J207="","",J207*H207)</x:f>
      </x:c>
      <x:c r="L207" s="35" t="str">
        <x:f>IF(J207="","",J207-K207)</x:f>
      </x:c>
      <x:c r="M207" s="35" t="str">
        <x:f>IF(L207="","",L207*I207)</x:f>
      </x:c>
      <x:c r="N207" s="35" t="str">
        <x:f>IF(L207="","",L207+M207)</x:f>
      </x:c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36" t="str">
        <x:f>IF(C208="","",IFERROR(VLOOKUP(C208,'SẢN_PHẨM'!$A$2:$G$500,2,FALSE),""))</x:f>
      </x:c>
      <x:c r="E208" s="36" t="str">
        <x:f>IF(C208="","",IFERROR(VLOOKUP(C208,'SẢN_PHẨM'!$A$2:$G$500,3,FALSE),""))</x:f>
      </x:c>
      <x:c r="F208" s="39"/>
      <x:c r="G208" s="34" t="str">
        <x:f>IF(C208="","",IFERROR(VLOOKUP(C208,'SẢN_PHẨM'!$A$2:$G$500,4,FALSE),""))</x:f>
      </x:c>
      <x:c r="H208" s="43"/>
      <x:c r="I208" s="38" t="str">
        <x:f>IF(C208="","",IFERROR(VLOOKUP(C208,'SẢN_PHẨM'!$A$2:$G$500,6,FALSE),""))</x:f>
      </x:c>
      <x:c r="J208" s="35" t="str">
        <x:f>IF(OR(F208="",G208=""),"",F208*G208)</x:f>
      </x:c>
      <x:c r="K208" s="35" t="str">
        <x:f>IF(J208="","",J208*H208)</x:f>
      </x:c>
      <x:c r="L208" s="35" t="str">
        <x:f>IF(J208="","",J208-K208)</x:f>
      </x:c>
      <x:c r="M208" s="35" t="str">
        <x:f>IF(L208="","",L208*I208)</x:f>
      </x:c>
      <x:c r="N208" s="35" t="str">
        <x:f>IF(L208="","",L208+M208)</x:f>
      </x:c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36" t="str">
        <x:f>IF(C209="","",IFERROR(VLOOKUP(C209,'SẢN_PHẨM'!$A$2:$G$500,2,FALSE),""))</x:f>
      </x:c>
      <x:c r="E209" s="36" t="str">
        <x:f>IF(C209="","",IFERROR(VLOOKUP(C209,'SẢN_PHẨM'!$A$2:$G$500,3,FALSE),""))</x:f>
      </x:c>
      <x:c r="F209" s="39"/>
      <x:c r="G209" s="34" t="str">
        <x:f>IF(C209="","",IFERROR(VLOOKUP(C209,'SẢN_PHẨM'!$A$2:$G$500,4,FALSE),""))</x:f>
      </x:c>
      <x:c r="H209" s="43"/>
      <x:c r="I209" s="38" t="str">
        <x:f>IF(C209="","",IFERROR(VLOOKUP(C209,'SẢN_PHẨM'!$A$2:$G$500,6,FALSE),""))</x:f>
      </x:c>
      <x:c r="J209" s="35" t="str">
        <x:f>IF(OR(F209="",G209=""),"",F209*G209)</x:f>
      </x:c>
      <x:c r="K209" s="35" t="str">
        <x:f>IF(J209="","",J209*H209)</x:f>
      </x:c>
      <x:c r="L209" s="35" t="str">
        <x:f>IF(J209="","",J209-K209)</x:f>
      </x:c>
      <x:c r="M209" s="35" t="str">
        <x:f>IF(L209="","",L209*I209)</x:f>
      </x:c>
      <x:c r="N209" s="35" t="str">
        <x:f>IF(L209="","",L209+M209)</x:f>
      </x:c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36" t="str">
        <x:f>IF(C210="","",IFERROR(VLOOKUP(C210,'SẢN_PHẨM'!$A$2:$G$500,2,FALSE),""))</x:f>
      </x:c>
      <x:c r="E210" s="36" t="str">
        <x:f>IF(C210="","",IFERROR(VLOOKUP(C210,'SẢN_PHẨM'!$A$2:$G$500,3,FALSE),""))</x:f>
      </x:c>
      <x:c r="F210" s="39"/>
      <x:c r="G210" s="34" t="str">
        <x:f>IF(C210="","",IFERROR(VLOOKUP(C210,'SẢN_PHẨM'!$A$2:$G$500,4,FALSE),""))</x:f>
      </x:c>
      <x:c r="H210" s="43"/>
      <x:c r="I210" s="38" t="str">
        <x:f>IF(C210="","",IFERROR(VLOOKUP(C210,'SẢN_PHẨM'!$A$2:$G$500,6,FALSE),""))</x:f>
      </x:c>
      <x:c r="J210" s="35" t="str">
        <x:f>IF(OR(F210="",G210=""),"",F210*G210)</x:f>
      </x:c>
      <x:c r="K210" s="35" t="str">
        <x:f>IF(J210="","",J210*H210)</x:f>
      </x:c>
      <x:c r="L210" s="35" t="str">
        <x:f>IF(J210="","",J210-K210)</x:f>
      </x:c>
      <x:c r="M210" s="35" t="str">
        <x:f>IF(L210="","",L210*I210)</x:f>
      </x:c>
      <x:c r="N210" s="35" t="str">
        <x:f>IF(L210="","",L210+M210)</x:f>
      </x:c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36" t="str">
        <x:f>IF(C211="","",IFERROR(VLOOKUP(C211,'SẢN_PHẨM'!$A$2:$G$500,2,FALSE),""))</x:f>
      </x:c>
      <x:c r="E211" s="36" t="str">
        <x:f>IF(C211="","",IFERROR(VLOOKUP(C211,'SẢN_PHẨM'!$A$2:$G$500,3,FALSE),""))</x:f>
      </x:c>
      <x:c r="F211" s="39"/>
      <x:c r="G211" s="34" t="str">
        <x:f>IF(C211="","",IFERROR(VLOOKUP(C211,'SẢN_PHẨM'!$A$2:$G$500,4,FALSE),""))</x:f>
      </x:c>
      <x:c r="H211" s="43"/>
      <x:c r="I211" s="38" t="str">
        <x:f>IF(C211="","",IFERROR(VLOOKUP(C211,'SẢN_PHẨM'!$A$2:$G$500,6,FALSE),""))</x:f>
      </x:c>
      <x:c r="J211" s="35" t="str">
        <x:f>IF(OR(F211="",G211=""),"",F211*G211)</x:f>
      </x:c>
      <x:c r="K211" s="35" t="str">
        <x:f>IF(J211="","",J211*H211)</x:f>
      </x:c>
      <x:c r="L211" s="35" t="str">
        <x:f>IF(J211="","",J211-K211)</x:f>
      </x:c>
      <x:c r="M211" s="35" t="str">
        <x:f>IF(L211="","",L211*I211)</x:f>
      </x:c>
      <x:c r="N211" s="35" t="str">
        <x:f>IF(L211="","",L211+M211)</x:f>
      </x:c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36" t="str">
        <x:f>IF(C212="","",IFERROR(VLOOKUP(C212,'SẢN_PHẨM'!$A$2:$G$500,2,FALSE),""))</x:f>
      </x:c>
      <x:c r="E212" s="36" t="str">
        <x:f>IF(C212="","",IFERROR(VLOOKUP(C212,'SẢN_PHẨM'!$A$2:$G$500,3,FALSE),""))</x:f>
      </x:c>
      <x:c r="F212" s="39"/>
      <x:c r="G212" s="34" t="str">
        <x:f>IF(C212="","",IFERROR(VLOOKUP(C212,'SẢN_PHẨM'!$A$2:$G$500,4,FALSE),""))</x:f>
      </x:c>
      <x:c r="H212" s="43"/>
      <x:c r="I212" s="38" t="str">
        <x:f>IF(C212="","",IFERROR(VLOOKUP(C212,'SẢN_PHẨM'!$A$2:$G$500,6,FALSE),""))</x:f>
      </x:c>
      <x:c r="J212" s="35" t="str">
        <x:f>IF(OR(F212="",G212=""),"",F212*G212)</x:f>
      </x:c>
      <x:c r="K212" s="35" t="str">
        <x:f>IF(J212="","",J212*H212)</x:f>
      </x:c>
      <x:c r="L212" s="35" t="str">
        <x:f>IF(J212="","",J212-K212)</x:f>
      </x:c>
      <x:c r="M212" s="35" t="str">
        <x:f>IF(L212="","",L212*I212)</x:f>
      </x:c>
      <x:c r="N212" s="35" t="str">
        <x:f>IF(L212="","",L212+M212)</x:f>
      </x:c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36" t="str">
        <x:f>IF(C213="","",IFERROR(VLOOKUP(C213,'SẢN_PHẨM'!$A$2:$G$500,2,FALSE),""))</x:f>
      </x:c>
      <x:c r="E213" s="36" t="str">
        <x:f>IF(C213="","",IFERROR(VLOOKUP(C213,'SẢN_PHẨM'!$A$2:$G$500,3,FALSE),""))</x:f>
      </x:c>
      <x:c r="F213" s="39"/>
      <x:c r="G213" s="34" t="str">
        <x:f>IF(C213="","",IFERROR(VLOOKUP(C213,'SẢN_PHẨM'!$A$2:$G$500,4,FALSE),""))</x:f>
      </x:c>
      <x:c r="H213" s="43"/>
      <x:c r="I213" s="38" t="str">
        <x:f>IF(C213="","",IFERROR(VLOOKUP(C213,'SẢN_PHẨM'!$A$2:$G$500,6,FALSE),""))</x:f>
      </x:c>
      <x:c r="J213" s="35" t="str">
        <x:f>IF(OR(F213="",G213=""),"",F213*G213)</x:f>
      </x:c>
      <x:c r="K213" s="35" t="str">
        <x:f>IF(J213="","",J213*H213)</x:f>
      </x:c>
      <x:c r="L213" s="35" t="str">
        <x:f>IF(J213="","",J213-K213)</x:f>
      </x:c>
      <x:c r="M213" s="35" t="str">
        <x:f>IF(L213="","",L213*I213)</x:f>
      </x:c>
      <x:c r="N213" s="35" t="str">
        <x:f>IF(L213="","",L213+M213)</x:f>
      </x:c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36" t="str">
        <x:f>IF(C214="","",IFERROR(VLOOKUP(C214,'SẢN_PHẨM'!$A$2:$G$500,2,FALSE),""))</x:f>
      </x:c>
      <x:c r="E214" s="36" t="str">
        <x:f>IF(C214="","",IFERROR(VLOOKUP(C214,'SẢN_PHẨM'!$A$2:$G$500,3,FALSE),""))</x:f>
      </x:c>
      <x:c r="F214" s="39"/>
      <x:c r="G214" s="34" t="str">
        <x:f>IF(C214="","",IFERROR(VLOOKUP(C214,'SẢN_PHẨM'!$A$2:$G$500,4,FALSE),""))</x:f>
      </x:c>
      <x:c r="H214" s="43"/>
      <x:c r="I214" s="38" t="str">
        <x:f>IF(C214="","",IFERROR(VLOOKUP(C214,'SẢN_PHẨM'!$A$2:$G$500,6,FALSE),""))</x:f>
      </x:c>
      <x:c r="J214" s="35" t="str">
        <x:f>IF(OR(F214="",G214=""),"",F214*G214)</x:f>
      </x:c>
      <x:c r="K214" s="35" t="str">
        <x:f>IF(J214="","",J214*H214)</x:f>
      </x:c>
      <x:c r="L214" s="35" t="str">
        <x:f>IF(J214="","",J214-K214)</x:f>
      </x:c>
      <x:c r="M214" s="35" t="str">
        <x:f>IF(L214="","",L214*I214)</x:f>
      </x:c>
      <x:c r="N214" s="35" t="str">
        <x:f>IF(L214="","",L214+M214)</x:f>
      </x:c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36" t="str">
        <x:f>IF(C215="","",IFERROR(VLOOKUP(C215,'SẢN_PHẨM'!$A$2:$G$500,2,FALSE),""))</x:f>
      </x:c>
      <x:c r="E215" s="36" t="str">
        <x:f>IF(C215="","",IFERROR(VLOOKUP(C215,'SẢN_PHẨM'!$A$2:$G$500,3,FALSE),""))</x:f>
      </x:c>
      <x:c r="F215" s="39"/>
      <x:c r="G215" s="34" t="str">
        <x:f>IF(C215="","",IFERROR(VLOOKUP(C215,'SẢN_PHẨM'!$A$2:$G$500,4,FALSE),""))</x:f>
      </x:c>
      <x:c r="H215" s="43"/>
      <x:c r="I215" s="38" t="str">
        <x:f>IF(C215="","",IFERROR(VLOOKUP(C215,'SẢN_PHẨM'!$A$2:$G$500,6,FALSE),""))</x:f>
      </x:c>
      <x:c r="J215" s="35" t="str">
        <x:f>IF(OR(F215="",G215=""),"",F215*G215)</x:f>
      </x:c>
      <x:c r="K215" s="35" t="str">
        <x:f>IF(J215="","",J215*H215)</x:f>
      </x:c>
      <x:c r="L215" s="35" t="str">
        <x:f>IF(J215="","",J215-K215)</x:f>
      </x:c>
      <x:c r="M215" s="35" t="str">
        <x:f>IF(L215="","",L215*I215)</x:f>
      </x:c>
      <x:c r="N215" s="35" t="str">
        <x:f>IF(L215="","",L215+M215)</x:f>
      </x:c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36" t="str">
        <x:f>IF(C216="","",IFERROR(VLOOKUP(C216,'SẢN_PHẨM'!$A$2:$G$500,2,FALSE),""))</x:f>
      </x:c>
      <x:c r="E216" s="36" t="str">
        <x:f>IF(C216="","",IFERROR(VLOOKUP(C216,'SẢN_PHẨM'!$A$2:$G$500,3,FALSE),""))</x:f>
      </x:c>
      <x:c r="F216" s="39"/>
      <x:c r="G216" s="34" t="str">
        <x:f>IF(C216="","",IFERROR(VLOOKUP(C216,'SẢN_PHẨM'!$A$2:$G$500,4,FALSE),""))</x:f>
      </x:c>
      <x:c r="H216" s="43"/>
      <x:c r="I216" s="38" t="str">
        <x:f>IF(C216="","",IFERROR(VLOOKUP(C216,'SẢN_PHẨM'!$A$2:$G$500,6,FALSE),""))</x:f>
      </x:c>
      <x:c r="J216" s="35" t="str">
        <x:f>IF(OR(F216="",G216=""),"",F216*G216)</x:f>
      </x:c>
      <x:c r="K216" s="35" t="str">
        <x:f>IF(J216="","",J216*H216)</x:f>
      </x:c>
      <x:c r="L216" s="35" t="str">
        <x:f>IF(J216="","",J216-K216)</x:f>
      </x:c>
      <x:c r="M216" s="35" t="str">
        <x:f>IF(L216="","",L216*I216)</x:f>
      </x:c>
      <x:c r="N216" s="35" t="str">
        <x:f>IF(L216="","",L216+M216)</x:f>
      </x:c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36" t="str">
        <x:f>IF(C217="","",IFERROR(VLOOKUP(C217,'SẢN_PHẨM'!$A$2:$G$500,2,FALSE),""))</x:f>
      </x:c>
      <x:c r="E217" s="36" t="str">
        <x:f>IF(C217="","",IFERROR(VLOOKUP(C217,'SẢN_PHẨM'!$A$2:$G$500,3,FALSE),""))</x:f>
      </x:c>
      <x:c r="F217" s="39"/>
      <x:c r="G217" s="34" t="str">
        <x:f>IF(C217="","",IFERROR(VLOOKUP(C217,'SẢN_PHẨM'!$A$2:$G$500,4,FALSE),""))</x:f>
      </x:c>
      <x:c r="H217" s="43"/>
      <x:c r="I217" s="38" t="str">
        <x:f>IF(C217="","",IFERROR(VLOOKUP(C217,'SẢN_PHẨM'!$A$2:$G$500,6,FALSE),""))</x:f>
      </x:c>
      <x:c r="J217" s="35" t="str">
        <x:f>IF(OR(F217="",G217=""),"",F217*G217)</x:f>
      </x:c>
      <x:c r="K217" s="35" t="str">
        <x:f>IF(J217="","",J217*H217)</x:f>
      </x:c>
      <x:c r="L217" s="35" t="str">
        <x:f>IF(J217="","",J217-K217)</x:f>
      </x:c>
      <x:c r="M217" s="35" t="str">
        <x:f>IF(L217="","",L217*I217)</x:f>
      </x:c>
      <x:c r="N217" s="35" t="str">
        <x:f>IF(L217="","",L217+M217)</x:f>
      </x:c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36" t="str">
        <x:f>IF(C218="","",IFERROR(VLOOKUP(C218,'SẢN_PHẨM'!$A$2:$G$500,2,FALSE),""))</x:f>
      </x:c>
      <x:c r="E218" s="36" t="str">
        <x:f>IF(C218="","",IFERROR(VLOOKUP(C218,'SẢN_PHẨM'!$A$2:$G$500,3,FALSE),""))</x:f>
      </x:c>
      <x:c r="F218" s="39"/>
      <x:c r="G218" s="34" t="str">
        <x:f>IF(C218="","",IFERROR(VLOOKUP(C218,'SẢN_PHẨM'!$A$2:$G$500,4,FALSE),""))</x:f>
      </x:c>
      <x:c r="H218" s="43"/>
      <x:c r="I218" s="38" t="str">
        <x:f>IF(C218="","",IFERROR(VLOOKUP(C218,'SẢN_PHẨM'!$A$2:$G$500,6,FALSE),""))</x:f>
      </x:c>
      <x:c r="J218" s="35" t="str">
        <x:f>IF(OR(F218="",G218=""),"",F218*G218)</x:f>
      </x:c>
      <x:c r="K218" s="35" t="str">
        <x:f>IF(J218="","",J218*H218)</x:f>
      </x:c>
      <x:c r="L218" s="35" t="str">
        <x:f>IF(J218="","",J218-K218)</x:f>
      </x:c>
      <x:c r="M218" s="35" t="str">
        <x:f>IF(L218="","",L218*I218)</x:f>
      </x:c>
      <x:c r="N218" s="35" t="str">
        <x:f>IF(L218="","",L218+M218)</x:f>
      </x:c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36" t="str">
        <x:f>IF(C219="","",IFERROR(VLOOKUP(C219,'SẢN_PHẨM'!$A$2:$G$500,2,FALSE),""))</x:f>
      </x:c>
      <x:c r="E219" s="36" t="str">
        <x:f>IF(C219="","",IFERROR(VLOOKUP(C219,'SẢN_PHẨM'!$A$2:$G$500,3,FALSE),""))</x:f>
      </x:c>
      <x:c r="F219" s="39"/>
      <x:c r="G219" s="34" t="str">
        <x:f>IF(C219="","",IFERROR(VLOOKUP(C219,'SẢN_PHẨM'!$A$2:$G$500,4,FALSE),""))</x:f>
      </x:c>
      <x:c r="H219" s="43"/>
      <x:c r="I219" s="38" t="str">
        <x:f>IF(C219="","",IFERROR(VLOOKUP(C219,'SẢN_PHẨM'!$A$2:$G$500,6,FALSE),""))</x:f>
      </x:c>
      <x:c r="J219" s="35" t="str">
        <x:f>IF(OR(F219="",G219=""),"",F219*G219)</x:f>
      </x:c>
      <x:c r="K219" s="35" t="str">
        <x:f>IF(J219="","",J219*H219)</x:f>
      </x:c>
      <x:c r="L219" s="35" t="str">
        <x:f>IF(J219="","",J219-K219)</x:f>
      </x:c>
      <x:c r="M219" s="35" t="str">
        <x:f>IF(L219="","",L219*I219)</x:f>
      </x:c>
      <x:c r="N219" s="35" t="str">
        <x:f>IF(L219="","",L219+M219)</x:f>
      </x:c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36" t="str">
        <x:f>IF(C220="","",IFERROR(VLOOKUP(C220,'SẢN_PHẨM'!$A$2:$G$500,2,FALSE),""))</x:f>
      </x:c>
      <x:c r="E220" s="36" t="str">
        <x:f>IF(C220="","",IFERROR(VLOOKUP(C220,'SẢN_PHẨM'!$A$2:$G$500,3,FALSE),""))</x:f>
      </x:c>
      <x:c r="F220" s="39"/>
      <x:c r="G220" s="34" t="str">
        <x:f>IF(C220="","",IFERROR(VLOOKUP(C220,'SẢN_PHẨM'!$A$2:$G$500,4,FALSE),""))</x:f>
      </x:c>
      <x:c r="H220" s="43"/>
      <x:c r="I220" s="38" t="str">
        <x:f>IF(C220="","",IFERROR(VLOOKUP(C220,'SẢN_PHẨM'!$A$2:$G$500,6,FALSE),""))</x:f>
      </x:c>
      <x:c r="J220" s="35" t="str">
        <x:f>IF(OR(F220="",G220=""),"",F220*G220)</x:f>
      </x:c>
      <x:c r="K220" s="35" t="str">
        <x:f>IF(J220="","",J220*H220)</x:f>
      </x:c>
      <x:c r="L220" s="35" t="str">
        <x:f>IF(J220="","",J220-K220)</x:f>
      </x:c>
      <x:c r="M220" s="35" t="str">
        <x:f>IF(L220="","",L220*I220)</x:f>
      </x:c>
      <x:c r="N220" s="35" t="str">
        <x:f>IF(L220="","",L220+M220)</x:f>
      </x:c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36" t="str">
        <x:f>IF(C221="","",IFERROR(VLOOKUP(C221,'SẢN_PHẨM'!$A$2:$G$500,2,FALSE),""))</x:f>
      </x:c>
      <x:c r="E221" s="36" t="str">
        <x:f>IF(C221="","",IFERROR(VLOOKUP(C221,'SẢN_PHẨM'!$A$2:$G$500,3,FALSE),""))</x:f>
      </x:c>
      <x:c r="F221" s="39"/>
      <x:c r="G221" s="34" t="str">
        <x:f>IF(C221="","",IFERROR(VLOOKUP(C221,'SẢN_PHẨM'!$A$2:$G$500,4,FALSE),""))</x:f>
      </x:c>
      <x:c r="H221" s="43"/>
      <x:c r="I221" s="38" t="str">
        <x:f>IF(C221="","",IFERROR(VLOOKUP(C221,'SẢN_PHẨM'!$A$2:$G$500,6,FALSE),""))</x:f>
      </x:c>
      <x:c r="J221" s="35" t="str">
        <x:f>IF(OR(F221="",G221=""),"",F221*G221)</x:f>
      </x:c>
      <x:c r="K221" s="35" t="str">
        <x:f>IF(J221="","",J221*H221)</x:f>
      </x:c>
      <x:c r="L221" s="35" t="str">
        <x:f>IF(J221="","",J221-K221)</x:f>
      </x:c>
      <x:c r="M221" s="35" t="str">
        <x:f>IF(L221="","",L221*I221)</x:f>
      </x:c>
      <x:c r="N221" s="35" t="str">
        <x:f>IF(L221="","",L221+M221)</x:f>
      </x:c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36" t="str">
        <x:f>IF(C222="","",IFERROR(VLOOKUP(C222,'SẢN_PHẨM'!$A$2:$G$500,2,FALSE),""))</x:f>
      </x:c>
      <x:c r="E222" s="36" t="str">
        <x:f>IF(C222="","",IFERROR(VLOOKUP(C222,'SẢN_PHẨM'!$A$2:$G$500,3,FALSE),""))</x:f>
      </x:c>
      <x:c r="F222" s="39"/>
      <x:c r="G222" s="34" t="str">
        <x:f>IF(C222="","",IFERROR(VLOOKUP(C222,'SẢN_PHẨM'!$A$2:$G$500,4,FALSE),""))</x:f>
      </x:c>
      <x:c r="H222" s="43"/>
      <x:c r="I222" s="38" t="str">
        <x:f>IF(C222="","",IFERROR(VLOOKUP(C222,'SẢN_PHẨM'!$A$2:$G$500,6,FALSE),""))</x:f>
      </x:c>
      <x:c r="J222" s="35" t="str">
        <x:f>IF(OR(F222="",G222=""),"",F222*G222)</x:f>
      </x:c>
      <x:c r="K222" s="35" t="str">
        <x:f>IF(J222="","",J222*H222)</x:f>
      </x:c>
      <x:c r="L222" s="35" t="str">
        <x:f>IF(J222="","",J222-K222)</x:f>
      </x:c>
      <x:c r="M222" s="35" t="str">
        <x:f>IF(L222="","",L222*I222)</x:f>
      </x:c>
      <x:c r="N222" s="35" t="str">
        <x:f>IF(L222="","",L222+M222)</x:f>
      </x:c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36" t="str">
        <x:f>IF(C223="","",IFERROR(VLOOKUP(C223,'SẢN_PHẨM'!$A$2:$G$500,2,FALSE),""))</x:f>
      </x:c>
      <x:c r="E223" s="36" t="str">
        <x:f>IF(C223="","",IFERROR(VLOOKUP(C223,'SẢN_PHẨM'!$A$2:$G$500,3,FALSE),""))</x:f>
      </x:c>
      <x:c r="F223" s="39"/>
      <x:c r="G223" s="34" t="str">
        <x:f>IF(C223="","",IFERROR(VLOOKUP(C223,'SẢN_PHẨM'!$A$2:$G$500,4,FALSE),""))</x:f>
      </x:c>
      <x:c r="H223" s="43"/>
      <x:c r="I223" s="38" t="str">
        <x:f>IF(C223="","",IFERROR(VLOOKUP(C223,'SẢN_PHẨM'!$A$2:$G$500,6,FALSE),""))</x:f>
      </x:c>
      <x:c r="J223" s="35" t="str">
        <x:f>IF(OR(F223="",G223=""),"",F223*G223)</x:f>
      </x:c>
      <x:c r="K223" s="35" t="str">
        <x:f>IF(J223="","",J223*H223)</x:f>
      </x:c>
      <x:c r="L223" s="35" t="str">
        <x:f>IF(J223="","",J223-K223)</x:f>
      </x:c>
      <x:c r="M223" s="35" t="str">
        <x:f>IF(L223="","",L223*I223)</x:f>
      </x:c>
      <x:c r="N223" s="35" t="str">
        <x:f>IF(L223="","",L223+M223)</x:f>
      </x:c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36" t="str">
        <x:f>IF(C224="","",IFERROR(VLOOKUP(C224,'SẢN_PHẨM'!$A$2:$G$500,2,FALSE),""))</x:f>
      </x:c>
      <x:c r="E224" s="36" t="str">
        <x:f>IF(C224="","",IFERROR(VLOOKUP(C224,'SẢN_PHẨM'!$A$2:$G$500,3,FALSE),""))</x:f>
      </x:c>
      <x:c r="F224" s="39"/>
      <x:c r="G224" s="34" t="str">
        <x:f>IF(C224="","",IFERROR(VLOOKUP(C224,'SẢN_PHẨM'!$A$2:$G$500,4,FALSE),""))</x:f>
      </x:c>
      <x:c r="H224" s="43"/>
      <x:c r="I224" s="38" t="str">
        <x:f>IF(C224="","",IFERROR(VLOOKUP(C224,'SẢN_PHẨM'!$A$2:$G$500,6,FALSE),""))</x:f>
      </x:c>
      <x:c r="J224" s="35" t="str">
        <x:f>IF(OR(F224="",G224=""),"",F224*G224)</x:f>
      </x:c>
      <x:c r="K224" s="35" t="str">
        <x:f>IF(J224="","",J224*H224)</x:f>
      </x:c>
      <x:c r="L224" s="35" t="str">
        <x:f>IF(J224="","",J224-K224)</x:f>
      </x:c>
      <x:c r="M224" s="35" t="str">
        <x:f>IF(L224="","",L224*I224)</x:f>
      </x:c>
      <x:c r="N224" s="35" t="str">
        <x:f>IF(L224="","",L224+M224)</x:f>
      </x:c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36" t="str">
        <x:f>IF(C225="","",IFERROR(VLOOKUP(C225,'SẢN_PHẨM'!$A$2:$G$500,2,FALSE),""))</x:f>
      </x:c>
      <x:c r="E225" s="36" t="str">
        <x:f>IF(C225="","",IFERROR(VLOOKUP(C225,'SẢN_PHẨM'!$A$2:$G$500,3,FALSE),""))</x:f>
      </x:c>
      <x:c r="F225" s="39"/>
      <x:c r="G225" s="34" t="str">
        <x:f>IF(C225="","",IFERROR(VLOOKUP(C225,'SẢN_PHẨM'!$A$2:$G$500,4,FALSE),""))</x:f>
      </x:c>
      <x:c r="H225" s="43"/>
      <x:c r="I225" s="38" t="str">
        <x:f>IF(C225="","",IFERROR(VLOOKUP(C225,'SẢN_PHẨM'!$A$2:$G$500,6,FALSE),""))</x:f>
      </x:c>
      <x:c r="J225" s="35" t="str">
        <x:f>IF(OR(F225="",G225=""),"",F225*G225)</x:f>
      </x:c>
      <x:c r="K225" s="35" t="str">
        <x:f>IF(J225="","",J225*H225)</x:f>
      </x:c>
      <x:c r="L225" s="35" t="str">
        <x:f>IF(J225="","",J225-K225)</x:f>
      </x:c>
      <x:c r="M225" s="35" t="str">
        <x:f>IF(L225="","",L225*I225)</x:f>
      </x:c>
      <x:c r="N225" s="35" t="str">
        <x:f>IF(L225="","",L225+M225)</x:f>
      </x:c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36" t="str">
        <x:f>IF(C226="","",IFERROR(VLOOKUP(C226,'SẢN_PHẨM'!$A$2:$G$500,2,FALSE),""))</x:f>
      </x:c>
      <x:c r="E226" s="36" t="str">
        <x:f>IF(C226="","",IFERROR(VLOOKUP(C226,'SẢN_PHẨM'!$A$2:$G$500,3,FALSE),""))</x:f>
      </x:c>
      <x:c r="F226" s="39"/>
      <x:c r="G226" s="34" t="str">
        <x:f>IF(C226="","",IFERROR(VLOOKUP(C226,'SẢN_PHẨM'!$A$2:$G$500,4,FALSE),""))</x:f>
      </x:c>
      <x:c r="H226" s="43"/>
      <x:c r="I226" s="38" t="str">
        <x:f>IF(C226="","",IFERROR(VLOOKUP(C226,'SẢN_PHẨM'!$A$2:$G$500,6,FALSE),""))</x:f>
      </x:c>
      <x:c r="J226" s="35" t="str">
        <x:f>IF(OR(F226="",G226=""),"",F226*G226)</x:f>
      </x:c>
      <x:c r="K226" s="35" t="str">
        <x:f>IF(J226="","",J226*H226)</x:f>
      </x:c>
      <x:c r="L226" s="35" t="str">
        <x:f>IF(J226="","",J226-K226)</x:f>
      </x:c>
      <x:c r="M226" s="35" t="str">
        <x:f>IF(L226="","",L226*I226)</x:f>
      </x:c>
      <x:c r="N226" s="35" t="str">
        <x:f>IF(L226="","",L226+M226)</x:f>
      </x:c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36" t="str">
        <x:f>IF(C227="","",IFERROR(VLOOKUP(C227,'SẢN_PHẨM'!$A$2:$G$500,2,FALSE),""))</x:f>
      </x:c>
      <x:c r="E227" s="36" t="str">
        <x:f>IF(C227="","",IFERROR(VLOOKUP(C227,'SẢN_PHẨM'!$A$2:$G$500,3,FALSE),""))</x:f>
      </x:c>
      <x:c r="F227" s="39"/>
      <x:c r="G227" s="34" t="str">
        <x:f>IF(C227="","",IFERROR(VLOOKUP(C227,'SẢN_PHẨM'!$A$2:$G$500,4,FALSE),""))</x:f>
      </x:c>
      <x:c r="H227" s="43"/>
      <x:c r="I227" s="38" t="str">
        <x:f>IF(C227="","",IFERROR(VLOOKUP(C227,'SẢN_PHẨM'!$A$2:$G$500,6,FALSE),""))</x:f>
      </x:c>
      <x:c r="J227" s="35" t="str">
        <x:f>IF(OR(F227="",G227=""),"",F227*G227)</x:f>
      </x:c>
      <x:c r="K227" s="35" t="str">
        <x:f>IF(J227="","",J227*H227)</x:f>
      </x:c>
      <x:c r="L227" s="35" t="str">
        <x:f>IF(J227="","",J227-K227)</x:f>
      </x:c>
      <x:c r="M227" s="35" t="str">
        <x:f>IF(L227="","",L227*I227)</x:f>
      </x:c>
      <x:c r="N227" s="35" t="str">
        <x:f>IF(L227="","",L227+M227)</x:f>
      </x:c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36" t="str">
        <x:f>IF(C228="","",IFERROR(VLOOKUP(C228,'SẢN_PHẨM'!$A$2:$G$500,2,FALSE),""))</x:f>
      </x:c>
      <x:c r="E228" s="36" t="str">
        <x:f>IF(C228="","",IFERROR(VLOOKUP(C228,'SẢN_PHẨM'!$A$2:$G$500,3,FALSE),""))</x:f>
      </x:c>
      <x:c r="F228" s="39"/>
      <x:c r="G228" s="34" t="str">
        <x:f>IF(C228="","",IFERROR(VLOOKUP(C228,'SẢN_PHẨM'!$A$2:$G$500,4,FALSE),""))</x:f>
      </x:c>
      <x:c r="H228" s="43"/>
      <x:c r="I228" s="38" t="str">
        <x:f>IF(C228="","",IFERROR(VLOOKUP(C228,'SẢN_PHẨM'!$A$2:$G$500,6,FALSE),""))</x:f>
      </x:c>
      <x:c r="J228" s="35" t="str">
        <x:f>IF(OR(F228="",G228=""),"",F228*G228)</x:f>
      </x:c>
      <x:c r="K228" s="35" t="str">
        <x:f>IF(J228="","",J228*H228)</x:f>
      </x:c>
      <x:c r="L228" s="35" t="str">
        <x:f>IF(J228="","",J228-K228)</x:f>
      </x:c>
      <x:c r="M228" s="35" t="str">
        <x:f>IF(L228="","",L228*I228)</x:f>
      </x:c>
      <x:c r="N228" s="35" t="str">
        <x:f>IF(L228="","",L228+M228)</x:f>
      </x:c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36" t="str">
        <x:f>IF(C229="","",IFERROR(VLOOKUP(C229,'SẢN_PHẨM'!$A$2:$G$500,2,FALSE),""))</x:f>
      </x:c>
      <x:c r="E229" s="36" t="str">
        <x:f>IF(C229="","",IFERROR(VLOOKUP(C229,'SẢN_PHẨM'!$A$2:$G$500,3,FALSE),""))</x:f>
      </x:c>
      <x:c r="F229" s="39"/>
      <x:c r="G229" s="34" t="str">
        <x:f>IF(C229="","",IFERROR(VLOOKUP(C229,'SẢN_PHẨM'!$A$2:$G$500,4,FALSE),""))</x:f>
      </x:c>
      <x:c r="H229" s="43"/>
      <x:c r="I229" s="38" t="str">
        <x:f>IF(C229="","",IFERROR(VLOOKUP(C229,'SẢN_PHẨM'!$A$2:$G$500,6,FALSE),""))</x:f>
      </x:c>
      <x:c r="J229" s="35" t="str">
        <x:f>IF(OR(F229="",G229=""),"",F229*G229)</x:f>
      </x:c>
      <x:c r="K229" s="35" t="str">
        <x:f>IF(J229="","",J229*H229)</x:f>
      </x:c>
      <x:c r="L229" s="35" t="str">
        <x:f>IF(J229="","",J229-K229)</x:f>
      </x:c>
      <x:c r="M229" s="35" t="str">
        <x:f>IF(L229="","",L229*I229)</x:f>
      </x:c>
      <x:c r="N229" s="35" t="str">
        <x:f>IF(L229="","",L229+M229)</x:f>
      </x:c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36" t="str">
        <x:f>IF(C230="","",IFERROR(VLOOKUP(C230,'SẢN_PHẨM'!$A$2:$G$500,2,FALSE),""))</x:f>
      </x:c>
      <x:c r="E230" s="36" t="str">
        <x:f>IF(C230="","",IFERROR(VLOOKUP(C230,'SẢN_PHẨM'!$A$2:$G$500,3,FALSE),""))</x:f>
      </x:c>
      <x:c r="F230" s="39"/>
      <x:c r="G230" s="34" t="str">
        <x:f>IF(C230="","",IFERROR(VLOOKUP(C230,'SẢN_PHẨM'!$A$2:$G$500,4,FALSE),""))</x:f>
      </x:c>
      <x:c r="H230" s="43"/>
      <x:c r="I230" s="38" t="str">
        <x:f>IF(C230="","",IFERROR(VLOOKUP(C230,'SẢN_PHẨM'!$A$2:$G$500,6,FALSE),""))</x:f>
      </x:c>
      <x:c r="J230" s="35" t="str">
        <x:f>IF(OR(F230="",G230=""),"",F230*G230)</x:f>
      </x:c>
      <x:c r="K230" s="35" t="str">
        <x:f>IF(J230="","",J230*H230)</x:f>
      </x:c>
      <x:c r="L230" s="35" t="str">
        <x:f>IF(J230="","",J230-K230)</x:f>
      </x:c>
      <x:c r="M230" s="35" t="str">
        <x:f>IF(L230="","",L230*I230)</x:f>
      </x:c>
      <x:c r="N230" s="35" t="str">
        <x:f>IF(L230="","",L230+M230)</x:f>
      </x:c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36" t="str">
        <x:f>IF(C231="","",IFERROR(VLOOKUP(C231,'SẢN_PHẨM'!$A$2:$G$500,2,FALSE),""))</x:f>
      </x:c>
      <x:c r="E231" s="36" t="str">
        <x:f>IF(C231="","",IFERROR(VLOOKUP(C231,'SẢN_PHẨM'!$A$2:$G$500,3,FALSE),""))</x:f>
      </x:c>
      <x:c r="F231" s="39"/>
      <x:c r="G231" s="34" t="str">
        <x:f>IF(C231="","",IFERROR(VLOOKUP(C231,'SẢN_PHẨM'!$A$2:$G$500,4,FALSE),""))</x:f>
      </x:c>
      <x:c r="H231" s="43"/>
      <x:c r="I231" s="38" t="str">
        <x:f>IF(C231="","",IFERROR(VLOOKUP(C231,'SẢN_PHẨM'!$A$2:$G$500,6,FALSE),""))</x:f>
      </x:c>
      <x:c r="J231" s="35" t="str">
        <x:f>IF(OR(F231="",G231=""),"",F231*G231)</x:f>
      </x:c>
      <x:c r="K231" s="35" t="str">
        <x:f>IF(J231="","",J231*H231)</x:f>
      </x:c>
      <x:c r="L231" s="35" t="str">
        <x:f>IF(J231="","",J231-K231)</x:f>
      </x:c>
      <x:c r="M231" s="35" t="str">
        <x:f>IF(L231="","",L231*I231)</x:f>
      </x:c>
      <x:c r="N231" s="35" t="str">
        <x:f>IF(L231="","",L231+M231)</x:f>
      </x:c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36" t="str">
        <x:f>IF(C232="","",IFERROR(VLOOKUP(C232,'SẢN_PHẨM'!$A$2:$G$500,2,FALSE),""))</x:f>
      </x:c>
      <x:c r="E232" s="36" t="str">
        <x:f>IF(C232="","",IFERROR(VLOOKUP(C232,'SẢN_PHẨM'!$A$2:$G$500,3,FALSE),""))</x:f>
      </x:c>
      <x:c r="F232" s="39"/>
      <x:c r="G232" s="34" t="str">
        <x:f>IF(C232="","",IFERROR(VLOOKUP(C232,'SẢN_PHẨM'!$A$2:$G$500,4,FALSE),""))</x:f>
      </x:c>
      <x:c r="H232" s="43"/>
      <x:c r="I232" s="38" t="str">
        <x:f>IF(C232="","",IFERROR(VLOOKUP(C232,'SẢN_PHẨM'!$A$2:$G$500,6,FALSE),""))</x:f>
      </x:c>
      <x:c r="J232" s="35" t="str">
        <x:f>IF(OR(F232="",G232=""),"",F232*G232)</x:f>
      </x:c>
      <x:c r="K232" s="35" t="str">
        <x:f>IF(J232="","",J232*H232)</x:f>
      </x:c>
      <x:c r="L232" s="35" t="str">
        <x:f>IF(J232="","",J232-K232)</x:f>
      </x:c>
      <x:c r="M232" s="35" t="str">
        <x:f>IF(L232="","",L232*I232)</x:f>
      </x:c>
      <x:c r="N232" s="35" t="str">
        <x:f>IF(L232="","",L232+M232)</x:f>
      </x:c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36" t="str">
        <x:f>IF(C233="","",IFERROR(VLOOKUP(C233,'SẢN_PHẨM'!$A$2:$G$500,2,FALSE),""))</x:f>
      </x:c>
      <x:c r="E233" s="36" t="str">
        <x:f>IF(C233="","",IFERROR(VLOOKUP(C233,'SẢN_PHẨM'!$A$2:$G$500,3,FALSE),""))</x:f>
      </x:c>
      <x:c r="F233" s="39"/>
      <x:c r="G233" s="34" t="str">
        <x:f>IF(C233="","",IFERROR(VLOOKUP(C233,'SẢN_PHẨM'!$A$2:$G$500,4,FALSE),""))</x:f>
      </x:c>
      <x:c r="H233" s="43"/>
      <x:c r="I233" s="38" t="str">
        <x:f>IF(C233="","",IFERROR(VLOOKUP(C233,'SẢN_PHẨM'!$A$2:$G$500,6,FALSE),""))</x:f>
      </x:c>
      <x:c r="J233" s="35" t="str">
        <x:f>IF(OR(F233="",G233=""),"",F233*G233)</x:f>
      </x:c>
      <x:c r="K233" s="35" t="str">
        <x:f>IF(J233="","",J233*H233)</x:f>
      </x:c>
      <x:c r="L233" s="35" t="str">
        <x:f>IF(J233="","",J233-K233)</x:f>
      </x:c>
      <x:c r="M233" s="35" t="str">
        <x:f>IF(L233="","",L233*I233)</x:f>
      </x:c>
      <x:c r="N233" s="35" t="str">
        <x:f>IF(L233="","",L233+M233)</x:f>
      </x:c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36" t="str">
        <x:f>IF(C234="","",IFERROR(VLOOKUP(C234,'SẢN_PHẨM'!$A$2:$G$500,2,FALSE),""))</x:f>
      </x:c>
      <x:c r="E234" s="36" t="str">
        <x:f>IF(C234="","",IFERROR(VLOOKUP(C234,'SẢN_PHẨM'!$A$2:$G$500,3,FALSE),""))</x:f>
      </x:c>
      <x:c r="F234" s="39"/>
      <x:c r="G234" s="34" t="str">
        <x:f>IF(C234="","",IFERROR(VLOOKUP(C234,'SẢN_PHẨM'!$A$2:$G$500,4,FALSE),""))</x:f>
      </x:c>
      <x:c r="H234" s="43"/>
      <x:c r="I234" s="38" t="str">
        <x:f>IF(C234="","",IFERROR(VLOOKUP(C234,'SẢN_PHẨM'!$A$2:$G$500,6,FALSE),""))</x:f>
      </x:c>
      <x:c r="J234" s="35" t="str">
        <x:f>IF(OR(F234="",G234=""),"",F234*G234)</x:f>
      </x:c>
      <x:c r="K234" s="35" t="str">
        <x:f>IF(J234="","",J234*H234)</x:f>
      </x:c>
      <x:c r="L234" s="35" t="str">
        <x:f>IF(J234="","",J234-K234)</x:f>
      </x:c>
      <x:c r="M234" s="35" t="str">
        <x:f>IF(L234="","",L234*I234)</x:f>
      </x:c>
      <x:c r="N234" s="35" t="str">
        <x:f>IF(L234="","",L234+M234)</x:f>
      </x:c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36" t="str">
        <x:f>IF(C235="","",IFERROR(VLOOKUP(C235,'SẢN_PHẨM'!$A$2:$G$500,2,FALSE),""))</x:f>
      </x:c>
      <x:c r="E235" s="36" t="str">
        <x:f>IF(C235="","",IFERROR(VLOOKUP(C235,'SẢN_PHẨM'!$A$2:$G$500,3,FALSE),""))</x:f>
      </x:c>
      <x:c r="F235" s="39"/>
      <x:c r="G235" s="34" t="str">
        <x:f>IF(C235="","",IFERROR(VLOOKUP(C235,'SẢN_PHẨM'!$A$2:$G$500,4,FALSE),""))</x:f>
      </x:c>
      <x:c r="H235" s="43"/>
      <x:c r="I235" s="38" t="str">
        <x:f>IF(C235="","",IFERROR(VLOOKUP(C235,'SẢN_PHẨM'!$A$2:$G$500,6,FALSE),""))</x:f>
      </x:c>
      <x:c r="J235" s="35" t="str">
        <x:f>IF(OR(F235="",G235=""),"",F235*G235)</x:f>
      </x:c>
      <x:c r="K235" s="35" t="str">
        <x:f>IF(J235="","",J235*H235)</x:f>
      </x:c>
      <x:c r="L235" s="35" t="str">
        <x:f>IF(J235="","",J235-K235)</x:f>
      </x:c>
      <x:c r="M235" s="35" t="str">
        <x:f>IF(L235="","",L235*I235)</x:f>
      </x:c>
      <x:c r="N235" s="35" t="str">
        <x:f>IF(L235="","",L235+M235)</x:f>
      </x:c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36" t="str">
        <x:f>IF(C236="","",IFERROR(VLOOKUP(C236,'SẢN_PHẨM'!$A$2:$G$500,2,FALSE),""))</x:f>
      </x:c>
      <x:c r="E236" s="36" t="str">
        <x:f>IF(C236="","",IFERROR(VLOOKUP(C236,'SẢN_PHẨM'!$A$2:$G$500,3,FALSE),""))</x:f>
      </x:c>
      <x:c r="F236" s="39"/>
      <x:c r="G236" s="34" t="str">
        <x:f>IF(C236="","",IFERROR(VLOOKUP(C236,'SẢN_PHẨM'!$A$2:$G$500,4,FALSE),""))</x:f>
      </x:c>
      <x:c r="H236" s="43"/>
      <x:c r="I236" s="38" t="str">
        <x:f>IF(C236="","",IFERROR(VLOOKUP(C236,'SẢN_PHẨM'!$A$2:$G$500,6,FALSE),""))</x:f>
      </x:c>
      <x:c r="J236" s="35" t="str">
        <x:f>IF(OR(F236="",G236=""),"",F236*G236)</x:f>
      </x:c>
      <x:c r="K236" s="35" t="str">
        <x:f>IF(J236="","",J236*H236)</x:f>
      </x:c>
      <x:c r="L236" s="35" t="str">
        <x:f>IF(J236="","",J236-K236)</x:f>
      </x:c>
      <x:c r="M236" s="35" t="str">
        <x:f>IF(L236="","",L236*I236)</x:f>
      </x:c>
      <x:c r="N236" s="35" t="str">
        <x:f>IF(L236="","",L236+M236)</x:f>
      </x:c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36" t="str">
        <x:f>IF(C237="","",IFERROR(VLOOKUP(C237,'SẢN_PHẨM'!$A$2:$G$500,2,FALSE),""))</x:f>
      </x:c>
      <x:c r="E237" s="36" t="str">
        <x:f>IF(C237="","",IFERROR(VLOOKUP(C237,'SẢN_PHẨM'!$A$2:$G$500,3,FALSE),""))</x:f>
      </x:c>
      <x:c r="F237" s="39"/>
      <x:c r="G237" s="34" t="str">
        <x:f>IF(C237="","",IFERROR(VLOOKUP(C237,'SẢN_PHẨM'!$A$2:$G$500,4,FALSE),""))</x:f>
      </x:c>
      <x:c r="H237" s="43"/>
      <x:c r="I237" s="38" t="str">
        <x:f>IF(C237="","",IFERROR(VLOOKUP(C237,'SẢN_PHẨM'!$A$2:$G$500,6,FALSE),""))</x:f>
      </x:c>
      <x:c r="J237" s="35" t="str">
        <x:f>IF(OR(F237="",G237=""),"",F237*G237)</x:f>
      </x:c>
      <x:c r="K237" s="35" t="str">
        <x:f>IF(J237="","",J237*H237)</x:f>
      </x:c>
      <x:c r="L237" s="35" t="str">
        <x:f>IF(J237="","",J237-K237)</x:f>
      </x:c>
      <x:c r="M237" s="35" t="str">
        <x:f>IF(L237="","",L237*I237)</x:f>
      </x:c>
      <x:c r="N237" s="35" t="str">
        <x:f>IF(L237="","",L237+M237)</x:f>
      </x:c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36" t="str">
        <x:f>IF(C238="","",IFERROR(VLOOKUP(C238,'SẢN_PHẨM'!$A$2:$G$500,2,FALSE),""))</x:f>
      </x:c>
      <x:c r="E238" s="36" t="str">
        <x:f>IF(C238="","",IFERROR(VLOOKUP(C238,'SẢN_PHẨM'!$A$2:$G$500,3,FALSE),""))</x:f>
      </x:c>
      <x:c r="F238" s="39"/>
      <x:c r="G238" s="34" t="str">
        <x:f>IF(C238="","",IFERROR(VLOOKUP(C238,'SẢN_PHẨM'!$A$2:$G$500,4,FALSE),""))</x:f>
      </x:c>
      <x:c r="H238" s="43"/>
      <x:c r="I238" s="38" t="str">
        <x:f>IF(C238="","",IFERROR(VLOOKUP(C238,'SẢN_PHẨM'!$A$2:$G$500,6,FALSE),""))</x:f>
      </x:c>
      <x:c r="J238" s="35" t="str">
        <x:f>IF(OR(F238="",G238=""),"",F238*G238)</x:f>
      </x:c>
      <x:c r="K238" s="35" t="str">
        <x:f>IF(J238="","",J238*H238)</x:f>
      </x:c>
      <x:c r="L238" s="35" t="str">
        <x:f>IF(J238="","",J238-K238)</x:f>
      </x:c>
      <x:c r="M238" s="35" t="str">
        <x:f>IF(L238="","",L238*I238)</x:f>
      </x:c>
      <x:c r="N238" s="35" t="str">
        <x:f>IF(L238="","",L238+M238)</x:f>
      </x:c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36" t="str">
        <x:f>IF(C239="","",IFERROR(VLOOKUP(C239,'SẢN_PHẨM'!$A$2:$G$500,2,FALSE),""))</x:f>
      </x:c>
      <x:c r="E239" s="36" t="str">
        <x:f>IF(C239="","",IFERROR(VLOOKUP(C239,'SẢN_PHẨM'!$A$2:$G$500,3,FALSE),""))</x:f>
      </x:c>
      <x:c r="F239" s="39"/>
      <x:c r="G239" s="34" t="str">
        <x:f>IF(C239="","",IFERROR(VLOOKUP(C239,'SẢN_PHẨM'!$A$2:$G$500,4,FALSE),""))</x:f>
      </x:c>
      <x:c r="H239" s="43"/>
      <x:c r="I239" s="38" t="str">
        <x:f>IF(C239="","",IFERROR(VLOOKUP(C239,'SẢN_PHẨM'!$A$2:$G$500,6,FALSE),""))</x:f>
      </x:c>
      <x:c r="J239" s="35" t="str">
        <x:f>IF(OR(F239="",G239=""),"",F239*G239)</x:f>
      </x:c>
      <x:c r="K239" s="35" t="str">
        <x:f>IF(J239="","",J239*H239)</x:f>
      </x:c>
      <x:c r="L239" s="35" t="str">
        <x:f>IF(J239="","",J239-K239)</x:f>
      </x:c>
      <x:c r="M239" s="35" t="str">
        <x:f>IF(L239="","",L239*I239)</x:f>
      </x:c>
      <x:c r="N239" s="35" t="str">
        <x:f>IF(L239="","",L239+M239)</x:f>
      </x:c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36" t="str">
        <x:f>IF(C240="","",IFERROR(VLOOKUP(C240,'SẢN_PHẨM'!$A$2:$G$500,2,FALSE),""))</x:f>
      </x:c>
      <x:c r="E240" s="36" t="str">
        <x:f>IF(C240="","",IFERROR(VLOOKUP(C240,'SẢN_PHẨM'!$A$2:$G$500,3,FALSE),""))</x:f>
      </x:c>
      <x:c r="F240" s="39"/>
      <x:c r="G240" s="34" t="str">
        <x:f>IF(C240="","",IFERROR(VLOOKUP(C240,'SẢN_PHẨM'!$A$2:$G$500,4,FALSE),""))</x:f>
      </x:c>
      <x:c r="H240" s="43"/>
      <x:c r="I240" s="38" t="str">
        <x:f>IF(C240="","",IFERROR(VLOOKUP(C240,'SẢN_PHẨM'!$A$2:$G$500,6,FALSE),""))</x:f>
      </x:c>
      <x:c r="J240" s="35" t="str">
        <x:f>IF(OR(F240="",G240=""),"",F240*G240)</x:f>
      </x:c>
      <x:c r="K240" s="35" t="str">
        <x:f>IF(J240="","",J240*H240)</x:f>
      </x:c>
      <x:c r="L240" s="35" t="str">
        <x:f>IF(J240="","",J240-K240)</x:f>
      </x:c>
      <x:c r="M240" s="35" t="str">
        <x:f>IF(L240="","",L240*I240)</x:f>
      </x:c>
      <x:c r="N240" s="35" t="str">
        <x:f>IF(L240="","",L240+M240)</x:f>
      </x:c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36" t="str">
        <x:f>IF(C241="","",IFERROR(VLOOKUP(C241,'SẢN_PHẨM'!$A$2:$G$500,2,FALSE),""))</x:f>
      </x:c>
      <x:c r="E241" s="36" t="str">
        <x:f>IF(C241="","",IFERROR(VLOOKUP(C241,'SẢN_PHẨM'!$A$2:$G$500,3,FALSE),""))</x:f>
      </x:c>
      <x:c r="F241" s="39"/>
      <x:c r="G241" s="34" t="str">
        <x:f>IF(C241="","",IFERROR(VLOOKUP(C241,'SẢN_PHẨM'!$A$2:$G$500,4,FALSE),""))</x:f>
      </x:c>
      <x:c r="H241" s="43"/>
      <x:c r="I241" s="38" t="str">
        <x:f>IF(C241="","",IFERROR(VLOOKUP(C241,'SẢN_PHẨM'!$A$2:$G$500,6,FALSE),""))</x:f>
      </x:c>
      <x:c r="J241" s="35" t="str">
        <x:f>IF(OR(F241="",G241=""),"",F241*G241)</x:f>
      </x:c>
      <x:c r="K241" s="35" t="str">
        <x:f>IF(J241="","",J241*H241)</x:f>
      </x:c>
      <x:c r="L241" s="35" t="str">
        <x:f>IF(J241="","",J241-K241)</x:f>
      </x:c>
      <x:c r="M241" s="35" t="str">
        <x:f>IF(L241="","",L241*I241)</x:f>
      </x:c>
      <x:c r="N241" s="35" t="str">
        <x:f>IF(L241="","",L241+M241)</x:f>
      </x:c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36" t="str">
        <x:f>IF(C242="","",IFERROR(VLOOKUP(C242,'SẢN_PHẨM'!$A$2:$G$500,2,FALSE),""))</x:f>
      </x:c>
      <x:c r="E242" s="36" t="str">
        <x:f>IF(C242="","",IFERROR(VLOOKUP(C242,'SẢN_PHẨM'!$A$2:$G$500,3,FALSE),""))</x:f>
      </x:c>
      <x:c r="F242" s="39"/>
      <x:c r="G242" s="34" t="str">
        <x:f>IF(C242="","",IFERROR(VLOOKUP(C242,'SẢN_PHẨM'!$A$2:$G$500,4,FALSE),""))</x:f>
      </x:c>
      <x:c r="H242" s="43"/>
      <x:c r="I242" s="38" t="str">
        <x:f>IF(C242="","",IFERROR(VLOOKUP(C242,'SẢN_PHẨM'!$A$2:$G$500,6,FALSE),""))</x:f>
      </x:c>
      <x:c r="J242" s="35" t="str">
        <x:f>IF(OR(F242="",G242=""),"",F242*G242)</x:f>
      </x:c>
      <x:c r="K242" s="35" t="str">
        <x:f>IF(J242="","",J242*H242)</x:f>
      </x:c>
      <x:c r="L242" s="35" t="str">
        <x:f>IF(J242="","",J242-K242)</x:f>
      </x:c>
      <x:c r="M242" s="35" t="str">
        <x:f>IF(L242="","",L242*I242)</x:f>
      </x:c>
      <x:c r="N242" s="35" t="str">
        <x:f>IF(L242="","",L242+M242)</x:f>
      </x:c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36" t="str">
        <x:f>IF(C243="","",IFERROR(VLOOKUP(C243,'SẢN_PHẨM'!$A$2:$G$500,2,FALSE),""))</x:f>
      </x:c>
      <x:c r="E243" s="36" t="str">
        <x:f>IF(C243="","",IFERROR(VLOOKUP(C243,'SẢN_PHẨM'!$A$2:$G$500,3,FALSE),""))</x:f>
      </x:c>
      <x:c r="F243" s="39"/>
      <x:c r="G243" s="34" t="str">
        <x:f>IF(C243="","",IFERROR(VLOOKUP(C243,'SẢN_PHẨM'!$A$2:$G$500,4,FALSE),""))</x:f>
      </x:c>
      <x:c r="H243" s="43"/>
      <x:c r="I243" s="38" t="str">
        <x:f>IF(C243="","",IFERROR(VLOOKUP(C243,'SẢN_PHẨM'!$A$2:$G$500,6,FALSE),""))</x:f>
      </x:c>
      <x:c r="J243" s="35" t="str">
        <x:f>IF(OR(F243="",G243=""),"",F243*G243)</x:f>
      </x:c>
      <x:c r="K243" s="35" t="str">
        <x:f>IF(J243="","",J243*H243)</x:f>
      </x:c>
      <x:c r="L243" s="35" t="str">
        <x:f>IF(J243="","",J243-K243)</x:f>
      </x:c>
      <x:c r="M243" s="35" t="str">
        <x:f>IF(L243="","",L243*I243)</x:f>
      </x:c>
      <x:c r="N243" s="35" t="str">
        <x:f>IF(L243="","",L243+M243)</x:f>
      </x:c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36" t="str">
        <x:f>IF(C244="","",IFERROR(VLOOKUP(C244,'SẢN_PHẨM'!$A$2:$G$500,2,FALSE),""))</x:f>
      </x:c>
      <x:c r="E244" s="36" t="str">
        <x:f>IF(C244="","",IFERROR(VLOOKUP(C244,'SẢN_PHẨM'!$A$2:$G$500,3,FALSE),""))</x:f>
      </x:c>
      <x:c r="F244" s="39"/>
      <x:c r="G244" s="34" t="str">
        <x:f>IF(C244="","",IFERROR(VLOOKUP(C244,'SẢN_PHẨM'!$A$2:$G$500,4,FALSE),""))</x:f>
      </x:c>
      <x:c r="H244" s="43"/>
      <x:c r="I244" s="38" t="str">
        <x:f>IF(C244="","",IFERROR(VLOOKUP(C244,'SẢN_PHẨM'!$A$2:$G$500,6,FALSE),""))</x:f>
      </x:c>
      <x:c r="J244" s="35" t="str">
        <x:f>IF(OR(F244="",G244=""),"",F244*G244)</x:f>
      </x:c>
      <x:c r="K244" s="35" t="str">
        <x:f>IF(J244="","",J244*H244)</x:f>
      </x:c>
      <x:c r="L244" s="35" t="str">
        <x:f>IF(J244="","",J244-K244)</x:f>
      </x:c>
      <x:c r="M244" s="35" t="str">
        <x:f>IF(L244="","",L244*I244)</x:f>
      </x:c>
      <x:c r="N244" s="35" t="str">
        <x:f>IF(L244="","",L244+M244)</x:f>
      </x:c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36" t="str">
        <x:f>IF(C245="","",IFERROR(VLOOKUP(C245,'SẢN_PHẨM'!$A$2:$G$500,2,FALSE),""))</x:f>
      </x:c>
      <x:c r="E245" s="36" t="str">
        <x:f>IF(C245="","",IFERROR(VLOOKUP(C245,'SẢN_PHẨM'!$A$2:$G$500,3,FALSE),""))</x:f>
      </x:c>
      <x:c r="F245" s="39"/>
      <x:c r="G245" s="34" t="str">
        <x:f>IF(C245="","",IFERROR(VLOOKUP(C245,'SẢN_PHẨM'!$A$2:$G$500,4,FALSE),""))</x:f>
      </x:c>
      <x:c r="H245" s="43"/>
      <x:c r="I245" s="38" t="str">
        <x:f>IF(C245="","",IFERROR(VLOOKUP(C245,'SẢN_PHẨM'!$A$2:$G$500,6,FALSE),""))</x:f>
      </x:c>
      <x:c r="J245" s="35" t="str">
        <x:f>IF(OR(F245="",G245=""),"",F245*G245)</x:f>
      </x:c>
      <x:c r="K245" s="35" t="str">
        <x:f>IF(J245="","",J245*H245)</x:f>
      </x:c>
      <x:c r="L245" s="35" t="str">
        <x:f>IF(J245="","",J245-K245)</x:f>
      </x:c>
      <x:c r="M245" s="35" t="str">
        <x:f>IF(L245="","",L245*I245)</x:f>
      </x:c>
      <x:c r="N245" s="35" t="str">
        <x:f>IF(L245="","",L245+M245)</x:f>
      </x:c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36" t="str">
        <x:f>IF(C246="","",IFERROR(VLOOKUP(C246,'SẢN_PHẨM'!$A$2:$G$500,2,FALSE),""))</x:f>
      </x:c>
      <x:c r="E246" s="36" t="str">
        <x:f>IF(C246="","",IFERROR(VLOOKUP(C246,'SẢN_PHẨM'!$A$2:$G$500,3,FALSE),""))</x:f>
      </x:c>
      <x:c r="F246" s="39"/>
      <x:c r="G246" s="34" t="str">
        <x:f>IF(C246="","",IFERROR(VLOOKUP(C246,'SẢN_PHẨM'!$A$2:$G$500,4,FALSE),""))</x:f>
      </x:c>
      <x:c r="H246" s="43"/>
      <x:c r="I246" s="38" t="str">
        <x:f>IF(C246="","",IFERROR(VLOOKUP(C246,'SẢN_PHẨM'!$A$2:$G$500,6,FALSE),""))</x:f>
      </x:c>
      <x:c r="J246" s="35" t="str">
        <x:f>IF(OR(F246="",G246=""),"",F246*G246)</x:f>
      </x:c>
      <x:c r="K246" s="35" t="str">
        <x:f>IF(J246="","",J246*H246)</x:f>
      </x:c>
      <x:c r="L246" s="35" t="str">
        <x:f>IF(J246="","",J246-K246)</x:f>
      </x:c>
      <x:c r="M246" s="35" t="str">
        <x:f>IF(L246="","",L246*I246)</x:f>
      </x:c>
      <x:c r="N246" s="35" t="str">
        <x:f>IF(L246="","",L246+M246)</x:f>
      </x:c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36" t="str">
        <x:f>IF(C247="","",IFERROR(VLOOKUP(C247,'SẢN_PHẨM'!$A$2:$G$500,2,FALSE),""))</x:f>
      </x:c>
      <x:c r="E247" s="36" t="str">
        <x:f>IF(C247="","",IFERROR(VLOOKUP(C247,'SẢN_PHẨM'!$A$2:$G$500,3,FALSE),""))</x:f>
      </x:c>
      <x:c r="F247" s="39"/>
      <x:c r="G247" s="34" t="str">
        <x:f>IF(C247="","",IFERROR(VLOOKUP(C247,'SẢN_PHẨM'!$A$2:$G$500,4,FALSE),""))</x:f>
      </x:c>
      <x:c r="H247" s="43"/>
      <x:c r="I247" s="38" t="str">
        <x:f>IF(C247="","",IFERROR(VLOOKUP(C247,'SẢN_PHẨM'!$A$2:$G$500,6,FALSE),""))</x:f>
      </x:c>
      <x:c r="J247" s="35" t="str">
        <x:f>IF(OR(F247="",G247=""),"",F247*G247)</x:f>
      </x:c>
      <x:c r="K247" s="35" t="str">
        <x:f>IF(J247="","",J247*H247)</x:f>
      </x:c>
      <x:c r="L247" s="35" t="str">
        <x:f>IF(J247="","",J247-K247)</x:f>
      </x:c>
      <x:c r="M247" s="35" t="str">
        <x:f>IF(L247="","",L247*I247)</x:f>
      </x:c>
      <x:c r="N247" s="35" t="str">
        <x:f>IF(L247="","",L247+M247)</x:f>
      </x:c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36" t="str">
        <x:f>IF(C248="","",IFERROR(VLOOKUP(C248,'SẢN_PHẨM'!$A$2:$G$500,2,FALSE),""))</x:f>
      </x:c>
      <x:c r="E248" s="36" t="str">
        <x:f>IF(C248="","",IFERROR(VLOOKUP(C248,'SẢN_PHẨM'!$A$2:$G$500,3,FALSE),""))</x:f>
      </x:c>
      <x:c r="F248" s="39"/>
      <x:c r="G248" s="34" t="str">
        <x:f>IF(C248="","",IFERROR(VLOOKUP(C248,'SẢN_PHẨM'!$A$2:$G$500,4,FALSE),""))</x:f>
      </x:c>
      <x:c r="H248" s="43"/>
      <x:c r="I248" s="38" t="str">
        <x:f>IF(C248="","",IFERROR(VLOOKUP(C248,'SẢN_PHẨM'!$A$2:$G$500,6,FALSE),""))</x:f>
      </x:c>
      <x:c r="J248" s="35" t="str">
        <x:f>IF(OR(F248="",G248=""),"",F248*G248)</x:f>
      </x:c>
      <x:c r="K248" s="35" t="str">
        <x:f>IF(J248="","",J248*H248)</x:f>
      </x:c>
      <x:c r="L248" s="35" t="str">
        <x:f>IF(J248="","",J248-K248)</x:f>
      </x:c>
      <x:c r="M248" s="35" t="str">
        <x:f>IF(L248="","",L248*I248)</x:f>
      </x:c>
      <x:c r="N248" s="35" t="str">
        <x:f>IF(L248="","",L248+M248)</x:f>
      </x:c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36" t="str">
        <x:f>IF(C249="","",IFERROR(VLOOKUP(C249,'SẢN_PHẨM'!$A$2:$G$500,2,FALSE),""))</x:f>
      </x:c>
      <x:c r="E249" s="36" t="str">
        <x:f>IF(C249="","",IFERROR(VLOOKUP(C249,'SẢN_PHẨM'!$A$2:$G$500,3,FALSE),""))</x:f>
      </x:c>
      <x:c r="F249" s="39"/>
      <x:c r="G249" s="34" t="str">
        <x:f>IF(C249="","",IFERROR(VLOOKUP(C249,'SẢN_PHẨM'!$A$2:$G$500,4,FALSE),""))</x:f>
      </x:c>
      <x:c r="H249" s="43"/>
      <x:c r="I249" s="38" t="str">
        <x:f>IF(C249="","",IFERROR(VLOOKUP(C249,'SẢN_PHẨM'!$A$2:$G$500,6,FALSE),""))</x:f>
      </x:c>
      <x:c r="J249" s="35" t="str">
        <x:f>IF(OR(F249="",G249=""),"",F249*G249)</x:f>
      </x:c>
      <x:c r="K249" s="35" t="str">
        <x:f>IF(J249="","",J249*H249)</x:f>
      </x:c>
      <x:c r="L249" s="35" t="str">
        <x:f>IF(J249="","",J249-K249)</x:f>
      </x:c>
      <x:c r="M249" s="35" t="str">
        <x:f>IF(L249="","",L249*I249)</x:f>
      </x:c>
      <x:c r="N249" s="35" t="str">
        <x:f>IF(L249="","",L249+M249)</x:f>
      </x:c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36" t="str">
        <x:f>IF(C250="","",IFERROR(VLOOKUP(C250,'SẢN_PHẨM'!$A$2:$G$500,2,FALSE),""))</x:f>
      </x:c>
      <x:c r="E250" s="36" t="str">
        <x:f>IF(C250="","",IFERROR(VLOOKUP(C250,'SẢN_PHẨM'!$A$2:$G$500,3,FALSE),""))</x:f>
      </x:c>
      <x:c r="F250" s="39"/>
      <x:c r="G250" s="34" t="str">
        <x:f>IF(C250="","",IFERROR(VLOOKUP(C250,'SẢN_PHẨM'!$A$2:$G$500,4,FALSE),""))</x:f>
      </x:c>
      <x:c r="H250" s="43"/>
      <x:c r="I250" s="38" t="str">
        <x:f>IF(C250="","",IFERROR(VLOOKUP(C250,'SẢN_PHẨM'!$A$2:$G$500,6,FALSE),""))</x:f>
      </x:c>
      <x:c r="J250" s="35" t="str">
        <x:f>IF(OR(F250="",G250=""),"",F250*G250)</x:f>
      </x:c>
      <x:c r="K250" s="35" t="str">
        <x:f>IF(J250="","",J250*H250)</x:f>
      </x:c>
      <x:c r="L250" s="35" t="str">
        <x:f>IF(J250="","",J250-K250)</x:f>
      </x:c>
      <x:c r="M250" s="35" t="str">
        <x:f>IF(L250="","",L250*I250)</x:f>
      </x:c>
      <x:c r="N250" s="35" t="str">
        <x:f>IF(L250="","",L250+M250)</x:f>
      </x:c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36" t="str">
        <x:f>IF(C251="","",IFERROR(VLOOKUP(C251,'SẢN_PHẨM'!$A$2:$G$500,2,FALSE),""))</x:f>
      </x:c>
      <x:c r="E251" s="36" t="str">
        <x:f>IF(C251="","",IFERROR(VLOOKUP(C251,'SẢN_PHẨM'!$A$2:$G$500,3,FALSE),""))</x:f>
      </x:c>
      <x:c r="F251" s="39"/>
      <x:c r="G251" s="34" t="str">
        <x:f>IF(C251="","",IFERROR(VLOOKUP(C251,'SẢN_PHẨM'!$A$2:$G$500,4,FALSE),""))</x:f>
      </x:c>
      <x:c r="H251" s="43"/>
      <x:c r="I251" s="38" t="str">
        <x:f>IF(C251="","",IFERROR(VLOOKUP(C251,'SẢN_PHẨM'!$A$2:$G$500,6,FALSE),""))</x:f>
      </x:c>
      <x:c r="J251" s="35" t="str">
        <x:f>IF(OR(F251="",G251=""),"",F251*G251)</x:f>
      </x:c>
      <x:c r="K251" s="35" t="str">
        <x:f>IF(J251="","",J251*H251)</x:f>
      </x:c>
      <x:c r="L251" s="35" t="str">
        <x:f>IF(J251="","",J251-K251)</x:f>
      </x:c>
      <x:c r="M251" s="35" t="str">
        <x:f>IF(L251="","",L251*I251)</x:f>
      </x:c>
      <x:c r="N251" s="35" t="str">
        <x:f>IF(L251="","",L251+M251)</x:f>
      </x:c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36" t="str">
        <x:f>IF(C252="","",IFERROR(VLOOKUP(C252,'SẢN_PHẨM'!$A$2:$G$500,2,FALSE),""))</x:f>
      </x:c>
      <x:c r="E252" s="36" t="str">
        <x:f>IF(C252="","",IFERROR(VLOOKUP(C252,'SẢN_PHẨM'!$A$2:$G$500,3,FALSE),""))</x:f>
      </x:c>
      <x:c r="F252" s="39"/>
      <x:c r="G252" s="34" t="str">
        <x:f>IF(C252="","",IFERROR(VLOOKUP(C252,'SẢN_PHẨM'!$A$2:$G$500,4,FALSE),""))</x:f>
      </x:c>
      <x:c r="H252" s="43"/>
      <x:c r="I252" s="38" t="str">
        <x:f>IF(C252="","",IFERROR(VLOOKUP(C252,'SẢN_PHẨM'!$A$2:$G$500,6,FALSE),""))</x:f>
      </x:c>
      <x:c r="J252" s="35" t="str">
        <x:f>IF(OR(F252="",G252=""),"",F252*G252)</x:f>
      </x:c>
      <x:c r="K252" s="35" t="str">
        <x:f>IF(J252="","",J252*H252)</x:f>
      </x:c>
      <x:c r="L252" s="35" t="str">
        <x:f>IF(J252="","",J252-K252)</x:f>
      </x:c>
      <x:c r="M252" s="35" t="str">
        <x:f>IF(L252="","",L252*I252)</x:f>
      </x:c>
      <x:c r="N252" s="35" t="str">
        <x:f>IF(L252="","",L252+M252)</x:f>
      </x:c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36" t="str">
        <x:f>IF(C253="","",IFERROR(VLOOKUP(C253,'SẢN_PHẨM'!$A$2:$G$500,2,FALSE),""))</x:f>
      </x:c>
      <x:c r="E253" s="36" t="str">
        <x:f>IF(C253="","",IFERROR(VLOOKUP(C253,'SẢN_PHẨM'!$A$2:$G$500,3,FALSE),""))</x:f>
      </x:c>
      <x:c r="F253" s="39"/>
      <x:c r="G253" s="34" t="str">
        <x:f>IF(C253="","",IFERROR(VLOOKUP(C253,'SẢN_PHẨM'!$A$2:$G$500,4,FALSE),""))</x:f>
      </x:c>
      <x:c r="H253" s="43"/>
      <x:c r="I253" s="38" t="str">
        <x:f>IF(C253="","",IFERROR(VLOOKUP(C253,'SẢN_PHẨM'!$A$2:$G$500,6,FALSE),""))</x:f>
      </x:c>
      <x:c r="J253" s="35" t="str">
        <x:f>IF(OR(F253="",G253=""),"",F253*G253)</x:f>
      </x:c>
      <x:c r="K253" s="35" t="str">
        <x:f>IF(J253="","",J253*H253)</x:f>
      </x:c>
      <x:c r="L253" s="35" t="str">
        <x:f>IF(J253="","",J253-K253)</x:f>
      </x:c>
      <x:c r="M253" s="35" t="str">
        <x:f>IF(L253="","",L253*I253)</x:f>
      </x:c>
      <x:c r="N253" s="35" t="str">
        <x:f>IF(L253="","",L253+M253)</x:f>
      </x:c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36" t="str">
        <x:f>IF(C254="","",IFERROR(VLOOKUP(C254,'SẢN_PHẨM'!$A$2:$G$500,2,FALSE),""))</x:f>
      </x:c>
      <x:c r="E254" s="36" t="str">
        <x:f>IF(C254="","",IFERROR(VLOOKUP(C254,'SẢN_PHẨM'!$A$2:$G$500,3,FALSE),""))</x:f>
      </x:c>
      <x:c r="F254" s="39"/>
      <x:c r="G254" s="34" t="str">
        <x:f>IF(C254="","",IFERROR(VLOOKUP(C254,'SẢN_PHẨM'!$A$2:$G$500,4,FALSE),""))</x:f>
      </x:c>
      <x:c r="H254" s="43"/>
      <x:c r="I254" s="38" t="str">
        <x:f>IF(C254="","",IFERROR(VLOOKUP(C254,'SẢN_PHẨM'!$A$2:$G$500,6,FALSE),""))</x:f>
      </x:c>
      <x:c r="J254" s="35" t="str">
        <x:f>IF(OR(F254="",G254=""),"",F254*G254)</x:f>
      </x:c>
      <x:c r="K254" s="35" t="str">
        <x:f>IF(J254="","",J254*H254)</x:f>
      </x:c>
      <x:c r="L254" s="35" t="str">
        <x:f>IF(J254="","",J254-K254)</x:f>
      </x:c>
      <x:c r="M254" s="35" t="str">
        <x:f>IF(L254="","",L254*I254)</x:f>
      </x:c>
      <x:c r="N254" s="35" t="str">
        <x:f>IF(L254="","",L254+M254)</x:f>
      </x:c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36" t="str">
        <x:f>IF(C255="","",IFERROR(VLOOKUP(C255,'SẢN_PHẨM'!$A$2:$G$500,2,FALSE),""))</x:f>
      </x:c>
      <x:c r="E255" s="36" t="str">
        <x:f>IF(C255="","",IFERROR(VLOOKUP(C255,'SẢN_PHẨM'!$A$2:$G$500,3,FALSE),""))</x:f>
      </x:c>
      <x:c r="F255" s="39"/>
      <x:c r="G255" s="34" t="str">
        <x:f>IF(C255="","",IFERROR(VLOOKUP(C255,'SẢN_PHẨM'!$A$2:$G$500,4,FALSE),""))</x:f>
      </x:c>
      <x:c r="H255" s="43"/>
      <x:c r="I255" s="38" t="str">
        <x:f>IF(C255="","",IFERROR(VLOOKUP(C255,'SẢN_PHẨM'!$A$2:$G$500,6,FALSE),""))</x:f>
      </x:c>
      <x:c r="J255" s="35" t="str">
        <x:f>IF(OR(F255="",G255=""),"",F255*G255)</x:f>
      </x:c>
      <x:c r="K255" s="35" t="str">
        <x:f>IF(J255="","",J255*H255)</x:f>
      </x:c>
      <x:c r="L255" s="35" t="str">
        <x:f>IF(J255="","",J255-K255)</x:f>
      </x:c>
      <x:c r="M255" s="35" t="str">
        <x:f>IF(L255="","",L255*I255)</x:f>
      </x:c>
      <x:c r="N255" s="35" t="str">
        <x:f>IF(L255="","",L255+M255)</x:f>
      </x:c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36" t="str">
        <x:f>IF(C256="","",IFERROR(VLOOKUP(C256,'SẢN_PHẨM'!$A$2:$G$500,2,FALSE),""))</x:f>
      </x:c>
      <x:c r="E256" s="36" t="str">
        <x:f>IF(C256="","",IFERROR(VLOOKUP(C256,'SẢN_PHẨM'!$A$2:$G$500,3,FALSE),""))</x:f>
      </x:c>
      <x:c r="F256" s="39"/>
      <x:c r="G256" s="34" t="str">
        <x:f>IF(C256="","",IFERROR(VLOOKUP(C256,'SẢN_PHẨM'!$A$2:$G$500,4,FALSE),""))</x:f>
      </x:c>
      <x:c r="H256" s="43"/>
      <x:c r="I256" s="38" t="str">
        <x:f>IF(C256="","",IFERROR(VLOOKUP(C256,'SẢN_PHẨM'!$A$2:$G$500,6,FALSE),""))</x:f>
      </x:c>
      <x:c r="J256" s="35" t="str">
        <x:f>IF(OR(F256="",G256=""),"",F256*G256)</x:f>
      </x:c>
      <x:c r="K256" s="35" t="str">
        <x:f>IF(J256="","",J256*H256)</x:f>
      </x:c>
      <x:c r="L256" s="35" t="str">
        <x:f>IF(J256="","",J256-K256)</x:f>
      </x:c>
      <x:c r="M256" s="35" t="str">
        <x:f>IF(L256="","",L256*I256)</x:f>
      </x:c>
      <x:c r="N256" s="35" t="str">
        <x:f>IF(L256="","",L256+M256)</x:f>
      </x:c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36" t="str">
        <x:f>IF(C257="","",IFERROR(VLOOKUP(C257,'SẢN_PHẨM'!$A$2:$G$500,2,FALSE),""))</x:f>
      </x:c>
      <x:c r="E257" s="36" t="str">
        <x:f>IF(C257="","",IFERROR(VLOOKUP(C257,'SẢN_PHẨM'!$A$2:$G$500,3,FALSE),""))</x:f>
      </x:c>
      <x:c r="F257" s="39"/>
      <x:c r="G257" s="34" t="str">
        <x:f>IF(C257="","",IFERROR(VLOOKUP(C257,'SẢN_PHẨM'!$A$2:$G$500,4,FALSE),""))</x:f>
      </x:c>
      <x:c r="H257" s="43"/>
      <x:c r="I257" s="38" t="str">
        <x:f>IF(C257="","",IFERROR(VLOOKUP(C257,'SẢN_PHẨM'!$A$2:$G$500,6,FALSE),""))</x:f>
      </x:c>
      <x:c r="J257" s="35" t="str">
        <x:f>IF(OR(F257="",G257=""),"",F257*G257)</x:f>
      </x:c>
      <x:c r="K257" s="35" t="str">
        <x:f>IF(J257="","",J257*H257)</x:f>
      </x:c>
      <x:c r="L257" s="35" t="str">
        <x:f>IF(J257="","",J257-K257)</x:f>
      </x:c>
      <x:c r="M257" s="35" t="str">
        <x:f>IF(L257="","",L257*I257)</x:f>
      </x:c>
      <x:c r="N257" s="35" t="str">
        <x:f>IF(L257="","",L257+M257)</x:f>
      </x:c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36" t="str">
        <x:f>IF(C258="","",IFERROR(VLOOKUP(C258,'SẢN_PHẨM'!$A$2:$G$500,2,FALSE),""))</x:f>
      </x:c>
      <x:c r="E258" s="36" t="str">
        <x:f>IF(C258="","",IFERROR(VLOOKUP(C258,'SẢN_PHẨM'!$A$2:$G$500,3,FALSE),""))</x:f>
      </x:c>
      <x:c r="F258" s="39"/>
      <x:c r="G258" s="34" t="str">
        <x:f>IF(C258="","",IFERROR(VLOOKUP(C258,'SẢN_PHẨM'!$A$2:$G$500,4,FALSE),""))</x:f>
      </x:c>
      <x:c r="H258" s="43"/>
      <x:c r="I258" s="38" t="str">
        <x:f>IF(C258="","",IFERROR(VLOOKUP(C258,'SẢN_PHẨM'!$A$2:$G$500,6,FALSE),""))</x:f>
      </x:c>
      <x:c r="J258" s="35" t="str">
        <x:f>IF(OR(F258="",G258=""),"",F258*G258)</x:f>
      </x:c>
      <x:c r="K258" s="35" t="str">
        <x:f>IF(J258="","",J258*H258)</x:f>
      </x:c>
      <x:c r="L258" s="35" t="str">
        <x:f>IF(J258="","",J258-K258)</x:f>
      </x:c>
      <x:c r="M258" s="35" t="str">
        <x:f>IF(L258="","",L258*I258)</x:f>
      </x:c>
      <x:c r="N258" s="35" t="str">
        <x:f>IF(L258="","",L258+M258)</x:f>
      </x:c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36" t="str">
        <x:f>IF(C259="","",IFERROR(VLOOKUP(C259,'SẢN_PHẨM'!$A$2:$G$500,2,FALSE),""))</x:f>
      </x:c>
      <x:c r="E259" s="36" t="str">
        <x:f>IF(C259="","",IFERROR(VLOOKUP(C259,'SẢN_PHẨM'!$A$2:$G$500,3,FALSE),""))</x:f>
      </x:c>
      <x:c r="F259" s="39"/>
      <x:c r="G259" s="34" t="str">
        <x:f>IF(C259="","",IFERROR(VLOOKUP(C259,'SẢN_PHẨM'!$A$2:$G$500,4,FALSE),""))</x:f>
      </x:c>
      <x:c r="H259" s="43"/>
      <x:c r="I259" s="38" t="str">
        <x:f>IF(C259="","",IFERROR(VLOOKUP(C259,'SẢN_PHẨM'!$A$2:$G$500,6,FALSE),""))</x:f>
      </x:c>
      <x:c r="J259" s="35" t="str">
        <x:f>IF(OR(F259="",G259=""),"",F259*G259)</x:f>
      </x:c>
      <x:c r="K259" s="35" t="str">
        <x:f>IF(J259="","",J259*H259)</x:f>
      </x:c>
      <x:c r="L259" s="35" t="str">
        <x:f>IF(J259="","",J259-K259)</x:f>
      </x:c>
      <x:c r="M259" s="35" t="str">
        <x:f>IF(L259="","",L259*I259)</x:f>
      </x:c>
      <x:c r="N259" s="35" t="str">
        <x:f>IF(L259="","",L259+M259)</x:f>
      </x:c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36" t="str">
        <x:f>IF(C260="","",IFERROR(VLOOKUP(C260,'SẢN_PHẨM'!$A$2:$G$500,2,FALSE),""))</x:f>
      </x:c>
      <x:c r="E260" s="36" t="str">
        <x:f>IF(C260="","",IFERROR(VLOOKUP(C260,'SẢN_PHẨM'!$A$2:$G$500,3,FALSE),""))</x:f>
      </x:c>
      <x:c r="F260" s="39"/>
      <x:c r="G260" s="34" t="str">
        <x:f>IF(C260="","",IFERROR(VLOOKUP(C260,'SẢN_PHẨM'!$A$2:$G$500,4,FALSE),""))</x:f>
      </x:c>
      <x:c r="H260" s="43"/>
      <x:c r="I260" s="38" t="str">
        <x:f>IF(C260="","",IFERROR(VLOOKUP(C260,'SẢN_PHẨM'!$A$2:$G$500,6,FALSE),""))</x:f>
      </x:c>
      <x:c r="J260" s="35" t="str">
        <x:f>IF(OR(F260="",G260=""),"",F260*G260)</x:f>
      </x:c>
      <x:c r="K260" s="35" t="str">
        <x:f>IF(J260="","",J260*H260)</x:f>
      </x:c>
      <x:c r="L260" s="35" t="str">
        <x:f>IF(J260="","",J260-K260)</x:f>
      </x:c>
      <x:c r="M260" s="35" t="str">
        <x:f>IF(L260="","",L260*I260)</x:f>
      </x:c>
      <x:c r="N260" s="35" t="str">
        <x:f>IF(L260="","",L260+M260)</x:f>
      </x:c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36" t="str">
        <x:f>IF(C261="","",IFERROR(VLOOKUP(C261,'SẢN_PHẨM'!$A$2:$G$500,2,FALSE),""))</x:f>
      </x:c>
      <x:c r="E261" s="36" t="str">
        <x:f>IF(C261="","",IFERROR(VLOOKUP(C261,'SẢN_PHẨM'!$A$2:$G$500,3,FALSE),""))</x:f>
      </x:c>
      <x:c r="F261" s="39"/>
      <x:c r="G261" s="34" t="str">
        <x:f>IF(C261="","",IFERROR(VLOOKUP(C261,'SẢN_PHẨM'!$A$2:$G$500,4,FALSE),""))</x:f>
      </x:c>
      <x:c r="H261" s="43"/>
      <x:c r="I261" s="38" t="str">
        <x:f>IF(C261="","",IFERROR(VLOOKUP(C261,'SẢN_PHẨM'!$A$2:$G$500,6,FALSE),""))</x:f>
      </x:c>
      <x:c r="J261" s="35" t="str">
        <x:f>IF(OR(F261="",G261=""),"",F261*G261)</x:f>
      </x:c>
      <x:c r="K261" s="35" t="str">
        <x:f>IF(J261="","",J261*H261)</x:f>
      </x:c>
      <x:c r="L261" s="35" t="str">
        <x:f>IF(J261="","",J261-K261)</x:f>
      </x:c>
      <x:c r="M261" s="35" t="str">
        <x:f>IF(L261="","",L261*I261)</x:f>
      </x:c>
      <x:c r="N261" s="35" t="str">
        <x:f>IF(L261="","",L261+M261)</x:f>
      </x:c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36" t="str">
        <x:f>IF(C262="","",IFERROR(VLOOKUP(C262,'SẢN_PHẨM'!$A$2:$G$500,2,FALSE),""))</x:f>
      </x:c>
      <x:c r="E262" s="36" t="str">
        <x:f>IF(C262="","",IFERROR(VLOOKUP(C262,'SẢN_PHẨM'!$A$2:$G$500,3,FALSE),""))</x:f>
      </x:c>
      <x:c r="F262" s="39"/>
      <x:c r="G262" s="34" t="str">
        <x:f>IF(C262="","",IFERROR(VLOOKUP(C262,'SẢN_PHẨM'!$A$2:$G$500,4,FALSE),""))</x:f>
      </x:c>
      <x:c r="H262" s="43"/>
      <x:c r="I262" s="38" t="str">
        <x:f>IF(C262="","",IFERROR(VLOOKUP(C262,'SẢN_PHẨM'!$A$2:$G$500,6,FALSE),""))</x:f>
      </x:c>
      <x:c r="J262" s="35" t="str">
        <x:f>IF(OR(F262="",G262=""),"",F262*G262)</x:f>
      </x:c>
      <x:c r="K262" s="35" t="str">
        <x:f>IF(J262="","",J262*H262)</x:f>
      </x:c>
      <x:c r="L262" s="35" t="str">
        <x:f>IF(J262="","",J262-K262)</x:f>
      </x:c>
      <x:c r="M262" s="35" t="str">
        <x:f>IF(L262="","",L262*I262)</x:f>
      </x:c>
      <x:c r="N262" s="35" t="str">
        <x:f>IF(L262="","",L262+M262)</x:f>
      </x:c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36" t="str">
        <x:f>IF(C263="","",IFERROR(VLOOKUP(C263,'SẢN_PHẨM'!$A$2:$G$500,2,FALSE),""))</x:f>
      </x:c>
      <x:c r="E263" s="36" t="str">
        <x:f>IF(C263="","",IFERROR(VLOOKUP(C263,'SẢN_PHẨM'!$A$2:$G$500,3,FALSE),""))</x:f>
      </x:c>
      <x:c r="F263" s="39"/>
      <x:c r="G263" s="34" t="str">
        <x:f>IF(C263="","",IFERROR(VLOOKUP(C263,'SẢN_PHẨM'!$A$2:$G$500,4,FALSE),""))</x:f>
      </x:c>
      <x:c r="H263" s="43"/>
      <x:c r="I263" s="38" t="str">
        <x:f>IF(C263="","",IFERROR(VLOOKUP(C263,'SẢN_PHẨM'!$A$2:$G$500,6,FALSE),""))</x:f>
      </x:c>
      <x:c r="J263" s="35" t="str">
        <x:f>IF(OR(F263="",G263=""),"",F263*G263)</x:f>
      </x:c>
      <x:c r="K263" s="35" t="str">
        <x:f>IF(J263="","",J263*H263)</x:f>
      </x:c>
      <x:c r="L263" s="35" t="str">
        <x:f>IF(J263="","",J263-K263)</x:f>
      </x:c>
      <x:c r="M263" s="35" t="str">
        <x:f>IF(L263="","",L263*I263)</x:f>
      </x:c>
      <x:c r="N263" s="35" t="str">
        <x:f>IF(L263="","",L263+M263)</x:f>
      </x:c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36" t="str">
        <x:f>IF(C264="","",IFERROR(VLOOKUP(C264,'SẢN_PHẨM'!$A$2:$G$500,2,FALSE),""))</x:f>
      </x:c>
      <x:c r="E264" s="36" t="str">
        <x:f>IF(C264="","",IFERROR(VLOOKUP(C264,'SẢN_PHẨM'!$A$2:$G$500,3,FALSE),""))</x:f>
      </x:c>
      <x:c r="F264" s="39"/>
      <x:c r="G264" s="34" t="str">
        <x:f>IF(C264="","",IFERROR(VLOOKUP(C264,'SẢN_PHẨM'!$A$2:$G$500,4,FALSE),""))</x:f>
      </x:c>
      <x:c r="H264" s="43"/>
      <x:c r="I264" s="38" t="str">
        <x:f>IF(C264="","",IFERROR(VLOOKUP(C264,'SẢN_PHẨM'!$A$2:$G$500,6,FALSE),""))</x:f>
      </x:c>
      <x:c r="J264" s="35" t="str">
        <x:f>IF(OR(F264="",G264=""),"",F264*G264)</x:f>
      </x:c>
      <x:c r="K264" s="35" t="str">
        <x:f>IF(J264="","",J264*H264)</x:f>
      </x:c>
      <x:c r="L264" s="35" t="str">
        <x:f>IF(J264="","",J264-K264)</x:f>
      </x:c>
      <x:c r="M264" s="35" t="str">
        <x:f>IF(L264="","",L264*I264)</x:f>
      </x:c>
      <x:c r="N264" s="35" t="str">
        <x:f>IF(L264="","",L264+M264)</x:f>
      </x:c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36" t="str">
        <x:f>IF(C265="","",IFERROR(VLOOKUP(C265,'SẢN_PHẨM'!$A$2:$G$500,2,FALSE),""))</x:f>
      </x:c>
      <x:c r="E265" s="36" t="str">
        <x:f>IF(C265="","",IFERROR(VLOOKUP(C265,'SẢN_PHẨM'!$A$2:$G$500,3,FALSE),""))</x:f>
      </x:c>
      <x:c r="F265" s="39"/>
      <x:c r="G265" s="34" t="str">
        <x:f>IF(C265="","",IFERROR(VLOOKUP(C265,'SẢN_PHẨM'!$A$2:$G$500,4,FALSE),""))</x:f>
      </x:c>
      <x:c r="H265" s="43"/>
      <x:c r="I265" s="38" t="str">
        <x:f>IF(C265="","",IFERROR(VLOOKUP(C265,'SẢN_PHẨM'!$A$2:$G$500,6,FALSE),""))</x:f>
      </x:c>
      <x:c r="J265" s="35" t="str">
        <x:f>IF(OR(F265="",G265=""),"",F265*G265)</x:f>
      </x:c>
      <x:c r="K265" s="35" t="str">
        <x:f>IF(J265="","",J265*H265)</x:f>
      </x:c>
      <x:c r="L265" s="35" t="str">
        <x:f>IF(J265="","",J265-K265)</x:f>
      </x:c>
      <x:c r="M265" s="35" t="str">
        <x:f>IF(L265="","",L265*I265)</x:f>
      </x:c>
      <x:c r="N265" s="35" t="str">
        <x:f>IF(L265="","",L265+M265)</x:f>
      </x:c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36" t="str">
        <x:f>IF(C266="","",IFERROR(VLOOKUP(C266,'SẢN_PHẨM'!$A$2:$G$500,2,FALSE),""))</x:f>
      </x:c>
      <x:c r="E266" s="36" t="str">
        <x:f>IF(C266="","",IFERROR(VLOOKUP(C266,'SẢN_PHẨM'!$A$2:$G$500,3,FALSE),""))</x:f>
      </x:c>
      <x:c r="F266" s="39"/>
      <x:c r="G266" s="34" t="str">
        <x:f>IF(C266="","",IFERROR(VLOOKUP(C266,'SẢN_PHẨM'!$A$2:$G$500,4,FALSE),""))</x:f>
      </x:c>
      <x:c r="H266" s="43"/>
      <x:c r="I266" s="38" t="str">
        <x:f>IF(C266="","",IFERROR(VLOOKUP(C266,'SẢN_PHẨM'!$A$2:$G$500,6,FALSE),""))</x:f>
      </x:c>
      <x:c r="J266" s="35" t="str">
        <x:f>IF(OR(F266="",G266=""),"",F266*G266)</x:f>
      </x:c>
      <x:c r="K266" s="35" t="str">
        <x:f>IF(J266="","",J266*H266)</x:f>
      </x:c>
      <x:c r="L266" s="35" t="str">
        <x:f>IF(J266="","",J266-K266)</x:f>
      </x:c>
      <x:c r="M266" s="35" t="str">
        <x:f>IF(L266="","",L266*I266)</x:f>
      </x:c>
      <x:c r="N266" s="35" t="str">
        <x:f>IF(L266="","",L266+M266)</x:f>
      </x:c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36" t="str">
        <x:f>IF(C267="","",IFERROR(VLOOKUP(C267,'SẢN_PHẨM'!$A$2:$G$500,2,FALSE),""))</x:f>
      </x:c>
      <x:c r="E267" s="36" t="str">
        <x:f>IF(C267="","",IFERROR(VLOOKUP(C267,'SẢN_PHẨM'!$A$2:$G$500,3,FALSE),""))</x:f>
      </x:c>
      <x:c r="F267" s="39"/>
      <x:c r="G267" s="34" t="str">
        <x:f>IF(C267="","",IFERROR(VLOOKUP(C267,'SẢN_PHẨM'!$A$2:$G$500,4,FALSE),""))</x:f>
      </x:c>
      <x:c r="H267" s="43"/>
      <x:c r="I267" s="38" t="str">
        <x:f>IF(C267="","",IFERROR(VLOOKUP(C267,'SẢN_PHẨM'!$A$2:$G$500,6,FALSE),""))</x:f>
      </x:c>
      <x:c r="J267" s="35" t="str">
        <x:f>IF(OR(F267="",G267=""),"",F267*G267)</x:f>
      </x:c>
      <x:c r="K267" s="35" t="str">
        <x:f>IF(J267="","",J267*H267)</x:f>
      </x:c>
      <x:c r="L267" s="35" t="str">
        <x:f>IF(J267="","",J267-K267)</x:f>
      </x:c>
      <x:c r="M267" s="35" t="str">
        <x:f>IF(L267="","",L267*I267)</x:f>
      </x:c>
      <x:c r="N267" s="35" t="str">
        <x:f>IF(L267="","",L267+M267)</x:f>
      </x:c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36" t="str">
        <x:f>IF(C268="","",IFERROR(VLOOKUP(C268,'SẢN_PHẨM'!$A$2:$G$500,2,FALSE),""))</x:f>
      </x:c>
      <x:c r="E268" s="36" t="str">
        <x:f>IF(C268="","",IFERROR(VLOOKUP(C268,'SẢN_PHẨM'!$A$2:$G$500,3,FALSE),""))</x:f>
      </x:c>
      <x:c r="F268" s="39"/>
      <x:c r="G268" s="34" t="str">
        <x:f>IF(C268="","",IFERROR(VLOOKUP(C268,'SẢN_PHẨM'!$A$2:$G$500,4,FALSE),""))</x:f>
      </x:c>
      <x:c r="H268" s="43"/>
      <x:c r="I268" s="38" t="str">
        <x:f>IF(C268="","",IFERROR(VLOOKUP(C268,'SẢN_PHẨM'!$A$2:$G$500,6,FALSE),""))</x:f>
      </x:c>
      <x:c r="J268" s="35" t="str">
        <x:f>IF(OR(F268="",G268=""),"",F268*G268)</x:f>
      </x:c>
      <x:c r="K268" s="35" t="str">
        <x:f>IF(J268="","",J268*H268)</x:f>
      </x:c>
      <x:c r="L268" s="35" t="str">
        <x:f>IF(J268="","",J268-K268)</x:f>
      </x:c>
      <x:c r="M268" s="35" t="str">
        <x:f>IF(L268="","",L268*I268)</x:f>
      </x:c>
      <x:c r="N268" s="35" t="str">
        <x:f>IF(L268="","",L268+M268)</x:f>
      </x:c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36" t="str">
        <x:f>IF(C269="","",IFERROR(VLOOKUP(C269,'SẢN_PHẨM'!$A$2:$G$500,2,FALSE),""))</x:f>
      </x:c>
      <x:c r="E269" s="36" t="str">
        <x:f>IF(C269="","",IFERROR(VLOOKUP(C269,'SẢN_PHẨM'!$A$2:$G$500,3,FALSE),""))</x:f>
      </x:c>
      <x:c r="F269" s="39"/>
      <x:c r="G269" s="34" t="str">
        <x:f>IF(C269="","",IFERROR(VLOOKUP(C269,'SẢN_PHẨM'!$A$2:$G$500,4,FALSE),""))</x:f>
      </x:c>
      <x:c r="H269" s="43"/>
      <x:c r="I269" s="38" t="str">
        <x:f>IF(C269="","",IFERROR(VLOOKUP(C269,'SẢN_PHẨM'!$A$2:$G$500,6,FALSE),""))</x:f>
      </x:c>
      <x:c r="J269" s="35" t="str">
        <x:f>IF(OR(F269="",G269=""),"",F269*G269)</x:f>
      </x:c>
      <x:c r="K269" s="35" t="str">
        <x:f>IF(J269="","",J269*H269)</x:f>
      </x:c>
      <x:c r="L269" s="35" t="str">
        <x:f>IF(J269="","",J269-K269)</x:f>
      </x:c>
      <x:c r="M269" s="35" t="str">
        <x:f>IF(L269="","",L269*I269)</x:f>
      </x:c>
      <x:c r="N269" s="35" t="str">
        <x:f>IF(L269="","",L269+M269)</x:f>
      </x:c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36" t="str">
        <x:f>IF(C270="","",IFERROR(VLOOKUP(C270,'SẢN_PHẨM'!$A$2:$G$500,2,FALSE),""))</x:f>
      </x:c>
      <x:c r="E270" s="36" t="str">
        <x:f>IF(C270="","",IFERROR(VLOOKUP(C270,'SẢN_PHẨM'!$A$2:$G$500,3,FALSE),""))</x:f>
      </x:c>
      <x:c r="F270" s="39"/>
      <x:c r="G270" s="34" t="str">
        <x:f>IF(C270="","",IFERROR(VLOOKUP(C270,'SẢN_PHẨM'!$A$2:$G$500,4,FALSE),""))</x:f>
      </x:c>
      <x:c r="H270" s="43"/>
      <x:c r="I270" s="38" t="str">
        <x:f>IF(C270="","",IFERROR(VLOOKUP(C270,'SẢN_PHẨM'!$A$2:$G$500,6,FALSE),""))</x:f>
      </x:c>
      <x:c r="J270" s="35" t="str">
        <x:f>IF(OR(F270="",G270=""),"",F270*G270)</x:f>
      </x:c>
      <x:c r="K270" s="35" t="str">
        <x:f>IF(J270="","",J270*H270)</x:f>
      </x:c>
      <x:c r="L270" s="35" t="str">
        <x:f>IF(J270="","",J270-K270)</x:f>
      </x:c>
      <x:c r="M270" s="35" t="str">
        <x:f>IF(L270="","",L270*I270)</x:f>
      </x:c>
      <x:c r="N270" s="35" t="str">
        <x:f>IF(L270="","",L270+M270)</x:f>
      </x:c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36" t="str">
        <x:f>IF(C271="","",IFERROR(VLOOKUP(C271,'SẢN_PHẨM'!$A$2:$G$500,2,FALSE),""))</x:f>
      </x:c>
      <x:c r="E271" s="36" t="str">
        <x:f>IF(C271="","",IFERROR(VLOOKUP(C271,'SẢN_PHẨM'!$A$2:$G$500,3,FALSE),""))</x:f>
      </x:c>
      <x:c r="F271" s="39"/>
      <x:c r="G271" s="34" t="str">
        <x:f>IF(C271="","",IFERROR(VLOOKUP(C271,'SẢN_PHẨM'!$A$2:$G$500,4,FALSE),""))</x:f>
      </x:c>
      <x:c r="H271" s="43"/>
      <x:c r="I271" s="38" t="str">
        <x:f>IF(C271="","",IFERROR(VLOOKUP(C271,'SẢN_PHẨM'!$A$2:$G$500,6,FALSE),""))</x:f>
      </x:c>
      <x:c r="J271" s="35" t="str">
        <x:f>IF(OR(F271="",G271=""),"",F271*G271)</x:f>
      </x:c>
      <x:c r="K271" s="35" t="str">
        <x:f>IF(J271="","",J271*H271)</x:f>
      </x:c>
      <x:c r="L271" s="35" t="str">
        <x:f>IF(J271="","",J271-K271)</x:f>
      </x:c>
      <x:c r="M271" s="35" t="str">
        <x:f>IF(L271="","",L271*I271)</x:f>
      </x:c>
      <x:c r="N271" s="35" t="str">
        <x:f>IF(L271="","",L271+M271)</x:f>
      </x:c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36" t="str">
        <x:f>IF(C272="","",IFERROR(VLOOKUP(C272,'SẢN_PHẨM'!$A$2:$G$500,2,FALSE),""))</x:f>
      </x:c>
      <x:c r="E272" s="36" t="str">
        <x:f>IF(C272="","",IFERROR(VLOOKUP(C272,'SẢN_PHẨM'!$A$2:$G$500,3,FALSE),""))</x:f>
      </x:c>
      <x:c r="F272" s="39"/>
      <x:c r="G272" s="34" t="str">
        <x:f>IF(C272="","",IFERROR(VLOOKUP(C272,'SẢN_PHẨM'!$A$2:$G$500,4,FALSE),""))</x:f>
      </x:c>
      <x:c r="H272" s="43"/>
      <x:c r="I272" s="38" t="str">
        <x:f>IF(C272="","",IFERROR(VLOOKUP(C272,'SẢN_PHẨM'!$A$2:$G$500,6,FALSE),""))</x:f>
      </x:c>
      <x:c r="J272" s="35" t="str">
        <x:f>IF(OR(F272="",G272=""),"",F272*G272)</x:f>
      </x:c>
      <x:c r="K272" s="35" t="str">
        <x:f>IF(J272="","",J272*H272)</x:f>
      </x:c>
      <x:c r="L272" s="35" t="str">
        <x:f>IF(J272="","",J272-K272)</x:f>
      </x:c>
      <x:c r="M272" s="35" t="str">
        <x:f>IF(L272="","",L272*I272)</x:f>
      </x:c>
      <x:c r="N272" s="35" t="str">
        <x:f>IF(L272="","",L272+M272)</x:f>
      </x:c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36" t="str">
        <x:f>IF(C273="","",IFERROR(VLOOKUP(C273,'SẢN_PHẨM'!$A$2:$G$500,2,FALSE),""))</x:f>
      </x:c>
      <x:c r="E273" s="36" t="str">
        <x:f>IF(C273="","",IFERROR(VLOOKUP(C273,'SẢN_PHẨM'!$A$2:$G$500,3,FALSE),""))</x:f>
      </x:c>
      <x:c r="F273" s="39"/>
      <x:c r="G273" s="34" t="str">
        <x:f>IF(C273="","",IFERROR(VLOOKUP(C273,'SẢN_PHẨM'!$A$2:$G$500,4,FALSE),""))</x:f>
      </x:c>
      <x:c r="H273" s="43"/>
      <x:c r="I273" s="38" t="str">
        <x:f>IF(C273="","",IFERROR(VLOOKUP(C273,'SẢN_PHẨM'!$A$2:$G$500,6,FALSE),""))</x:f>
      </x:c>
      <x:c r="J273" s="35" t="str">
        <x:f>IF(OR(F273="",G273=""),"",F273*G273)</x:f>
      </x:c>
      <x:c r="K273" s="35" t="str">
        <x:f>IF(J273="","",J273*H273)</x:f>
      </x:c>
      <x:c r="L273" s="35" t="str">
        <x:f>IF(J273="","",J273-K273)</x:f>
      </x:c>
      <x:c r="M273" s="35" t="str">
        <x:f>IF(L273="","",L273*I273)</x:f>
      </x:c>
      <x:c r="N273" s="35" t="str">
        <x:f>IF(L273="","",L273+M273)</x:f>
      </x:c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36" t="str">
        <x:f>IF(C274="","",IFERROR(VLOOKUP(C274,'SẢN_PHẨM'!$A$2:$G$500,2,FALSE),""))</x:f>
      </x:c>
      <x:c r="E274" s="36" t="str">
        <x:f>IF(C274="","",IFERROR(VLOOKUP(C274,'SẢN_PHẨM'!$A$2:$G$500,3,FALSE),""))</x:f>
      </x:c>
      <x:c r="F274" s="39"/>
      <x:c r="G274" s="34" t="str">
        <x:f>IF(C274="","",IFERROR(VLOOKUP(C274,'SẢN_PHẨM'!$A$2:$G$500,4,FALSE),""))</x:f>
      </x:c>
      <x:c r="H274" s="43"/>
      <x:c r="I274" s="38" t="str">
        <x:f>IF(C274="","",IFERROR(VLOOKUP(C274,'SẢN_PHẨM'!$A$2:$G$500,6,FALSE),""))</x:f>
      </x:c>
      <x:c r="J274" s="35" t="str">
        <x:f>IF(OR(F274="",G274=""),"",F274*G274)</x:f>
      </x:c>
      <x:c r="K274" s="35" t="str">
        <x:f>IF(J274="","",J274*H274)</x:f>
      </x:c>
      <x:c r="L274" s="35" t="str">
        <x:f>IF(J274="","",J274-K274)</x:f>
      </x:c>
      <x:c r="M274" s="35" t="str">
        <x:f>IF(L274="","",L274*I274)</x:f>
      </x:c>
      <x:c r="N274" s="35" t="str">
        <x:f>IF(L274="","",L274+M274)</x:f>
      </x:c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36" t="str">
        <x:f>IF(C275="","",IFERROR(VLOOKUP(C275,'SẢN_PHẨM'!$A$2:$G$500,2,FALSE),""))</x:f>
      </x:c>
      <x:c r="E275" s="36" t="str">
        <x:f>IF(C275="","",IFERROR(VLOOKUP(C275,'SẢN_PHẨM'!$A$2:$G$500,3,FALSE),""))</x:f>
      </x:c>
      <x:c r="F275" s="39"/>
      <x:c r="G275" s="34" t="str">
        <x:f>IF(C275="","",IFERROR(VLOOKUP(C275,'SẢN_PHẨM'!$A$2:$G$500,4,FALSE),""))</x:f>
      </x:c>
      <x:c r="H275" s="43"/>
      <x:c r="I275" s="38" t="str">
        <x:f>IF(C275="","",IFERROR(VLOOKUP(C275,'SẢN_PHẨM'!$A$2:$G$500,6,FALSE),""))</x:f>
      </x:c>
      <x:c r="J275" s="35" t="str">
        <x:f>IF(OR(F275="",G275=""),"",F275*G275)</x:f>
      </x:c>
      <x:c r="K275" s="35" t="str">
        <x:f>IF(J275="","",J275*H275)</x:f>
      </x:c>
      <x:c r="L275" s="35" t="str">
        <x:f>IF(J275="","",J275-K275)</x:f>
      </x:c>
      <x:c r="M275" s="35" t="str">
        <x:f>IF(L275="","",L275*I275)</x:f>
      </x:c>
      <x:c r="N275" s="35" t="str">
        <x:f>IF(L275="","",L275+M275)</x:f>
      </x:c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36" t="str">
        <x:f>IF(C276="","",IFERROR(VLOOKUP(C276,'SẢN_PHẨM'!$A$2:$G$500,2,FALSE),""))</x:f>
      </x:c>
      <x:c r="E276" s="36" t="str">
        <x:f>IF(C276="","",IFERROR(VLOOKUP(C276,'SẢN_PHẨM'!$A$2:$G$500,3,FALSE),""))</x:f>
      </x:c>
      <x:c r="F276" s="39"/>
      <x:c r="G276" s="34" t="str">
        <x:f>IF(C276="","",IFERROR(VLOOKUP(C276,'SẢN_PHẨM'!$A$2:$G$500,4,FALSE),""))</x:f>
      </x:c>
      <x:c r="H276" s="43"/>
      <x:c r="I276" s="38" t="str">
        <x:f>IF(C276="","",IFERROR(VLOOKUP(C276,'SẢN_PHẨM'!$A$2:$G$500,6,FALSE),""))</x:f>
      </x:c>
      <x:c r="J276" s="35" t="str">
        <x:f>IF(OR(F276="",G276=""),"",F276*G276)</x:f>
      </x:c>
      <x:c r="K276" s="35" t="str">
        <x:f>IF(J276="","",J276*H276)</x:f>
      </x:c>
      <x:c r="L276" s="35" t="str">
        <x:f>IF(J276="","",J276-K276)</x:f>
      </x:c>
      <x:c r="M276" s="35" t="str">
        <x:f>IF(L276="","",L276*I276)</x:f>
      </x:c>
      <x:c r="N276" s="35" t="str">
        <x:f>IF(L276="","",L276+M276)</x:f>
      </x:c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36" t="str">
        <x:f>IF(C277="","",IFERROR(VLOOKUP(C277,'SẢN_PHẨM'!$A$2:$G$500,2,FALSE),""))</x:f>
      </x:c>
      <x:c r="E277" s="36" t="str">
        <x:f>IF(C277="","",IFERROR(VLOOKUP(C277,'SẢN_PHẨM'!$A$2:$G$500,3,FALSE),""))</x:f>
      </x:c>
      <x:c r="F277" s="39"/>
      <x:c r="G277" s="34" t="str">
        <x:f>IF(C277="","",IFERROR(VLOOKUP(C277,'SẢN_PHẨM'!$A$2:$G$500,4,FALSE),""))</x:f>
      </x:c>
      <x:c r="H277" s="43"/>
      <x:c r="I277" s="38" t="str">
        <x:f>IF(C277="","",IFERROR(VLOOKUP(C277,'SẢN_PHẨM'!$A$2:$G$500,6,FALSE),""))</x:f>
      </x:c>
      <x:c r="J277" s="35" t="str">
        <x:f>IF(OR(F277="",G277=""),"",F277*G277)</x:f>
      </x:c>
      <x:c r="K277" s="35" t="str">
        <x:f>IF(J277="","",J277*H277)</x:f>
      </x:c>
      <x:c r="L277" s="35" t="str">
        <x:f>IF(J277="","",J277-K277)</x:f>
      </x:c>
      <x:c r="M277" s="35" t="str">
        <x:f>IF(L277="","",L277*I277)</x:f>
      </x:c>
      <x:c r="N277" s="35" t="str">
        <x:f>IF(L277="","",L277+M277)</x:f>
      </x:c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36" t="str">
        <x:f>IF(C278="","",IFERROR(VLOOKUP(C278,'SẢN_PHẨM'!$A$2:$G$500,2,FALSE),""))</x:f>
      </x:c>
      <x:c r="E278" s="36" t="str">
        <x:f>IF(C278="","",IFERROR(VLOOKUP(C278,'SẢN_PHẨM'!$A$2:$G$500,3,FALSE),""))</x:f>
      </x:c>
      <x:c r="F278" s="39"/>
      <x:c r="G278" s="34" t="str">
        <x:f>IF(C278="","",IFERROR(VLOOKUP(C278,'SẢN_PHẨM'!$A$2:$G$500,4,FALSE),""))</x:f>
      </x:c>
      <x:c r="H278" s="43"/>
      <x:c r="I278" s="38" t="str">
        <x:f>IF(C278="","",IFERROR(VLOOKUP(C278,'SẢN_PHẨM'!$A$2:$G$500,6,FALSE),""))</x:f>
      </x:c>
      <x:c r="J278" s="35" t="str">
        <x:f>IF(OR(F278="",G278=""),"",F278*G278)</x:f>
      </x:c>
      <x:c r="K278" s="35" t="str">
        <x:f>IF(J278="","",J278*H278)</x:f>
      </x:c>
      <x:c r="L278" s="35" t="str">
        <x:f>IF(J278="","",J278-K278)</x:f>
      </x:c>
      <x:c r="M278" s="35" t="str">
        <x:f>IF(L278="","",L278*I278)</x:f>
      </x:c>
      <x:c r="N278" s="35" t="str">
        <x:f>IF(L278="","",L278+M278)</x:f>
      </x:c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36" t="str">
        <x:f>IF(C279="","",IFERROR(VLOOKUP(C279,'SẢN_PHẨM'!$A$2:$G$500,2,FALSE),""))</x:f>
      </x:c>
      <x:c r="E279" s="36" t="str">
        <x:f>IF(C279="","",IFERROR(VLOOKUP(C279,'SẢN_PHẨM'!$A$2:$G$500,3,FALSE),""))</x:f>
      </x:c>
      <x:c r="F279" s="39"/>
      <x:c r="G279" s="34" t="str">
        <x:f>IF(C279="","",IFERROR(VLOOKUP(C279,'SẢN_PHẨM'!$A$2:$G$500,4,FALSE),""))</x:f>
      </x:c>
      <x:c r="H279" s="43"/>
      <x:c r="I279" s="38" t="str">
        <x:f>IF(C279="","",IFERROR(VLOOKUP(C279,'SẢN_PHẨM'!$A$2:$G$500,6,FALSE),""))</x:f>
      </x:c>
      <x:c r="J279" s="35" t="str">
        <x:f>IF(OR(F279="",G279=""),"",F279*G279)</x:f>
      </x:c>
      <x:c r="K279" s="35" t="str">
        <x:f>IF(J279="","",J279*H279)</x:f>
      </x:c>
      <x:c r="L279" s="35" t="str">
        <x:f>IF(J279="","",J279-K279)</x:f>
      </x:c>
      <x:c r="M279" s="35" t="str">
        <x:f>IF(L279="","",L279*I279)</x:f>
      </x:c>
      <x:c r="N279" s="35" t="str">
        <x:f>IF(L279="","",L279+M279)</x:f>
      </x:c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36" t="str">
        <x:f>IF(C280="","",IFERROR(VLOOKUP(C280,'SẢN_PHẨM'!$A$2:$G$500,2,FALSE),""))</x:f>
      </x:c>
      <x:c r="E280" s="36" t="str">
        <x:f>IF(C280="","",IFERROR(VLOOKUP(C280,'SẢN_PHẨM'!$A$2:$G$500,3,FALSE),""))</x:f>
      </x:c>
      <x:c r="F280" s="39"/>
      <x:c r="G280" s="34" t="str">
        <x:f>IF(C280="","",IFERROR(VLOOKUP(C280,'SẢN_PHẨM'!$A$2:$G$500,4,FALSE),""))</x:f>
      </x:c>
      <x:c r="H280" s="43"/>
      <x:c r="I280" s="38" t="str">
        <x:f>IF(C280="","",IFERROR(VLOOKUP(C280,'SẢN_PHẨM'!$A$2:$G$500,6,FALSE),""))</x:f>
      </x:c>
      <x:c r="J280" s="35" t="str">
        <x:f>IF(OR(F280="",G280=""),"",F280*G280)</x:f>
      </x:c>
      <x:c r="K280" s="35" t="str">
        <x:f>IF(J280="","",J280*H280)</x:f>
      </x:c>
      <x:c r="L280" s="35" t="str">
        <x:f>IF(J280="","",J280-K280)</x:f>
      </x:c>
      <x:c r="M280" s="35" t="str">
        <x:f>IF(L280="","",L280*I280)</x:f>
      </x:c>
      <x:c r="N280" s="35" t="str">
        <x:f>IF(L280="","",L280+M280)</x:f>
      </x:c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36" t="str">
        <x:f>IF(C281="","",IFERROR(VLOOKUP(C281,'SẢN_PHẨM'!$A$2:$G$500,2,FALSE),""))</x:f>
      </x:c>
      <x:c r="E281" s="36" t="str">
        <x:f>IF(C281="","",IFERROR(VLOOKUP(C281,'SẢN_PHẨM'!$A$2:$G$500,3,FALSE),""))</x:f>
      </x:c>
      <x:c r="F281" s="39"/>
      <x:c r="G281" s="34" t="str">
        <x:f>IF(C281="","",IFERROR(VLOOKUP(C281,'SẢN_PHẨM'!$A$2:$G$500,4,FALSE),""))</x:f>
      </x:c>
      <x:c r="H281" s="43"/>
      <x:c r="I281" s="38" t="str">
        <x:f>IF(C281="","",IFERROR(VLOOKUP(C281,'SẢN_PHẨM'!$A$2:$G$500,6,FALSE),""))</x:f>
      </x:c>
      <x:c r="J281" s="35" t="str">
        <x:f>IF(OR(F281="",G281=""),"",F281*G281)</x:f>
      </x:c>
      <x:c r="K281" s="35" t="str">
        <x:f>IF(J281="","",J281*H281)</x:f>
      </x:c>
      <x:c r="L281" s="35" t="str">
        <x:f>IF(J281="","",J281-K281)</x:f>
      </x:c>
      <x:c r="M281" s="35" t="str">
        <x:f>IF(L281="","",L281*I281)</x:f>
      </x:c>
      <x:c r="N281" s="35" t="str">
        <x:f>IF(L281="","",L281+M281)</x:f>
      </x:c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36" t="str">
        <x:f>IF(C282="","",IFERROR(VLOOKUP(C282,'SẢN_PHẨM'!$A$2:$G$500,2,FALSE),""))</x:f>
      </x:c>
      <x:c r="E282" s="36" t="str">
        <x:f>IF(C282="","",IFERROR(VLOOKUP(C282,'SẢN_PHẨM'!$A$2:$G$500,3,FALSE),""))</x:f>
      </x:c>
      <x:c r="F282" s="39"/>
      <x:c r="G282" s="34" t="str">
        <x:f>IF(C282="","",IFERROR(VLOOKUP(C282,'SẢN_PHẨM'!$A$2:$G$500,4,FALSE),""))</x:f>
      </x:c>
      <x:c r="H282" s="43"/>
      <x:c r="I282" s="38" t="str">
        <x:f>IF(C282="","",IFERROR(VLOOKUP(C282,'SẢN_PHẨM'!$A$2:$G$500,6,FALSE),""))</x:f>
      </x:c>
      <x:c r="J282" s="35" t="str">
        <x:f>IF(OR(F282="",G282=""),"",F282*G282)</x:f>
      </x:c>
      <x:c r="K282" s="35" t="str">
        <x:f>IF(J282="","",J282*H282)</x:f>
      </x:c>
      <x:c r="L282" s="35" t="str">
        <x:f>IF(J282="","",J282-K282)</x:f>
      </x:c>
      <x:c r="M282" s="35" t="str">
        <x:f>IF(L282="","",L282*I282)</x:f>
      </x:c>
      <x:c r="N282" s="35" t="str">
        <x:f>IF(L282="","",L282+M282)</x:f>
      </x:c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36" t="str">
        <x:f>IF(C283="","",IFERROR(VLOOKUP(C283,'SẢN_PHẨM'!$A$2:$G$500,2,FALSE),""))</x:f>
      </x:c>
      <x:c r="E283" s="36" t="str">
        <x:f>IF(C283="","",IFERROR(VLOOKUP(C283,'SẢN_PHẨM'!$A$2:$G$500,3,FALSE),""))</x:f>
      </x:c>
      <x:c r="F283" s="39"/>
      <x:c r="G283" s="34" t="str">
        <x:f>IF(C283="","",IFERROR(VLOOKUP(C283,'SẢN_PHẨM'!$A$2:$G$500,4,FALSE),""))</x:f>
      </x:c>
      <x:c r="H283" s="43"/>
      <x:c r="I283" s="38" t="str">
        <x:f>IF(C283="","",IFERROR(VLOOKUP(C283,'SẢN_PHẨM'!$A$2:$G$500,6,FALSE),""))</x:f>
      </x:c>
      <x:c r="J283" s="35" t="str">
        <x:f>IF(OR(F283="",G283=""),"",F283*G283)</x:f>
      </x:c>
      <x:c r="K283" s="35" t="str">
        <x:f>IF(J283="","",J283*H283)</x:f>
      </x:c>
      <x:c r="L283" s="35" t="str">
        <x:f>IF(J283="","",J283-K283)</x:f>
      </x:c>
      <x:c r="M283" s="35" t="str">
        <x:f>IF(L283="","",L283*I283)</x:f>
      </x:c>
      <x:c r="N283" s="35" t="str">
        <x:f>IF(L283="","",L283+M283)</x:f>
      </x:c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36" t="str">
        <x:f>IF(C284="","",IFERROR(VLOOKUP(C284,'SẢN_PHẨM'!$A$2:$G$500,2,FALSE),""))</x:f>
      </x:c>
      <x:c r="E284" s="36" t="str">
        <x:f>IF(C284="","",IFERROR(VLOOKUP(C284,'SẢN_PHẨM'!$A$2:$G$500,3,FALSE),""))</x:f>
      </x:c>
      <x:c r="F284" s="39"/>
      <x:c r="G284" s="34" t="str">
        <x:f>IF(C284="","",IFERROR(VLOOKUP(C284,'SẢN_PHẨM'!$A$2:$G$500,4,FALSE),""))</x:f>
      </x:c>
      <x:c r="H284" s="43"/>
      <x:c r="I284" s="38" t="str">
        <x:f>IF(C284="","",IFERROR(VLOOKUP(C284,'SẢN_PHẨM'!$A$2:$G$500,6,FALSE),""))</x:f>
      </x:c>
      <x:c r="J284" s="35" t="str">
        <x:f>IF(OR(F284="",G284=""),"",F284*G284)</x:f>
      </x:c>
      <x:c r="K284" s="35" t="str">
        <x:f>IF(J284="","",J284*H284)</x:f>
      </x:c>
      <x:c r="L284" s="35" t="str">
        <x:f>IF(J284="","",J284-K284)</x:f>
      </x:c>
      <x:c r="M284" s="35" t="str">
        <x:f>IF(L284="","",L284*I284)</x:f>
      </x:c>
      <x:c r="N284" s="35" t="str">
        <x:f>IF(L284="","",L284+M284)</x:f>
      </x:c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36" t="str">
        <x:f>IF(C285="","",IFERROR(VLOOKUP(C285,'SẢN_PHẨM'!$A$2:$G$500,2,FALSE),""))</x:f>
      </x:c>
      <x:c r="E285" s="36" t="str">
        <x:f>IF(C285="","",IFERROR(VLOOKUP(C285,'SẢN_PHẨM'!$A$2:$G$500,3,FALSE),""))</x:f>
      </x:c>
      <x:c r="F285" s="39"/>
      <x:c r="G285" s="34" t="str">
        <x:f>IF(C285="","",IFERROR(VLOOKUP(C285,'SẢN_PHẨM'!$A$2:$G$500,4,FALSE),""))</x:f>
      </x:c>
      <x:c r="H285" s="43"/>
      <x:c r="I285" s="38" t="str">
        <x:f>IF(C285="","",IFERROR(VLOOKUP(C285,'SẢN_PHẨM'!$A$2:$G$500,6,FALSE),""))</x:f>
      </x:c>
      <x:c r="J285" s="35" t="str">
        <x:f>IF(OR(F285="",G285=""),"",F285*G285)</x:f>
      </x:c>
      <x:c r="K285" s="35" t="str">
        <x:f>IF(J285="","",J285*H285)</x:f>
      </x:c>
      <x:c r="L285" s="35" t="str">
        <x:f>IF(J285="","",J285-K285)</x:f>
      </x:c>
      <x:c r="M285" s="35" t="str">
        <x:f>IF(L285="","",L285*I285)</x:f>
      </x:c>
      <x:c r="N285" s="35" t="str">
        <x:f>IF(L285="","",L285+M285)</x:f>
      </x:c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36" t="str">
        <x:f>IF(C286="","",IFERROR(VLOOKUP(C286,'SẢN_PHẨM'!$A$2:$G$500,2,FALSE),""))</x:f>
      </x:c>
      <x:c r="E286" s="36" t="str">
        <x:f>IF(C286="","",IFERROR(VLOOKUP(C286,'SẢN_PHẨM'!$A$2:$G$500,3,FALSE),""))</x:f>
      </x:c>
      <x:c r="F286" s="39"/>
      <x:c r="G286" s="34" t="str">
        <x:f>IF(C286="","",IFERROR(VLOOKUP(C286,'SẢN_PHẨM'!$A$2:$G$500,4,FALSE),""))</x:f>
      </x:c>
      <x:c r="H286" s="43"/>
      <x:c r="I286" s="38" t="str">
        <x:f>IF(C286="","",IFERROR(VLOOKUP(C286,'SẢN_PHẨM'!$A$2:$G$500,6,FALSE),""))</x:f>
      </x:c>
      <x:c r="J286" s="35" t="str">
        <x:f>IF(OR(F286="",G286=""),"",F286*G286)</x:f>
      </x:c>
      <x:c r="K286" s="35" t="str">
        <x:f>IF(J286="","",J286*H286)</x:f>
      </x:c>
      <x:c r="L286" s="35" t="str">
        <x:f>IF(J286="","",J286-K286)</x:f>
      </x:c>
      <x:c r="M286" s="35" t="str">
        <x:f>IF(L286="","",L286*I286)</x:f>
      </x:c>
      <x:c r="N286" s="35" t="str">
        <x:f>IF(L286="","",L286+M286)</x:f>
      </x:c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36" t="str">
        <x:f>IF(C287="","",IFERROR(VLOOKUP(C287,'SẢN_PHẨM'!$A$2:$G$500,2,FALSE),""))</x:f>
      </x:c>
      <x:c r="E287" s="36" t="str">
        <x:f>IF(C287="","",IFERROR(VLOOKUP(C287,'SẢN_PHẨM'!$A$2:$G$500,3,FALSE),""))</x:f>
      </x:c>
      <x:c r="F287" s="39"/>
      <x:c r="G287" s="34" t="str">
        <x:f>IF(C287="","",IFERROR(VLOOKUP(C287,'SẢN_PHẨM'!$A$2:$G$500,4,FALSE),""))</x:f>
      </x:c>
      <x:c r="H287" s="43"/>
      <x:c r="I287" s="38" t="str">
        <x:f>IF(C287="","",IFERROR(VLOOKUP(C287,'SẢN_PHẨM'!$A$2:$G$500,6,FALSE),""))</x:f>
      </x:c>
      <x:c r="J287" s="35" t="str">
        <x:f>IF(OR(F287="",G287=""),"",F287*G287)</x:f>
      </x:c>
      <x:c r="K287" s="35" t="str">
        <x:f>IF(J287="","",J287*H287)</x:f>
      </x:c>
      <x:c r="L287" s="35" t="str">
        <x:f>IF(J287="","",J287-K287)</x:f>
      </x:c>
      <x:c r="M287" s="35" t="str">
        <x:f>IF(L287="","",L287*I287)</x:f>
      </x:c>
      <x:c r="N287" s="35" t="str">
        <x:f>IF(L287="","",L287+M287)</x:f>
      </x:c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36" t="str">
        <x:f>IF(C288="","",IFERROR(VLOOKUP(C288,'SẢN_PHẨM'!$A$2:$G$500,2,FALSE),""))</x:f>
      </x:c>
      <x:c r="E288" s="36" t="str">
        <x:f>IF(C288="","",IFERROR(VLOOKUP(C288,'SẢN_PHẨM'!$A$2:$G$500,3,FALSE),""))</x:f>
      </x:c>
      <x:c r="F288" s="39"/>
      <x:c r="G288" s="34" t="str">
        <x:f>IF(C288="","",IFERROR(VLOOKUP(C288,'SẢN_PHẨM'!$A$2:$G$500,4,FALSE),""))</x:f>
      </x:c>
      <x:c r="H288" s="43"/>
      <x:c r="I288" s="38" t="str">
        <x:f>IF(C288="","",IFERROR(VLOOKUP(C288,'SẢN_PHẨM'!$A$2:$G$500,6,FALSE),""))</x:f>
      </x:c>
      <x:c r="J288" s="35" t="str">
        <x:f>IF(OR(F288="",G288=""),"",F288*G288)</x:f>
      </x:c>
      <x:c r="K288" s="35" t="str">
        <x:f>IF(J288="","",J288*H288)</x:f>
      </x:c>
      <x:c r="L288" s="35" t="str">
        <x:f>IF(J288="","",J288-K288)</x:f>
      </x:c>
      <x:c r="M288" s="35" t="str">
        <x:f>IF(L288="","",L288*I288)</x:f>
      </x:c>
      <x:c r="N288" s="35" t="str">
        <x:f>IF(L288="","",L288+M288)</x:f>
      </x:c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36" t="str">
        <x:f>IF(C289="","",IFERROR(VLOOKUP(C289,'SẢN_PHẨM'!$A$2:$G$500,2,FALSE),""))</x:f>
      </x:c>
      <x:c r="E289" s="36" t="str">
        <x:f>IF(C289="","",IFERROR(VLOOKUP(C289,'SẢN_PHẨM'!$A$2:$G$500,3,FALSE),""))</x:f>
      </x:c>
      <x:c r="F289" s="39"/>
      <x:c r="G289" s="34" t="str">
        <x:f>IF(C289="","",IFERROR(VLOOKUP(C289,'SẢN_PHẨM'!$A$2:$G$500,4,FALSE),""))</x:f>
      </x:c>
      <x:c r="H289" s="43"/>
      <x:c r="I289" s="38" t="str">
        <x:f>IF(C289="","",IFERROR(VLOOKUP(C289,'SẢN_PHẨM'!$A$2:$G$500,6,FALSE),""))</x:f>
      </x:c>
      <x:c r="J289" s="35" t="str">
        <x:f>IF(OR(F289="",G289=""),"",F289*G289)</x:f>
      </x:c>
      <x:c r="K289" s="35" t="str">
        <x:f>IF(J289="","",J289*H289)</x:f>
      </x:c>
      <x:c r="L289" s="35" t="str">
        <x:f>IF(J289="","",J289-K289)</x:f>
      </x:c>
      <x:c r="M289" s="35" t="str">
        <x:f>IF(L289="","",L289*I289)</x:f>
      </x:c>
      <x:c r="N289" s="35" t="str">
        <x:f>IF(L289="","",L289+M289)</x:f>
      </x:c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36" t="str">
        <x:f>IF(C290="","",IFERROR(VLOOKUP(C290,'SẢN_PHẨM'!$A$2:$G$500,2,FALSE),""))</x:f>
      </x:c>
      <x:c r="E290" s="36" t="str">
        <x:f>IF(C290="","",IFERROR(VLOOKUP(C290,'SẢN_PHẨM'!$A$2:$G$500,3,FALSE),""))</x:f>
      </x:c>
      <x:c r="F290" s="39"/>
      <x:c r="G290" s="34" t="str">
        <x:f>IF(C290="","",IFERROR(VLOOKUP(C290,'SẢN_PHẨM'!$A$2:$G$500,4,FALSE),""))</x:f>
      </x:c>
      <x:c r="H290" s="43"/>
      <x:c r="I290" s="38" t="str">
        <x:f>IF(C290="","",IFERROR(VLOOKUP(C290,'SẢN_PHẨM'!$A$2:$G$500,6,FALSE),""))</x:f>
      </x:c>
      <x:c r="J290" s="35" t="str">
        <x:f>IF(OR(F290="",G290=""),"",F290*G290)</x:f>
      </x:c>
      <x:c r="K290" s="35" t="str">
        <x:f>IF(J290="","",J290*H290)</x:f>
      </x:c>
      <x:c r="L290" s="35" t="str">
        <x:f>IF(J290="","",J290-K290)</x:f>
      </x:c>
      <x:c r="M290" s="35" t="str">
        <x:f>IF(L290="","",L290*I290)</x:f>
      </x:c>
      <x:c r="N290" s="35" t="str">
        <x:f>IF(L290="","",L290+M290)</x:f>
      </x:c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36" t="str">
        <x:f>IF(C291="","",IFERROR(VLOOKUP(C291,'SẢN_PHẨM'!$A$2:$G$500,2,FALSE),""))</x:f>
      </x:c>
      <x:c r="E291" s="36" t="str">
        <x:f>IF(C291="","",IFERROR(VLOOKUP(C291,'SẢN_PHẨM'!$A$2:$G$500,3,FALSE),""))</x:f>
      </x:c>
      <x:c r="F291" s="39"/>
      <x:c r="G291" s="34" t="str">
        <x:f>IF(C291="","",IFERROR(VLOOKUP(C291,'SẢN_PHẨM'!$A$2:$G$500,4,FALSE),""))</x:f>
      </x:c>
      <x:c r="H291" s="43"/>
      <x:c r="I291" s="38" t="str">
        <x:f>IF(C291="","",IFERROR(VLOOKUP(C291,'SẢN_PHẨM'!$A$2:$G$500,6,FALSE),""))</x:f>
      </x:c>
      <x:c r="J291" s="35" t="str">
        <x:f>IF(OR(F291="",G291=""),"",F291*G291)</x:f>
      </x:c>
      <x:c r="K291" s="35" t="str">
        <x:f>IF(J291="","",J291*H291)</x:f>
      </x:c>
      <x:c r="L291" s="35" t="str">
        <x:f>IF(J291="","",J291-K291)</x:f>
      </x:c>
      <x:c r="M291" s="35" t="str">
        <x:f>IF(L291="","",L291*I291)</x:f>
      </x:c>
      <x:c r="N291" s="35" t="str">
        <x:f>IF(L291="","",L291+M291)</x:f>
      </x:c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36" t="str">
        <x:f>IF(C292="","",IFERROR(VLOOKUP(C292,'SẢN_PHẨM'!$A$2:$G$500,2,FALSE),""))</x:f>
      </x:c>
      <x:c r="E292" s="36" t="str">
        <x:f>IF(C292="","",IFERROR(VLOOKUP(C292,'SẢN_PHẨM'!$A$2:$G$500,3,FALSE),""))</x:f>
      </x:c>
      <x:c r="F292" s="39"/>
      <x:c r="G292" s="34" t="str">
        <x:f>IF(C292="","",IFERROR(VLOOKUP(C292,'SẢN_PHẨM'!$A$2:$G$500,4,FALSE),""))</x:f>
      </x:c>
      <x:c r="H292" s="43"/>
      <x:c r="I292" s="38" t="str">
        <x:f>IF(C292="","",IFERROR(VLOOKUP(C292,'SẢN_PHẨM'!$A$2:$G$500,6,FALSE),""))</x:f>
      </x:c>
      <x:c r="J292" s="35" t="str">
        <x:f>IF(OR(F292="",G292=""),"",F292*G292)</x:f>
      </x:c>
      <x:c r="K292" s="35" t="str">
        <x:f>IF(J292="","",J292*H292)</x:f>
      </x:c>
      <x:c r="L292" s="35" t="str">
        <x:f>IF(J292="","",J292-K292)</x:f>
      </x:c>
      <x:c r="M292" s="35" t="str">
        <x:f>IF(L292="","",L292*I292)</x:f>
      </x:c>
      <x:c r="N292" s="35" t="str">
        <x:f>IF(L292="","",L292+M292)</x:f>
      </x:c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36" t="str">
        <x:f>IF(C293="","",IFERROR(VLOOKUP(C293,'SẢN_PHẨM'!$A$2:$G$500,2,FALSE),""))</x:f>
      </x:c>
      <x:c r="E293" s="36" t="str">
        <x:f>IF(C293="","",IFERROR(VLOOKUP(C293,'SẢN_PHẨM'!$A$2:$G$500,3,FALSE),""))</x:f>
      </x:c>
      <x:c r="F293" s="39"/>
      <x:c r="G293" s="34" t="str">
        <x:f>IF(C293="","",IFERROR(VLOOKUP(C293,'SẢN_PHẨM'!$A$2:$G$500,4,FALSE),""))</x:f>
      </x:c>
      <x:c r="H293" s="43"/>
      <x:c r="I293" s="38" t="str">
        <x:f>IF(C293="","",IFERROR(VLOOKUP(C293,'SẢN_PHẨM'!$A$2:$G$500,6,FALSE),""))</x:f>
      </x:c>
      <x:c r="J293" s="35" t="str">
        <x:f>IF(OR(F293="",G293=""),"",F293*G293)</x:f>
      </x:c>
      <x:c r="K293" s="35" t="str">
        <x:f>IF(J293="","",J293*H293)</x:f>
      </x:c>
      <x:c r="L293" s="35" t="str">
        <x:f>IF(J293="","",J293-K293)</x:f>
      </x:c>
      <x:c r="M293" s="35" t="str">
        <x:f>IF(L293="","",L293*I293)</x:f>
      </x:c>
      <x:c r="N293" s="35" t="str">
        <x:f>IF(L293="","",L293+M293)</x:f>
      </x:c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36" t="str">
        <x:f>IF(C294="","",IFERROR(VLOOKUP(C294,'SẢN_PHẨM'!$A$2:$G$500,2,FALSE),""))</x:f>
      </x:c>
      <x:c r="E294" s="36" t="str">
        <x:f>IF(C294="","",IFERROR(VLOOKUP(C294,'SẢN_PHẨM'!$A$2:$G$500,3,FALSE),""))</x:f>
      </x:c>
      <x:c r="F294" s="39"/>
      <x:c r="G294" s="34" t="str">
        <x:f>IF(C294="","",IFERROR(VLOOKUP(C294,'SẢN_PHẨM'!$A$2:$G$500,4,FALSE),""))</x:f>
      </x:c>
      <x:c r="H294" s="43"/>
      <x:c r="I294" s="38" t="str">
        <x:f>IF(C294="","",IFERROR(VLOOKUP(C294,'SẢN_PHẨM'!$A$2:$G$500,6,FALSE),""))</x:f>
      </x:c>
      <x:c r="J294" s="35" t="str">
        <x:f>IF(OR(F294="",G294=""),"",F294*G294)</x:f>
      </x:c>
      <x:c r="K294" s="35" t="str">
        <x:f>IF(J294="","",J294*H294)</x:f>
      </x:c>
      <x:c r="L294" s="35" t="str">
        <x:f>IF(J294="","",J294-K294)</x:f>
      </x:c>
      <x:c r="M294" s="35" t="str">
        <x:f>IF(L294="","",L294*I294)</x:f>
      </x:c>
      <x:c r="N294" s="35" t="str">
        <x:f>IF(L294="","",L294+M294)</x:f>
      </x:c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36" t="str">
        <x:f>IF(C295="","",IFERROR(VLOOKUP(C295,'SẢN_PHẨM'!$A$2:$G$500,2,FALSE),""))</x:f>
      </x:c>
      <x:c r="E295" s="36" t="str">
        <x:f>IF(C295="","",IFERROR(VLOOKUP(C295,'SẢN_PHẨM'!$A$2:$G$500,3,FALSE),""))</x:f>
      </x:c>
      <x:c r="F295" s="39"/>
      <x:c r="G295" s="34" t="str">
        <x:f>IF(C295="","",IFERROR(VLOOKUP(C295,'SẢN_PHẨM'!$A$2:$G$500,4,FALSE),""))</x:f>
      </x:c>
      <x:c r="H295" s="43"/>
      <x:c r="I295" s="38" t="str">
        <x:f>IF(C295="","",IFERROR(VLOOKUP(C295,'SẢN_PHẨM'!$A$2:$G$500,6,FALSE),""))</x:f>
      </x:c>
      <x:c r="J295" s="35" t="str">
        <x:f>IF(OR(F295="",G295=""),"",F295*G295)</x:f>
      </x:c>
      <x:c r="K295" s="35" t="str">
        <x:f>IF(J295="","",J295*H295)</x:f>
      </x:c>
      <x:c r="L295" s="35" t="str">
        <x:f>IF(J295="","",J295-K295)</x:f>
      </x:c>
      <x:c r="M295" s="35" t="str">
        <x:f>IF(L295="","",L295*I295)</x:f>
      </x:c>
      <x:c r="N295" s="35" t="str">
        <x:f>IF(L295="","",L295+M295)</x:f>
      </x:c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36" t="str">
        <x:f>IF(C296="","",IFERROR(VLOOKUP(C296,'SẢN_PHẨM'!$A$2:$G$500,2,FALSE),""))</x:f>
      </x:c>
      <x:c r="E296" s="36" t="str">
        <x:f>IF(C296="","",IFERROR(VLOOKUP(C296,'SẢN_PHẨM'!$A$2:$G$500,3,FALSE),""))</x:f>
      </x:c>
      <x:c r="F296" s="39"/>
      <x:c r="G296" s="34" t="str">
        <x:f>IF(C296="","",IFERROR(VLOOKUP(C296,'SẢN_PHẨM'!$A$2:$G$500,4,FALSE),""))</x:f>
      </x:c>
      <x:c r="H296" s="43"/>
      <x:c r="I296" s="38" t="str">
        <x:f>IF(C296="","",IFERROR(VLOOKUP(C296,'SẢN_PHẨM'!$A$2:$G$500,6,FALSE),""))</x:f>
      </x:c>
      <x:c r="J296" s="35" t="str">
        <x:f>IF(OR(F296="",G296=""),"",F296*G296)</x:f>
      </x:c>
      <x:c r="K296" s="35" t="str">
        <x:f>IF(J296="","",J296*H296)</x:f>
      </x:c>
      <x:c r="L296" s="35" t="str">
        <x:f>IF(J296="","",J296-K296)</x:f>
      </x:c>
      <x:c r="M296" s="35" t="str">
        <x:f>IF(L296="","",L296*I296)</x:f>
      </x:c>
      <x:c r="N296" s="35" t="str">
        <x:f>IF(L296="","",L296+M296)</x:f>
      </x:c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36" t="str">
        <x:f>IF(C297="","",IFERROR(VLOOKUP(C297,'SẢN_PHẨM'!$A$2:$G$500,2,FALSE),""))</x:f>
      </x:c>
      <x:c r="E297" s="36" t="str">
        <x:f>IF(C297="","",IFERROR(VLOOKUP(C297,'SẢN_PHẨM'!$A$2:$G$500,3,FALSE),""))</x:f>
      </x:c>
      <x:c r="F297" s="39"/>
      <x:c r="G297" s="34" t="str">
        <x:f>IF(C297="","",IFERROR(VLOOKUP(C297,'SẢN_PHẨM'!$A$2:$G$500,4,FALSE),""))</x:f>
      </x:c>
      <x:c r="H297" s="43"/>
      <x:c r="I297" s="38" t="str">
        <x:f>IF(C297="","",IFERROR(VLOOKUP(C297,'SẢN_PHẨM'!$A$2:$G$500,6,FALSE),""))</x:f>
      </x:c>
      <x:c r="J297" s="35" t="str">
        <x:f>IF(OR(F297="",G297=""),"",F297*G297)</x:f>
      </x:c>
      <x:c r="K297" s="35" t="str">
        <x:f>IF(J297="","",J297*H297)</x:f>
      </x:c>
      <x:c r="L297" s="35" t="str">
        <x:f>IF(J297="","",J297-K297)</x:f>
      </x:c>
      <x:c r="M297" s="35" t="str">
        <x:f>IF(L297="","",L297*I297)</x:f>
      </x:c>
      <x:c r="N297" s="35" t="str">
        <x:f>IF(L297="","",L297+M297)</x:f>
      </x:c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36" t="str">
        <x:f>IF(C298="","",IFERROR(VLOOKUP(C298,'SẢN_PHẨM'!$A$2:$G$500,2,FALSE),""))</x:f>
      </x:c>
      <x:c r="E298" s="36" t="str">
        <x:f>IF(C298="","",IFERROR(VLOOKUP(C298,'SẢN_PHẨM'!$A$2:$G$500,3,FALSE),""))</x:f>
      </x:c>
      <x:c r="F298" s="39"/>
      <x:c r="G298" s="34" t="str">
        <x:f>IF(C298="","",IFERROR(VLOOKUP(C298,'SẢN_PHẨM'!$A$2:$G$500,4,FALSE),""))</x:f>
      </x:c>
      <x:c r="H298" s="43"/>
      <x:c r="I298" s="38" t="str">
        <x:f>IF(C298="","",IFERROR(VLOOKUP(C298,'SẢN_PHẨM'!$A$2:$G$500,6,FALSE),""))</x:f>
      </x:c>
      <x:c r="J298" s="35" t="str">
        <x:f>IF(OR(F298="",G298=""),"",F298*G298)</x:f>
      </x:c>
      <x:c r="K298" s="35" t="str">
        <x:f>IF(J298="","",J298*H298)</x:f>
      </x:c>
      <x:c r="L298" s="35" t="str">
        <x:f>IF(J298="","",J298-K298)</x:f>
      </x:c>
      <x:c r="M298" s="35" t="str">
        <x:f>IF(L298="","",L298*I298)</x:f>
      </x:c>
      <x:c r="N298" s="35" t="str">
        <x:f>IF(L298="","",L298+M298)</x:f>
      </x:c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36" t="str">
        <x:f>IF(C299="","",IFERROR(VLOOKUP(C299,'SẢN_PHẨM'!$A$2:$G$500,2,FALSE),""))</x:f>
      </x:c>
      <x:c r="E299" s="36" t="str">
        <x:f>IF(C299="","",IFERROR(VLOOKUP(C299,'SẢN_PHẨM'!$A$2:$G$500,3,FALSE),""))</x:f>
      </x:c>
      <x:c r="F299" s="39"/>
      <x:c r="G299" s="34" t="str">
        <x:f>IF(C299="","",IFERROR(VLOOKUP(C299,'SẢN_PHẨM'!$A$2:$G$500,4,FALSE),""))</x:f>
      </x:c>
      <x:c r="H299" s="43"/>
      <x:c r="I299" s="38" t="str">
        <x:f>IF(C299="","",IFERROR(VLOOKUP(C299,'SẢN_PHẨM'!$A$2:$G$500,6,FALSE),""))</x:f>
      </x:c>
      <x:c r="J299" s="35" t="str">
        <x:f>IF(OR(F299="",G299=""),"",F299*G299)</x:f>
      </x:c>
      <x:c r="K299" s="35" t="str">
        <x:f>IF(J299="","",J299*H299)</x:f>
      </x:c>
      <x:c r="L299" s="35" t="str">
        <x:f>IF(J299="","",J299-K299)</x:f>
      </x:c>
      <x:c r="M299" s="35" t="str">
        <x:f>IF(L299="","",L299*I299)</x:f>
      </x:c>
      <x:c r="N299" s="35" t="str">
        <x:f>IF(L299="","",L299+M299)</x:f>
      </x:c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36" t="str">
        <x:f>IF(C300="","",IFERROR(VLOOKUP(C300,'SẢN_PHẨM'!$A$2:$G$500,2,FALSE),""))</x:f>
      </x:c>
      <x:c r="E300" s="36" t="str">
        <x:f>IF(C300="","",IFERROR(VLOOKUP(C300,'SẢN_PHẨM'!$A$2:$G$500,3,FALSE),""))</x:f>
      </x:c>
      <x:c r="F300" s="39"/>
      <x:c r="G300" s="34" t="str">
        <x:f>IF(C300="","",IFERROR(VLOOKUP(C300,'SẢN_PHẨM'!$A$2:$G$500,4,FALSE),""))</x:f>
      </x:c>
      <x:c r="H300" s="43"/>
      <x:c r="I300" s="38" t="str">
        <x:f>IF(C300="","",IFERROR(VLOOKUP(C300,'SẢN_PHẨM'!$A$2:$G$500,6,FALSE),""))</x:f>
      </x:c>
      <x:c r="J300" s="35" t="str">
        <x:f>IF(OR(F300="",G300=""),"",F300*G300)</x:f>
      </x:c>
      <x:c r="K300" s="35" t="str">
        <x:f>IF(J300="","",J300*H300)</x:f>
      </x:c>
      <x:c r="L300" s="35" t="str">
        <x:f>IF(J300="","",J300-K300)</x:f>
      </x:c>
      <x:c r="M300" s="35" t="str">
        <x:f>IF(L300="","",L300*I300)</x:f>
      </x:c>
      <x:c r="N300" s="35" t="str">
        <x:f>IF(L300="","",L300+M300)</x:f>
      </x:c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36" t="str">
        <x:f>IF(C301="","",IFERROR(VLOOKUP(C301,'SẢN_PHẨM'!$A$2:$G$500,2,FALSE),""))</x:f>
      </x:c>
      <x:c r="E301" s="36" t="str">
        <x:f>IF(C301="","",IFERROR(VLOOKUP(C301,'SẢN_PHẨM'!$A$2:$G$500,3,FALSE),""))</x:f>
      </x:c>
      <x:c r="F301" s="39"/>
      <x:c r="G301" s="34" t="str">
        <x:f>IF(C301="","",IFERROR(VLOOKUP(C301,'SẢN_PHẨM'!$A$2:$G$500,4,FALSE),""))</x:f>
      </x:c>
      <x:c r="H301" s="43"/>
      <x:c r="I301" s="38" t="str">
        <x:f>IF(C301="","",IFERROR(VLOOKUP(C301,'SẢN_PHẨM'!$A$2:$G$500,6,FALSE),""))</x:f>
      </x:c>
      <x:c r="J301" s="35" t="str">
        <x:f>IF(OR(F301="",G301=""),"",F301*G301)</x:f>
      </x:c>
      <x:c r="K301" s="35" t="str">
        <x:f>IF(J301="","",J301*H301)</x:f>
      </x:c>
      <x:c r="L301" s="35" t="str">
        <x:f>IF(J301="","",J301-K301)</x:f>
      </x:c>
      <x:c r="M301" s="35" t="str">
        <x:f>IF(L301="","",L301*I301)</x:f>
      </x:c>
      <x:c r="N301" s="35" t="str">
        <x:f>IF(L301="","",L301+M301)</x:f>
      </x:c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36" t="str">
        <x:f>IF(C302="","",IFERROR(VLOOKUP(C302,'SẢN_PHẨM'!$A$2:$G$500,2,FALSE),""))</x:f>
      </x:c>
      <x:c r="E302" s="36" t="str">
        <x:f>IF(C302="","",IFERROR(VLOOKUP(C302,'SẢN_PHẨM'!$A$2:$G$500,3,FALSE),""))</x:f>
      </x:c>
      <x:c r="F302" s="39"/>
      <x:c r="G302" s="34" t="str">
        <x:f>IF(C302="","",IFERROR(VLOOKUP(C302,'SẢN_PHẨM'!$A$2:$G$500,4,FALSE),""))</x:f>
      </x:c>
      <x:c r="H302" s="43"/>
      <x:c r="I302" s="38" t="str">
        <x:f>IF(C302="","",IFERROR(VLOOKUP(C302,'SẢN_PHẨM'!$A$2:$G$500,6,FALSE),""))</x:f>
      </x:c>
      <x:c r="J302" s="35" t="str">
        <x:f>IF(OR(F302="",G302=""),"",F302*G302)</x:f>
      </x:c>
      <x:c r="K302" s="35" t="str">
        <x:f>IF(J302="","",J302*H302)</x:f>
      </x:c>
      <x:c r="L302" s="35" t="str">
        <x:f>IF(J302="","",J302-K302)</x:f>
      </x:c>
      <x:c r="M302" s="35" t="str">
        <x:f>IF(L302="","",L302*I302)</x:f>
      </x:c>
      <x:c r="N302" s="35" t="str">
        <x:f>IF(L302="","",L302+M302)</x:f>
      </x:c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36" t="str">
        <x:f>IF(C303="","",IFERROR(VLOOKUP(C303,'SẢN_PHẨM'!$A$2:$G$500,2,FALSE),""))</x:f>
      </x:c>
      <x:c r="E303" s="36" t="str">
        <x:f>IF(C303="","",IFERROR(VLOOKUP(C303,'SẢN_PHẨM'!$A$2:$G$500,3,FALSE),""))</x:f>
      </x:c>
      <x:c r="F303" s="39"/>
      <x:c r="G303" s="34" t="str">
        <x:f>IF(C303="","",IFERROR(VLOOKUP(C303,'SẢN_PHẨM'!$A$2:$G$500,4,FALSE),""))</x:f>
      </x:c>
      <x:c r="H303" s="43"/>
      <x:c r="I303" s="38" t="str">
        <x:f>IF(C303="","",IFERROR(VLOOKUP(C303,'SẢN_PHẨM'!$A$2:$G$500,6,FALSE),""))</x:f>
      </x:c>
      <x:c r="J303" s="35" t="str">
        <x:f>IF(OR(F303="",G303=""),"",F303*G303)</x:f>
      </x:c>
      <x:c r="K303" s="35" t="str">
        <x:f>IF(J303="","",J303*H303)</x:f>
      </x:c>
      <x:c r="L303" s="35" t="str">
        <x:f>IF(J303="","",J303-K303)</x:f>
      </x:c>
      <x:c r="M303" s="35" t="str">
        <x:f>IF(L303="","",L303*I303)</x:f>
      </x:c>
      <x:c r="N303" s="35" t="str">
        <x:f>IF(L303="","",L303+M303)</x:f>
      </x:c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36" t="str">
        <x:f>IF(C304="","",IFERROR(VLOOKUP(C304,'SẢN_PHẨM'!$A$2:$G$500,2,FALSE),""))</x:f>
      </x:c>
      <x:c r="E304" s="36" t="str">
        <x:f>IF(C304="","",IFERROR(VLOOKUP(C304,'SẢN_PHẨM'!$A$2:$G$500,3,FALSE),""))</x:f>
      </x:c>
      <x:c r="F304" s="39"/>
      <x:c r="G304" s="34" t="str">
        <x:f>IF(C304="","",IFERROR(VLOOKUP(C304,'SẢN_PHẨM'!$A$2:$G$500,4,FALSE),""))</x:f>
      </x:c>
      <x:c r="H304" s="43"/>
      <x:c r="I304" s="38" t="str">
        <x:f>IF(C304="","",IFERROR(VLOOKUP(C304,'SẢN_PHẨM'!$A$2:$G$500,6,FALSE),""))</x:f>
      </x:c>
      <x:c r="J304" s="35" t="str">
        <x:f>IF(OR(F304="",G304=""),"",F304*G304)</x:f>
      </x:c>
      <x:c r="K304" s="35" t="str">
        <x:f>IF(J304="","",J304*H304)</x:f>
      </x:c>
      <x:c r="L304" s="35" t="str">
        <x:f>IF(J304="","",J304-K304)</x:f>
      </x:c>
      <x:c r="M304" s="35" t="str">
        <x:f>IF(L304="","",L304*I304)</x:f>
      </x:c>
      <x:c r="N304" s="35" t="str">
        <x:f>IF(L304="","",L304+M304)</x:f>
      </x:c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36" t="str">
        <x:f>IF(C305="","",IFERROR(VLOOKUP(C305,'SẢN_PHẨM'!$A$2:$G$500,2,FALSE),""))</x:f>
      </x:c>
      <x:c r="E305" s="36" t="str">
        <x:f>IF(C305="","",IFERROR(VLOOKUP(C305,'SẢN_PHẨM'!$A$2:$G$500,3,FALSE),""))</x:f>
      </x:c>
      <x:c r="F305" s="39"/>
      <x:c r="G305" s="34" t="str">
        <x:f>IF(C305="","",IFERROR(VLOOKUP(C305,'SẢN_PHẨM'!$A$2:$G$500,4,FALSE),""))</x:f>
      </x:c>
      <x:c r="H305" s="43"/>
      <x:c r="I305" s="38" t="str">
        <x:f>IF(C305="","",IFERROR(VLOOKUP(C305,'SẢN_PHẨM'!$A$2:$G$500,6,FALSE),""))</x:f>
      </x:c>
      <x:c r="J305" s="35" t="str">
        <x:f>IF(OR(F305="",G305=""),"",F305*G305)</x:f>
      </x:c>
      <x:c r="K305" s="35" t="str">
        <x:f>IF(J305="","",J305*H305)</x:f>
      </x:c>
      <x:c r="L305" s="35" t="str">
        <x:f>IF(J305="","",J305-K305)</x:f>
      </x:c>
      <x:c r="M305" s="35" t="str">
        <x:f>IF(L305="","",L305*I305)</x:f>
      </x:c>
      <x:c r="N305" s="35" t="str">
        <x:f>IF(L305="","",L305+M305)</x:f>
      </x:c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36" t="str">
        <x:f>IF(C306="","",IFERROR(VLOOKUP(C306,'SẢN_PHẨM'!$A$2:$G$500,2,FALSE),""))</x:f>
      </x:c>
      <x:c r="E306" s="36" t="str">
        <x:f>IF(C306="","",IFERROR(VLOOKUP(C306,'SẢN_PHẨM'!$A$2:$G$500,3,FALSE),""))</x:f>
      </x:c>
      <x:c r="F306" s="39"/>
      <x:c r="G306" s="34" t="str">
        <x:f>IF(C306="","",IFERROR(VLOOKUP(C306,'SẢN_PHẨM'!$A$2:$G$500,4,FALSE),""))</x:f>
      </x:c>
      <x:c r="H306" s="43"/>
      <x:c r="I306" s="38" t="str">
        <x:f>IF(C306="","",IFERROR(VLOOKUP(C306,'SẢN_PHẨM'!$A$2:$G$500,6,FALSE),""))</x:f>
      </x:c>
      <x:c r="J306" s="35" t="str">
        <x:f>IF(OR(F306="",G306=""),"",F306*G306)</x:f>
      </x:c>
      <x:c r="K306" s="35" t="str">
        <x:f>IF(J306="","",J306*H306)</x:f>
      </x:c>
      <x:c r="L306" s="35" t="str">
        <x:f>IF(J306="","",J306-K306)</x:f>
      </x:c>
      <x:c r="M306" s="35" t="str">
        <x:f>IF(L306="","",L306*I306)</x:f>
      </x:c>
      <x:c r="N306" s="35" t="str">
        <x:f>IF(L306="","",L306+M306)</x:f>
      </x:c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36" t="str">
        <x:f>IF(C307="","",IFERROR(VLOOKUP(C307,'SẢN_PHẨM'!$A$2:$G$500,2,FALSE),""))</x:f>
      </x:c>
      <x:c r="E307" s="36" t="str">
        <x:f>IF(C307="","",IFERROR(VLOOKUP(C307,'SẢN_PHẨM'!$A$2:$G$500,3,FALSE),""))</x:f>
      </x:c>
      <x:c r="F307" s="39"/>
      <x:c r="G307" s="34" t="str">
        <x:f>IF(C307="","",IFERROR(VLOOKUP(C307,'SẢN_PHẨM'!$A$2:$G$500,4,FALSE),""))</x:f>
      </x:c>
      <x:c r="H307" s="43"/>
      <x:c r="I307" s="38" t="str">
        <x:f>IF(C307="","",IFERROR(VLOOKUP(C307,'SẢN_PHẨM'!$A$2:$G$500,6,FALSE),""))</x:f>
      </x:c>
      <x:c r="J307" s="35" t="str">
        <x:f>IF(OR(F307="",G307=""),"",F307*G307)</x:f>
      </x:c>
      <x:c r="K307" s="35" t="str">
        <x:f>IF(J307="","",J307*H307)</x:f>
      </x:c>
      <x:c r="L307" s="35" t="str">
        <x:f>IF(J307="","",J307-K307)</x:f>
      </x:c>
      <x:c r="M307" s="35" t="str">
        <x:f>IF(L307="","",L307*I307)</x:f>
      </x:c>
      <x:c r="N307" s="35" t="str">
        <x:f>IF(L307="","",L307+M307)</x:f>
      </x:c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36" t="str">
        <x:f>IF(C308="","",IFERROR(VLOOKUP(C308,'SẢN_PHẨM'!$A$2:$G$500,2,FALSE),""))</x:f>
      </x:c>
      <x:c r="E308" s="36" t="str">
        <x:f>IF(C308="","",IFERROR(VLOOKUP(C308,'SẢN_PHẨM'!$A$2:$G$500,3,FALSE),""))</x:f>
      </x:c>
      <x:c r="F308" s="39"/>
      <x:c r="G308" s="34" t="str">
        <x:f>IF(C308="","",IFERROR(VLOOKUP(C308,'SẢN_PHẨM'!$A$2:$G$500,4,FALSE),""))</x:f>
      </x:c>
      <x:c r="H308" s="43"/>
      <x:c r="I308" s="38" t="str">
        <x:f>IF(C308="","",IFERROR(VLOOKUP(C308,'SẢN_PHẨM'!$A$2:$G$500,6,FALSE),""))</x:f>
      </x:c>
      <x:c r="J308" s="35" t="str">
        <x:f>IF(OR(F308="",G308=""),"",F308*G308)</x:f>
      </x:c>
      <x:c r="K308" s="35" t="str">
        <x:f>IF(J308="","",J308*H308)</x:f>
      </x:c>
      <x:c r="L308" s="35" t="str">
        <x:f>IF(J308="","",J308-K308)</x:f>
      </x:c>
      <x:c r="M308" s="35" t="str">
        <x:f>IF(L308="","",L308*I308)</x:f>
      </x:c>
      <x:c r="N308" s="35" t="str">
        <x:f>IF(L308="","",L308+M308)</x:f>
      </x:c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36" t="str">
        <x:f>IF(C309="","",IFERROR(VLOOKUP(C309,'SẢN_PHẨM'!$A$2:$G$500,2,FALSE),""))</x:f>
      </x:c>
      <x:c r="E309" s="36" t="str">
        <x:f>IF(C309="","",IFERROR(VLOOKUP(C309,'SẢN_PHẨM'!$A$2:$G$500,3,FALSE),""))</x:f>
      </x:c>
      <x:c r="F309" s="39"/>
      <x:c r="G309" s="34" t="str">
        <x:f>IF(C309="","",IFERROR(VLOOKUP(C309,'SẢN_PHẨM'!$A$2:$G$500,4,FALSE),""))</x:f>
      </x:c>
      <x:c r="H309" s="43"/>
      <x:c r="I309" s="38" t="str">
        <x:f>IF(C309="","",IFERROR(VLOOKUP(C309,'SẢN_PHẨM'!$A$2:$G$500,6,FALSE),""))</x:f>
      </x:c>
      <x:c r="J309" s="35" t="str">
        <x:f>IF(OR(F309="",G309=""),"",F309*G309)</x:f>
      </x:c>
      <x:c r="K309" s="35" t="str">
        <x:f>IF(J309="","",J309*H309)</x:f>
      </x:c>
      <x:c r="L309" s="35" t="str">
        <x:f>IF(J309="","",J309-K309)</x:f>
      </x:c>
      <x:c r="M309" s="35" t="str">
        <x:f>IF(L309="","",L309*I309)</x:f>
      </x:c>
      <x:c r="N309" s="35" t="str">
        <x:f>IF(L309="","",L309+M309)</x:f>
      </x:c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36" t="str">
        <x:f>IF(C310="","",IFERROR(VLOOKUP(C310,'SẢN_PHẨM'!$A$2:$G$500,2,FALSE),""))</x:f>
      </x:c>
      <x:c r="E310" s="36" t="str">
        <x:f>IF(C310="","",IFERROR(VLOOKUP(C310,'SẢN_PHẨM'!$A$2:$G$500,3,FALSE),""))</x:f>
      </x:c>
      <x:c r="F310" s="39"/>
      <x:c r="G310" s="34" t="str">
        <x:f>IF(C310="","",IFERROR(VLOOKUP(C310,'SẢN_PHẨM'!$A$2:$G$500,4,FALSE),""))</x:f>
      </x:c>
      <x:c r="H310" s="43"/>
      <x:c r="I310" s="38" t="str">
        <x:f>IF(C310="","",IFERROR(VLOOKUP(C310,'SẢN_PHẨM'!$A$2:$G$500,6,FALSE),""))</x:f>
      </x:c>
      <x:c r="J310" s="35" t="str">
        <x:f>IF(OR(F310="",G310=""),"",F310*G310)</x:f>
      </x:c>
      <x:c r="K310" s="35" t="str">
        <x:f>IF(J310="","",J310*H310)</x:f>
      </x:c>
      <x:c r="L310" s="35" t="str">
        <x:f>IF(J310="","",J310-K310)</x:f>
      </x:c>
      <x:c r="M310" s="35" t="str">
        <x:f>IF(L310="","",L310*I310)</x:f>
      </x:c>
      <x:c r="N310" s="35" t="str">
        <x:f>IF(L310="","",L310+M310)</x:f>
      </x:c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36" t="str">
        <x:f>IF(C311="","",IFERROR(VLOOKUP(C311,'SẢN_PHẨM'!$A$2:$G$500,2,FALSE),""))</x:f>
      </x:c>
      <x:c r="E311" s="36" t="str">
        <x:f>IF(C311="","",IFERROR(VLOOKUP(C311,'SẢN_PHẨM'!$A$2:$G$500,3,FALSE),""))</x:f>
      </x:c>
      <x:c r="F311" s="39"/>
      <x:c r="G311" s="34" t="str">
        <x:f>IF(C311="","",IFERROR(VLOOKUP(C311,'SẢN_PHẨM'!$A$2:$G$500,4,FALSE),""))</x:f>
      </x:c>
      <x:c r="H311" s="43"/>
      <x:c r="I311" s="38" t="str">
        <x:f>IF(C311="","",IFERROR(VLOOKUP(C311,'SẢN_PHẨM'!$A$2:$G$500,6,FALSE),""))</x:f>
      </x:c>
      <x:c r="J311" s="35" t="str">
        <x:f>IF(OR(F311="",G311=""),"",F311*G311)</x:f>
      </x:c>
      <x:c r="K311" s="35" t="str">
        <x:f>IF(J311="","",J311*H311)</x:f>
      </x:c>
      <x:c r="L311" s="35" t="str">
        <x:f>IF(J311="","",J311-K311)</x:f>
      </x:c>
      <x:c r="M311" s="35" t="str">
        <x:f>IF(L311="","",L311*I311)</x:f>
      </x:c>
      <x:c r="N311" s="35" t="str">
        <x:f>IF(L311="","",L311+M311)</x:f>
      </x:c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36" t="str">
        <x:f>IF(C312="","",IFERROR(VLOOKUP(C312,'SẢN_PHẨM'!$A$2:$G$500,2,FALSE),""))</x:f>
      </x:c>
      <x:c r="E312" s="36" t="str">
        <x:f>IF(C312="","",IFERROR(VLOOKUP(C312,'SẢN_PHẨM'!$A$2:$G$500,3,FALSE),""))</x:f>
      </x:c>
      <x:c r="F312" s="39"/>
      <x:c r="G312" s="34" t="str">
        <x:f>IF(C312="","",IFERROR(VLOOKUP(C312,'SẢN_PHẨM'!$A$2:$G$500,4,FALSE),""))</x:f>
      </x:c>
      <x:c r="H312" s="43"/>
      <x:c r="I312" s="38" t="str">
        <x:f>IF(C312="","",IFERROR(VLOOKUP(C312,'SẢN_PHẨM'!$A$2:$G$500,6,FALSE),""))</x:f>
      </x:c>
      <x:c r="J312" s="35" t="str">
        <x:f>IF(OR(F312="",G312=""),"",F312*G312)</x:f>
      </x:c>
      <x:c r="K312" s="35" t="str">
        <x:f>IF(J312="","",J312*H312)</x:f>
      </x:c>
      <x:c r="L312" s="35" t="str">
        <x:f>IF(J312="","",J312-K312)</x:f>
      </x:c>
      <x:c r="M312" s="35" t="str">
        <x:f>IF(L312="","",L312*I312)</x:f>
      </x:c>
      <x:c r="N312" s="35" t="str">
        <x:f>IF(L312="","",L312+M312)</x:f>
      </x:c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36" t="str">
        <x:f>IF(C313="","",IFERROR(VLOOKUP(C313,'SẢN_PHẨM'!$A$2:$G$500,2,FALSE),""))</x:f>
      </x:c>
      <x:c r="E313" s="36" t="str">
        <x:f>IF(C313="","",IFERROR(VLOOKUP(C313,'SẢN_PHẨM'!$A$2:$G$500,3,FALSE),""))</x:f>
      </x:c>
      <x:c r="F313" s="39"/>
      <x:c r="G313" s="34" t="str">
        <x:f>IF(C313="","",IFERROR(VLOOKUP(C313,'SẢN_PHẨM'!$A$2:$G$500,4,FALSE),""))</x:f>
      </x:c>
      <x:c r="H313" s="43"/>
      <x:c r="I313" s="38" t="str">
        <x:f>IF(C313="","",IFERROR(VLOOKUP(C313,'SẢN_PHẨM'!$A$2:$G$500,6,FALSE),""))</x:f>
      </x:c>
      <x:c r="J313" s="35" t="str">
        <x:f>IF(OR(F313="",G313=""),"",F313*G313)</x:f>
      </x:c>
      <x:c r="K313" s="35" t="str">
        <x:f>IF(J313="","",J313*H313)</x:f>
      </x:c>
      <x:c r="L313" s="35" t="str">
        <x:f>IF(J313="","",J313-K313)</x:f>
      </x:c>
      <x:c r="M313" s="35" t="str">
        <x:f>IF(L313="","",L313*I313)</x:f>
      </x:c>
      <x:c r="N313" s="35" t="str">
        <x:f>IF(L313="","",L313+M313)</x:f>
      </x:c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36" t="str">
        <x:f>IF(C314="","",IFERROR(VLOOKUP(C314,'SẢN_PHẨM'!$A$2:$G$500,2,FALSE),""))</x:f>
      </x:c>
      <x:c r="E314" s="36" t="str">
        <x:f>IF(C314="","",IFERROR(VLOOKUP(C314,'SẢN_PHẨM'!$A$2:$G$500,3,FALSE),""))</x:f>
      </x:c>
      <x:c r="F314" s="39"/>
      <x:c r="G314" s="34" t="str">
        <x:f>IF(C314="","",IFERROR(VLOOKUP(C314,'SẢN_PHẨM'!$A$2:$G$500,4,FALSE),""))</x:f>
      </x:c>
      <x:c r="H314" s="43"/>
      <x:c r="I314" s="38" t="str">
        <x:f>IF(C314="","",IFERROR(VLOOKUP(C314,'SẢN_PHẨM'!$A$2:$G$500,6,FALSE),""))</x:f>
      </x:c>
      <x:c r="J314" s="35" t="str">
        <x:f>IF(OR(F314="",G314=""),"",F314*G314)</x:f>
      </x:c>
      <x:c r="K314" s="35" t="str">
        <x:f>IF(J314="","",J314*H314)</x:f>
      </x:c>
      <x:c r="L314" s="35" t="str">
        <x:f>IF(J314="","",J314-K314)</x:f>
      </x:c>
      <x:c r="M314" s="35" t="str">
        <x:f>IF(L314="","",L314*I314)</x:f>
      </x:c>
      <x:c r="N314" s="35" t="str">
        <x:f>IF(L314="","",L314+M314)</x:f>
      </x:c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36" t="str">
        <x:f>IF(C315="","",IFERROR(VLOOKUP(C315,'SẢN_PHẨM'!$A$2:$G$500,2,FALSE),""))</x:f>
      </x:c>
      <x:c r="E315" s="36" t="str">
        <x:f>IF(C315="","",IFERROR(VLOOKUP(C315,'SẢN_PHẨM'!$A$2:$G$500,3,FALSE),""))</x:f>
      </x:c>
      <x:c r="F315" s="39"/>
      <x:c r="G315" s="34" t="str">
        <x:f>IF(C315="","",IFERROR(VLOOKUP(C315,'SẢN_PHẨM'!$A$2:$G$500,4,FALSE),""))</x:f>
      </x:c>
      <x:c r="H315" s="43"/>
      <x:c r="I315" s="38" t="str">
        <x:f>IF(C315="","",IFERROR(VLOOKUP(C315,'SẢN_PHẨM'!$A$2:$G$500,6,FALSE),""))</x:f>
      </x:c>
      <x:c r="J315" s="35" t="str">
        <x:f>IF(OR(F315="",G315=""),"",F315*G315)</x:f>
      </x:c>
      <x:c r="K315" s="35" t="str">
        <x:f>IF(J315="","",J315*H315)</x:f>
      </x:c>
      <x:c r="L315" s="35" t="str">
        <x:f>IF(J315="","",J315-K315)</x:f>
      </x:c>
      <x:c r="M315" s="35" t="str">
        <x:f>IF(L315="","",L315*I315)</x:f>
      </x:c>
      <x:c r="N315" s="35" t="str">
        <x:f>IF(L315="","",L315+M315)</x:f>
      </x:c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36" t="str">
        <x:f>IF(C316="","",IFERROR(VLOOKUP(C316,'SẢN_PHẨM'!$A$2:$G$500,2,FALSE),""))</x:f>
      </x:c>
      <x:c r="E316" s="36" t="str">
        <x:f>IF(C316="","",IFERROR(VLOOKUP(C316,'SẢN_PHẨM'!$A$2:$G$500,3,FALSE),""))</x:f>
      </x:c>
      <x:c r="F316" s="39"/>
      <x:c r="G316" s="34" t="str">
        <x:f>IF(C316="","",IFERROR(VLOOKUP(C316,'SẢN_PHẨM'!$A$2:$G$500,4,FALSE),""))</x:f>
      </x:c>
      <x:c r="H316" s="43"/>
      <x:c r="I316" s="38" t="str">
        <x:f>IF(C316="","",IFERROR(VLOOKUP(C316,'SẢN_PHẨM'!$A$2:$G$500,6,FALSE),""))</x:f>
      </x:c>
      <x:c r="J316" s="35" t="str">
        <x:f>IF(OR(F316="",G316=""),"",F316*G316)</x:f>
      </x:c>
      <x:c r="K316" s="35" t="str">
        <x:f>IF(J316="","",J316*H316)</x:f>
      </x:c>
      <x:c r="L316" s="35" t="str">
        <x:f>IF(J316="","",J316-K316)</x:f>
      </x:c>
      <x:c r="M316" s="35" t="str">
        <x:f>IF(L316="","",L316*I316)</x:f>
      </x:c>
      <x:c r="N316" s="35" t="str">
        <x:f>IF(L316="","",L316+M316)</x:f>
      </x:c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36" t="str">
        <x:f>IF(C317="","",IFERROR(VLOOKUP(C317,'SẢN_PHẨM'!$A$2:$G$500,2,FALSE),""))</x:f>
      </x:c>
      <x:c r="E317" s="36" t="str">
        <x:f>IF(C317="","",IFERROR(VLOOKUP(C317,'SẢN_PHẨM'!$A$2:$G$500,3,FALSE),""))</x:f>
      </x:c>
      <x:c r="F317" s="39"/>
      <x:c r="G317" s="34" t="str">
        <x:f>IF(C317="","",IFERROR(VLOOKUP(C317,'SẢN_PHẨM'!$A$2:$G$500,4,FALSE),""))</x:f>
      </x:c>
      <x:c r="H317" s="43"/>
      <x:c r="I317" s="38" t="str">
        <x:f>IF(C317="","",IFERROR(VLOOKUP(C317,'SẢN_PHẨM'!$A$2:$G$500,6,FALSE),""))</x:f>
      </x:c>
      <x:c r="J317" s="35" t="str">
        <x:f>IF(OR(F317="",G317=""),"",F317*G317)</x:f>
      </x:c>
      <x:c r="K317" s="35" t="str">
        <x:f>IF(J317="","",J317*H317)</x:f>
      </x:c>
      <x:c r="L317" s="35" t="str">
        <x:f>IF(J317="","",J317-K317)</x:f>
      </x:c>
      <x:c r="M317" s="35" t="str">
        <x:f>IF(L317="","",L317*I317)</x:f>
      </x:c>
      <x:c r="N317" s="35" t="str">
        <x:f>IF(L317="","",L317+M317)</x:f>
      </x:c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36" t="str">
        <x:f>IF(C318="","",IFERROR(VLOOKUP(C318,'SẢN_PHẨM'!$A$2:$G$500,2,FALSE),""))</x:f>
      </x:c>
      <x:c r="E318" s="36" t="str">
        <x:f>IF(C318="","",IFERROR(VLOOKUP(C318,'SẢN_PHẨM'!$A$2:$G$500,3,FALSE),""))</x:f>
      </x:c>
      <x:c r="F318" s="39"/>
      <x:c r="G318" s="34" t="str">
        <x:f>IF(C318="","",IFERROR(VLOOKUP(C318,'SẢN_PHẨM'!$A$2:$G$500,4,FALSE),""))</x:f>
      </x:c>
      <x:c r="H318" s="43"/>
      <x:c r="I318" s="38" t="str">
        <x:f>IF(C318="","",IFERROR(VLOOKUP(C318,'SẢN_PHẨM'!$A$2:$G$500,6,FALSE),""))</x:f>
      </x:c>
      <x:c r="J318" s="35" t="str">
        <x:f>IF(OR(F318="",G318=""),"",F318*G318)</x:f>
      </x:c>
      <x:c r="K318" s="35" t="str">
        <x:f>IF(J318="","",J318*H318)</x:f>
      </x:c>
      <x:c r="L318" s="35" t="str">
        <x:f>IF(J318="","",J318-K318)</x:f>
      </x:c>
      <x:c r="M318" s="35" t="str">
        <x:f>IF(L318="","",L318*I318)</x:f>
      </x:c>
      <x:c r="N318" s="35" t="str">
        <x:f>IF(L318="","",L318+M318)</x:f>
      </x:c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36" t="str">
        <x:f>IF(C319="","",IFERROR(VLOOKUP(C319,'SẢN_PHẨM'!$A$2:$G$500,2,FALSE),""))</x:f>
      </x:c>
      <x:c r="E319" s="36" t="str">
        <x:f>IF(C319="","",IFERROR(VLOOKUP(C319,'SẢN_PHẨM'!$A$2:$G$500,3,FALSE),""))</x:f>
      </x:c>
      <x:c r="F319" s="39"/>
      <x:c r="G319" s="34" t="str">
        <x:f>IF(C319="","",IFERROR(VLOOKUP(C319,'SẢN_PHẨM'!$A$2:$G$500,4,FALSE),""))</x:f>
      </x:c>
      <x:c r="H319" s="43"/>
      <x:c r="I319" s="38" t="str">
        <x:f>IF(C319="","",IFERROR(VLOOKUP(C319,'SẢN_PHẨM'!$A$2:$G$500,6,FALSE),""))</x:f>
      </x:c>
      <x:c r="J319" s="35" t="str">
        <x:f>IF(OR(F319="",G319=""),"",F319*G319)</x:f>
      </x:c>
      <x:c r="K319" s="35" t="str">
        <x:f>IF(J319="","",J319*H319)</x:f>
      </x:c>
      <x:c r="L319" s="35" t="str">
        <x:f>IF(J319="","",J319-K319)</x:f>
      </x:c>
      <x:c r="M319" s="35" t="str">
        <x:f>IF(L319="","",L319*I319)</x:f>
      </x:c>
      <x:c r="N319" s="35" t="str">
        <x:f>IF(L319="","",L319+M319)</x:f>
      </x:c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36" t="str">
        <x:f>IF(C320="","",IFERROR(VLOOKUP(C320,'SẢN_PHẨM'!$A$2:$G$500,2,FALSE),""))</x:f>
      </x:c>
      <x:c r="E320" s="36" t="str">
        <x:f>IF(C320="","",IFERROR(VLOOKUP(C320,'SẢN_PHẨM'!$A$2:$G$500,3,FALSE),""))</x:f>
      </x:c>
      <x:c r="F320" s="39"/>
      <x:c r="G320" s="34" t="str">
        <x:f>IF(C320="","",IFERROR(VLOOKUP(C320,'SẢN_PHẨM'!$A$2:$G$500,4,FALSE),""))</x:f>
      </x:c>
      <x:c r="H320" s="43"/>
      <x:c r="I320" s="38" t="str">
        <x:f>IF(C320="","",IFERROR(VLOOKUP(C320,'SẢN_PHẨM'!$A$2:$G$500,6,FALSE),""))</x:f>
      </x:c>
      <x:c r="J320" s="35" t="str">
        <x:f>IF(OR(F320="",G320=""),"",F320*G320)</x:f>
      </x:c>
      <x:c r="K320" s="35" t="str">
        <x:f>IF(J320="","",J320*H320)</x:f>
      </x:c>
      <x:c r="L320" s="35" t="str">
        <x:f>IF(J320="","",J320-K320)</x:f>
      </x:c>
      <x:c r="M320" s="35" t="str">
        <x:f>IF(L320="","",L320*I320)</x:f>
      </x:c>
      <x:c r="N320" s="35" t="str">
        <x:f>IF(L320="","",L320+M320)</x:f>
      </x:c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36" t="str">
        <x:f>IF(C321="","",IFERROR(VLOOKUP(C321,'SẢN_PHẨM'!$A$2:$G$500,2,FALSE),""))</x:f>
      </x:c>
      <x:c r="E321" s="36" t="str">
        <x:f>IF(C321="","",IFERROR(VLOOKUP(C321,'SẢN_PHẨM'!$A$2:$G$500,3,FALSE),""))</x:f>
      </x:c>
      <x:c r="F321" s="39"/>
      <x:c r="G321" s="34" t="str">
        <x:f>IF(C321="","",IFERROR(VLOOKUP(C321,'SẢN_PHẨM'!$A$2:$G$500,4,FALSE),""))</x:f>
      </x:c>
      <x:c r="H321" s="43"/>
      <x:c r="I321" s="38" t="str">
        <x:f>IF(C321="","",IFERROR(VLOOKUP(C321,'SẢN_PHẨM'!$A$2:$G$500,6,FALSE),""))</x:f>
      </x:c>
      <x:c r="J321" s="35" t="str">
        <x:f>IF(OR(F321="",G321=""),"",F321*G321)</x:f>
      </x:c>
      <x:c r="K321" s="35" t="str">
        <x:f>IF(J321="","",J321*H321)</x:f>
      </x:c>
      <x:c r="L321" s="35" t="str">
        <x:f>IF(J321="","",J321-K321)</x:f>
      </x:c>
      <x:c r="M321" s="35" t="str">
        <x:f>IF(L321="","",L321*I321)</x:f>
      </x:c>
      <x:c r="N321" s="35" t="str">
        <x:f>IF(L321="","",L321+M321)</x:f>
      </x:c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36" t="str">
        <x:f>IF(C322="","",IFERROR(VLOOKUP(C322,'SẢN_PHẨM'!$A$2:$G$500,2,FALSE),""))</x:f>
      </x:c>
      <x:c r="E322" s="36" t="str">
        <x:f>IF(C322="","",IFERROR(VLOOKUP(C322,'SẢN_PHẨM'!$A$2:$G$500,3,FALSE),""))</x:f>
      </x:c>
      <x:c r="F322" s="39"/>
      <x:c r="G322" s="34" t="str">
        <x:f>IF(C322="","",IFERROR(VLOOKUP(C322,'SẢN_PHẨM'!$A$2:$G$500,4,FALSE),""))</x:f>
      </x:c>
      <x:c r="H322" s="43"/>
      <x:c r="I322" s="38" t="str">
        <x:f>IF(C322="","",IFERROR(VLOOKUP(C322,'SẢN_PHẨM'!$A$2:$G$500,6,FALSE),""))</x:f>
      </x:c>
      <x:c r="J322" s="35" t="str">
        <x:f>IF(OR(F322="",G322=""),"",F322*G322)</x:f>
      </x:c>
      <x:c r="K322" s="35" t="str">
        <x:f>IF(J322="","",J322*H322)</x:f>
      </x:c>
      <x:c r="L322" s="35" t="str">
        <x:f>IF(J322="","",J322-K322)</x:f>
      </x:c>
      <x:c r="M322" s="35" t="str">
        <x:f>IF(L322="","",L322*I322)</x:f>
      </x:c>
      <x:c r="N322" s="35" t="str">
        <x:f>IF(L322="","",L322+M322)</x:f>
      </x:c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36" t="str">
        <x:f>IF(C323="","",IFERROR(VLOOKUP(C323,'SẢN_PHẨM'!$A$2:$G$500,2,FALSE),""))</x:f>
      </x:c>
      <x:c r="E323" s="36" t="str">
        <x:f>IF(C323="","",IFERROR(VLOOKUP(C323,'SẢN_PHẨM'!$A$2:$G$500,3,FALSE),""))</x:f>
      </x:c>
      <x:c r="F323" s="39"/>
      <x:c r="G323" s="34" t="str">
        <x:f>IF(C323="","",IFERROR(VLOOKUP(C323,'SẢN_PHẨM'!$A$2:$G$500,4,FALSE),""))</x:f>
      </x:c>
      <x:c r="H323" s="43"/>
      <x:c r="I323" s="38" t="str">
        <x:f>IF(C323="","",IFERROR(VLOOKUP(C323,'SẢN_PHẨM'!$A$2:$G$500,6,FALSE),""))</x:f>
      </x:c>
      <x:c r="J323" s="35" t="str">
        <x:f>IF(OR(F323="",G323=""),"",F323*G323)</x:f>
      </x:c>
      <x:c r="K323" s="35" t="str">
        <x:f>IF(J323="","",J323*H323)</x:f>
      </x:c>
      <x:c r="L323" s="35" t="str">
        <x:f>IF(J323="","",J323-K323)</x:f>
      </x:c>
      <x:c r="M323" s="35" t="str">
        <x:f>IF(L323="","",L323*I323)</x:f>
      </x:c>
      <x:c r="N323" s="35" t="str">
        <x:f>IF(L323="","",L323+M323)</x:f>
      </x:c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36" t="str">
        <x:f>IF(C324="","",IFERROR(VLOOKUP(C324,'SẢN_PHẨM'!$A$2:$G$500,2,FALSE),""))</x:f>
      </x:c>
      <x:c r="E324" s="36" t="str">
        <x:f>IF(C324="","",IFERROR(VLOOKUP(C324,'SẢN_PHẨM'!$A$2:$G$500,3,FALSE),""))</x:f>
      </x:c>
      <x:c r="F324" s="39"/>
      <x:c r="G324" s="34" t="str">
        <x:f>IF(C324="","",IFERROR(VLOOKUP(C324,'SẢN_PHẨM'!$A$2:$G$500,4,FALSE),""))</x:f>
      </x:c>
      <x:c r="H324" s="43"/>
      <x:c r="I324" s="38" t="str">
        <x:f>IF(C324="","",IFERROR(VLOOKUP(C324,'SẢN_PHẨM'!$A$2:$G$500,6,FALSE),""))</x:f>
      </x:c>
      <x:c r="J324" s="35" t="str">
        <x:f>IF(OR(F324="",G324=""),"",F324*G324)</x:f>
      </x:c>
      <x:c r="K324" s="35" t="str">
        <x:f>IF(J324="","",J324*H324)</x:f>
      </x:c>
      <x:c r="L324" s="35" t="str">
        <x:f>IF(J324="","",J324-K324)</x:f>
      </x:c>
      <x:c r="M324" s="35" t="str">
        <x:f>IF(L324="","",L324*I324)</x:f>
      </x:c>
      <x:c r="N324" s="35" t="str">
        <x:f>IF(L324="","",L324+M324)</x:f>
      </x:c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36" t="str">
        <x:f>IF(C325="","",IFERROR(VLOOKUP(C325,'SẢN_PHẨM'!$A$2:$G$500,2,FALSE),""))</x:f>
      </x:c>
      <x:c r="E325" s="36" t="str">
        <x:f>IF(C325="","",IFERROR(VLOOKUP(C325,'SẢN_PHẨM'!$A$2:$G$500,3,FALSE),""))</x:f>
      </x:c>
      <x:c r="F325" s="39"/>
      <x:c r="G325" s="34" t="str">
        <x:f>IF(C325="","",IFERROR(VLOOKUP(C325,'SẢN_PHẨM'!$A$2:$G$500,4,FALSE),""))</x:f>
      </x:c>
      <x:c r="H325" s="43"/>
      <x:c r="I325" s="38" t="str">
        <x:f>IF(C325="","",IFERROR(VLOOKUP(C325,'SẢN_PHẨM'!$A$2:$G$500,6,FALSE),""))</x:f>
      </x:c>
      <x:c r="J325" s="35" t="str">
        <x:f>IF(OR(F325="",G325=""),"",F325*G325)</x:f>
      </x:c>
      <x:c r="K325" s="35" t="str">
        <x:f>IF(J325="","",J325*H325)</x:f>
      </x:c>
      <x:c r="L325" s="35" t="str">
        <x:f>IF(J325="","",J325-K325)</x:f>
      </x:c>
      <x:c r="M325" s="35" t="str">
        <x:f>IF(L325="","",L325*I325)</x:f>
      </x:c>
      <x:c r="N325" s="35" t="str">
        <x:f>IF(L325="","",L325+M325)</x:f>
      </x:c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36" t="str">
        <x:f>IF(C326="","",IFERROR(VLOOKUP(C326,'SẢN_PHẨM'!$A$2:$G$500,2,FALSE),""))</x:f>
      </x:c>
      <x:c r="E326" s="36" t="str">
        <x:f>IF(C326="","",IFERROR(VLOOKUP(C326,'SẢN_PHẨM'!$A$2:$G$500,3,FALSE),""))</x:f>
      </x:c>
      <x:c r="F326" s="39"/>
      <x:c r="G326" s="34" t="str">
        <x:f>IF(C326="","",IFERROR(VLOOKUP(C326,'SẢN_PHẨM'!$A$2:$G$500,4,FALSE),""))</x:f>
      </x:c>
      <x:c r="H326" s="43"/>
      <x:c r="I326" s="38" t="str">
        <x:f>IF(C326="","",IFERROR(VLOOKUP(C326,'SẢN_PHẨM'!$A$2:$G$500,6,FALSE),""))</x:f>
      </x:c>
      <x:c r="J326" s="35" t="str">
        <x:f>IF(OR(F326="",G326=""),"",F326*G326)</x:f>
      </x:c>
      <x:c r="K326" s="35" t="str">
        <x:f>IF(J326="","",J326*H326)</x:f>
      </x:c>
      <x:c r="L326" s="35" t="str">
        <x:f>IF(J326="","",J326-K326)</x:f>
      </x:c>
      <x:c r="M326" s="35" t="str">
        <x:f>IF(L326="","",L326*I326)</x:f>
      </x:c>
      <x:c r="N326" s="35" t="str">
        <x:f>IF(L326="","",L326+M326)</x:f>
      </x:c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36" t="str">
        <x:f>IF(C327="","",IFERROR(VLOOKUP(C327,'SẢN_PHẨM'!$A$2:$G$500,2,FALSE),""))</x:f>
      </x:c>
      <x:c r="E327" s="36" t="str">
        <x:f>IF(C327="","",IFERROR(VLOOKUP(C327,'SẢN_PHẨM'!$A$2:$G$500,3,FALSE),""))</x:f>
      </x:c>
      <x:c r="F327" s="39"/>
      <x:c r="G327" s="34" t="str">
        <x:f>IF(C327="","",IFERROR(VLOOKUP(C327,'SẢN_PHẨM'!$A$2:$G$500,4,FALSE),""))</x:f>
      </x:c>
      <x:c r="H327" s="43"/>
      <x:c r="I327" s="38" t="str">
        <x:f>IF(C327="","",IFERROR(VLOOKUP(C327,'SẢN_PHẨM'!$A$2:$G$500,6,FALSE),""))</x:f>
      </x:c>
      <x:c r="J327" s="35" t="str">
        <x:f>IF(OR(F327="",G327=""),"",F327*G327)</x:f>
      </x:c>
      <x:c r="K327" s="35" t="str">
        <x:f>IF(J327="","",J327*H327)</x:f>
      </x:c>
      <x:c r="L327" s="35" t="str">
        <x:f>IF(J327="","",J327-K327)</x:f>
      </x:c>
      <x:c r="M327" s="35" t="str">
        <x:f>IF(L327="","",L327*I327)</x:f>
      </x:c>
      <x:c r="N327" s="35" t="str">
        <x:f>IF(L327="","",L327+M327)</x:f>
      </x:c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36" t="str">
        <x:f>IF(C328="","",IFERROR(VLOOKUP(C328,'SẢN_PHẨM'!$A$2:$G$500,2,FALSE),""))</x:f>
      </x:c>
      <x:c r="E328" s="36" t="str">
        <x:f>IF(C328="","",IFERROR(VLOOKUP(C328,'SẢN_PHẨM'!$A$2:$G$500,3,FALSE),""))</x:f>
      </x:c>
      <x:c r="F328" s="39"/>
      <x:c r="G328" s="34" t="str">
        <x:f>IF(C328="","",IFERROR(VLOOKUP(C328,'SẢN_PHẨM'!$A$2:$G$500,4,FALSE),""))</x:f>
      </x:c>
      <x:c r="H328" s="43"/>
      <x:c r="I328" s="38" t="str">
        <x:f>IF(C328="","",IFERROR(VLOOKUP(C328,'SẢN_PHẨM'!$A$2:$G$500,6,FALSE),""))</x:f>
      </x:c>
      <x:c r="J328" s="35" t="str">
        <x:f>IF(OR(F328="",G328=""),"",F328*G328)</x:f>
      </x:c>
      <x:c r="K328" s="35" t="str">
        <x:f>IF(J328="","",J328*H328)</x:f>
      </x:c>
      <x:c r="L328" s="35" t="str">
        <x:f>IF(J328="","",J328-K328)</x:f>
      </x:c>
      <x:c r="M328" s="35" t="str">
        <x:f>IF(L328="","",L328*I328)</x:f>
      </x:c>
      <x:c r="N328" s="35" t="str">
        <x:f>IF(L328="","",L328+M328)</x:f>
      </x:c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36" t="str">
        <x:f>IF(C329="","",IFERROR(VLOOKUP(C329,'SẢN_PHẨM'!$A$2:$G$500,2,FALSE),""))</x:f>
      </x:c>
      <x:c r="E329" s="36" t="str">
        <x:f>IF(C329="","",IFERROR(VLOOKUP(C329,'SẢN_PHẨM'!$A$2:$G$500,3,FALSE),""))</x:f>
      </x:c>
      <x:c r="F329" s="39"/>
      <x:c r="G329" s="34" t="str">
        <x:f>IF(C329="","",IFERROR(VLOOKUP(C329,'SẢN_PHẨM'!$A$2:$G$500,4,FALSE),""))</x:f>
      </x:c>
      <x:c r="H329" s="43"/>
      <x:c r="I329" s="38" t="str">
        <x:f>IF(C329="","",IFERROR(VLOOKUP(C329,'SẢN_PHẨM'!$A$2:$G$500,6,FALSE),""))</x:f>
      </x:c>
      <x:c r="J329" s="35" t="str">
        <x:f>IF(OR(F329="",G329=""),"",F329*G329)</x:f>
      </x:c>
      <x:c r="K329" s="35" t="str">
        <x:f>IF(J329="","",J329*H329)</x:f>
      </x:c>
      <x:c r="L329" s="35" t="str">
        <x:f>IF(J329="","",J329-K329)</x:f>
      </x:c>
      <x:c r="M329" s="35" t="str">
        <x:f>IF(L329="","",L329*I329)</x:f>
      </x:c>
      <x:c r="N329" s="35" t="str">
        <x:f>IF(L329="","",L329+M329)</x:f>
      </x:c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36" t="str">
        <x:f>IF(C330="","",IFERROR(VLOOKUP(C330,'SẢN_PHẨM'!$A$2:$G$500,2,FALSE),""))</x:f>
      </x:c>
      <x:c r="E330" s="36" t="str">
        <x:f>IF(C330="","",IFERROR(VLOOKUP(C330,'SẢN_PHẨM'!$A$2:$G$500,3,FALSE),""))</x:f>
      </x:c>
      <x:c r="F330" s="39"/>
      <x:c r="G330" s="34" t="str">
        <x:f>IF(C330="","",IFERROR(VLOOKUP(C330,'SẢN_PHẨM'!$A$2:$G$500,4,FALSE),""))</x:f>
      </x:c>
      <x:c r="H330" s="43"/>
      <x:c r="I330" s="38" t="str">
        <x:f>IF(C330="","",IFERROR(VLOOKUP(C330,'SẢN_PHẨM'!$A$2:$G$500,6,FALSE),""))</x:f>
      </x:c>
      <x:c r="J330" s="35" t="str">
        <x:f>IF(OR(F330="",G330=""),"",F330*G330)</x:f>
      </x:c>
      <x:c r="K330" s="35" t="str">
        <x:f>IF(J330="","",J330*H330)</x:f>
      </x:c>
      <x:c r="L330" s="35" t="str">
        <x:f>IF(J330="","",J330-K330)</x:f>
      </x:c>
      <x:c r="M330" s="35" t="str">
        <x:f>IF(L330="","",L330*I330)</x:f>
      </x:c>
      <x:c r="N330" s="35" t="str">
        <x:f>IF(L330="","",L330+M330)</x:f>
      </x:c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36" t="str">
        <x:f>IF(C331="","",IFERROR(VLOOKUP(C331,'SẢN_PHẨM'!$A$2:$G$500,2,FALSE),""))</x:f>
      </x:c>
      <x:c r="E331" s="36" t="str">
        <x:f>IF(C331="","",IFERROR(VLOOKUP(C331,'SẢN_PHẨM'!$A$2:$G$500,3,FALSE),""))</x:f>
      </x:c>
      <x:c r="F331" s="39"/>
      <x:c r="G331" s="34" t="str">
        <x:f>IF(C331="","",IFERROR(VLOOKUP(C331,'SẢN_PHẨM'!$A$2:$G$500,4,FALSE),""))</x:f>
      </x:c>
      <x:c r="H331" s="43"/>
      <x:c r="I331" s="38" t="str">
        <x:f>IF(C331="","",IFERROR(VLOOKUP(C331,'SẢN_PHẨM'!$A$2:$G$500,6,FALSE),""))</x:f>
      </x:c>
      <x:c r="J331" s="35" t="str">
        <x:f>IF(OR(F331="",G331=""),"",F331*G331)</x:f>
      </x:c>
      <x:c r="K331" s="35" t="str">
        <x:f>IF(J331="","",J331*H331)</x:f>
      </x:c>
      <x:c r="L331" s="35" t="str">
        <x:f>IF(J331="","",J331-K331)</x:f>
      </x:c>
      <x:c r="M331" s="35" t="str">
        <x:f>IF(L331="","",L331*I331)</x:f>
      </x:c>
      <x:c r="N331" s="35" t="str">
        <x:f>IF(L331="","",L331+M331)</x:f>
      </x:c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36" t="str">
        <x:f>IF(C332="","",IFERROR(VLOOKUP(C332,'SẢN_PHẨM'!$A$2:$G$500,2,FALSE),""))</x:f>
      </x:c>
      <x:c r="E332" s="36" t="str">
        <x:f>IF(C332="","",IFERROR(VLOOKUP(C332,'SẢN_PHẨM'!$A$2:$G$500,3,FALSE),""))</x:f>
      </x:c>
      <x:c r="F332" s="39"/>
      <x:c r="G332" s="34" t="str">
        <x:f>IF(C332="","",IFERROR(VLOOKUP(C332,'SẢN_PHẨM'!$A$2:$G$500,4,FALSE),""))</x:f>
      </x:c>
      <x:c r="H332" s="43"/>
      <x:c r="I332" s="38" t="str">
        <x:f>IF(C332="","",IFERROR(VLOOKUP(C332,'SẢN_PHẨM'!$A$2:$G$500,6,FALSE),""))</x:f>
      </x:c>
      <x:c r="J332" s="35" t="str">
        <x:f>IF(OR(F332="",G332=""),"",F332*G332)</x:f>
      </x:c>
      <x:c r="K332" s="35" t="str">
        <x:f>IF(J332="","",J332*H332)</x:f>
      </x:c>
      <x:c r="L332" s="35" t="str">
        <x:f>IF(J332="","",J332-K332)</x:f>
      </x:c>
      <x:c r="M332" s="35" t="str">
        <x:f>IF(L332="","",L332*I332)</x:f>
      </x:c>
      <x:c r="N332" s="35" t="str">
        <x:f>IF(L332="","",L332+M332)</x:f>
      </x:c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36" t="str">
        <x:f>IF(C333="","",IFERROR(VLOOKUP(C333,'SẢN_PHẨM'!$A$2:$G$500,2,FALSE),""))</x:f>
      </x:c>
      <x:c r="E333" s="36" t="str">
        <x:f>IF(C333="","",IFERROR(VLOOKUP(C333,'SẢN_PHẨM'!$A$2:$G$500,3,FALSE),""))</x:f>
      </x:c>
      <x:c r="F333" s="39"/>
      <x:c r="G333" s="34" t="str">
        <x:f>IF(C333="","",IFERROR(VLOOKUP(C333,'SẢN_PHẨM'!$A$2:$G$500,4,FALSE),""))</x:f>
      </x:c>
      <x:c r="H333" s="43"/>
      <x:c r="I333" s="38" t="str">
        <x:f>IF(C333="","",IFERROR(VLOOKUP(C333,'SẢN_PHẨM'!$A$2:$G$500,6,FALSE),""))</x:f>
      </x:c>
      <x:c r="J333" s="35" t="str">
        <x:f>IF(OR(F333="",G333=""),"",F333*G333)</x:f>
      </x:c>
      <x:c r="K333" s="35" t="str">
        <x:f>IF(J333="","",J333*H333)</x:f>
      </x:c>
      <x:c r="L333" s="35" t="str">
        <x:f>IF(J333="","",J333-K333)</x:f>
      </x:c>
      <x:c r="M333" s="35" t="str">
        <x:f>IF(L333="","",L333*I333)</x:f>
      </x:c>
      <x:c r="N333" s="35" t="str">
        <x:f>IF(L333="","",L333+M333)</x:f>
      </x:c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36" t="str">
        <x:f>IF(C334="","",IFERROR(VLOOKUP(C334,'SẢN_PHẨM'!$A$2:$G$500,2,FALSE),""))</x:f>
      </x:c>
      <x:c r="E334" s="36" t="str">
        <x:f>IF(C334="","",IFERROR(VLOOKUP(C334,'SẢN_PHẨM'!$A$2:$G$500,3,FALSE),""))</x:f>
      </x:c>
      <x:c r="F334" s="39"/>
      <x:c r="G334" s="34" t="str">
        <x:f>IF(C334="","",IFERROR(VLOOKUP(C334,'SẢN_PHẨM'!$A$2:$G$500,4,FALSE),""))</x:f>
      </x:c>
      <x:c r="H334" s="43"/>
      <x:c r="I334" s="38" t="str">
        <x:f>IF(C334="","",IFERROR(VLOOKUP(C334,'SẢN_PHẨM'!$A$2:$G$500,6,FALSE),""))</x:f>
      </x:c>
      <x:c r="J334" s="35" t="str">
        <x:f>IF(OR(F334="",G334=""),"",F334*G334)</x:f>
      </x:c>
      <x:c r="K334" s="35" t="str">
        <x:f>IF(J334="","",J334*H334)</x:f>
      </x:c>
      <x:c r="L334" s="35" t="str">
        <x:f>IF(J334="","",J334-K334)</x:f>
      </x:c>
      <x:c r="M334" s="35" t="str">
        <x:f>IF(L334="","",L334*I334)</x:f>
      </x:c>
      <x:c r="N334" s="35" t="str">
        <x:f>IF(L334="","",L334+M334)</x:f>
      </x:c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36" t="str">
        <x:f>IF(C335="","",IFERROR(VLOOKUP(C335,'SẢN_PHẨM'!$A$2:$G$500,2,FALSE),""))</x:f>
      </x:c>
      <x:c r="E335" s="36" t="str">
        <x:f>IF(C335="","",IFERROR(VLOOKUP(C335,'SẢN_PHẨM'!$A$2:$G$500,3,FALSE),""))</x:f>
      </x:c>
      <x:c r="F335" s="39"/>
      <x:c r="G335" s="34" t="str">
        <x:f>IF(C335="","",IFERROR(VLOOKUP(C335,'SẢN_PHẨM'!$A$2:$G$500,4,FALSE),""))</x:f>
      </x:c>
      <x:c r="H335" s="43"/>
      <x:c r="I335" s="38" t="str">
        <x:f>IF(C335="","",IFERROR(VLOOKUP(C335,'SẢN_PHẨM'!$A$2:$G$500,6,FALSE),""))</x:f>
      </x:c>
      <x:c r="J335" s="35" t="str">
        <x:f>IF(OR(F335="",G335=""),"",F335*G335)</x:f>
      </x:c>
      <x:c r="K335" s="35" t="str">
        <x:f>IF(J335="","",J335*H335)</x:f>
      </x:c>
      <x:c r="L335" s="35" t="str">
        <x:f>IF(J335="","",J335-K335)</x:f>
      </x:c>
      <x:c r="M335" s="35" t="str">
        <x:f>IF(L335="","",L335*I335)</x:f>
      </x:c>
      <x:c r="N335" s="35" t="str">
        <x:f>IF(L335="","",L335+M335)</x:f>
      </x:c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36" t="str">
        <x:f>IF(C336="","",IFERROR(VLOOKUP(C336,'SẢN_PHẨM'!$A$2:$G$500,2,FALSE),""))</x:f>
      </x:c>
      <x:c r="E336" s="36" t="str">
        <x:f>IF(C336="","",IFERROR(VLOOKUP(C336,'SẢN_PHẨM'!$A$2:$G$500,3,FALSE),""))</x:f>
      </x:c>
      <x:c r="F336" s="39"/>
      <x:c r="G336" s="34" t="str">
        <x:f>IF(C336="","",IFERROR(VLOOKUP(C336,'SẢN_PHẨM'!$A$2:$G$500,4,FALSE),""))</x:f>
      </x:c>
      <x:c r="H336" s="43"/>
      <x:c r="I336" s="38" t="str">
        <x:f>IF(C336="","",IFERROR(VLOOKUP(C336,'SẢN_PHẨM'!$A$2:$G$500,6,FALSE),""))</x:f>
      </x:c>
      <x:c r="J336" s="35" t="str">
        <x:f>IF(OR(F336="",G336=""),"",F336*G336)</x:f>
      </x:c>
      <x:c r="K336" s="35" t="str">
        <x:f>IF(J336="","",J336*H336)</x:f>
      </x:c>
      <x:c r="L336" s="35" t="str">
        <x:f>IF(J336="","",J336-K336)</x:f>
      </x:c>
      <x:c r="M336" s="35" t="str">
        <x:f>IF(L336="","",L336*I336)</x:f>
      </x:c>
      <x:c r="N336" s="35" t="str">
        <x:f>IF(L336="","",L336+M336)</x:f>
      </x:c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36" t="str">
        <x:f>IF(C337="","",IFERROR(VLOOKUP(C337,'SẢN_PHẨM'!$A$2:$G$500,2,FALSE),""))</x:f>
      </x:c>
      <x:c r="E337" s="36" t="str">
        <x:f>IF(C337="","",IFERROR(VLOOKUP(C337,'SẢN_PHẨM'!$A$2:$G$500,3,FALSE),""))</x:f>
      </x:c>
      <x:c r="F337" s="39"/>
      <x:c r="G337" s="34" t="str">
        <x:f>IF(C337="","",IFERROR(VLOOKUP(C337,'SẢN_PHẨM'!$A$2:$G$500,4,FALSE),""))</x:f>
      </x:c>
      <x:c r="H337" s="43"/>
      <x:c r="I337" s="38" t="str">
        <x:f>IF(C337="","",IFERROR(VLOOKUP(C337,'SẢN_PHẨM'!$A$2:$G$500,6,FALSE),""))</x:f>
      </x:c>
      <x:c r="J337" s="35" t="str">
        <x:f>IF(OR(F337="",G337=""),"",F337*G337)</x:f>
      </x:c>
      <x:c r="K337" s="35" t="str">
        <x:f>IF(J337="","",J337*H337)</x:f>
      </x:c>
      <x:c r="L337" s="35" t="str">
        <x:f>IF(J337="","",J337-K337)</x:f>
      </x:c>
      <x:c r="M337" s="35" t="str">
        <x:f>IF(L337="","",L337*I337)</x:f>
      </x:c>
      <x:c r="N337" s="35" t="str">
        <x:f>IF(L337="","",L337+M337)</x:f>
      </x:c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36" t="str">
        <x:f>IF(C338="","",IFERROR(VLOOKUP(C338,'SẢN_PHẨM'!$A$2:$G$500,2,FALSE),""))</x:f>
      </x:c>
      <x:c r="E338" s="36" t="str">
        <x:f>IF(C338="","",IFERROR(VLOOKUP(C338,'SẢN_PHẨM'!$A$2:$G$500,3,FALSE),""))</x:f>
      </x:c>
      <x:c r="F338" s="39"/>
      <x:c r="G338" s="34" t="str">
        <x:f>IF(C338="","",IFERROR(VLOOKUP(C338,'SẢN_PHẨM'!$A$2:$G$500,4,FALSE),""))</x:f>
      </x:c>
      <x:c r="H338" s="43"/>
      <x:c r="I338" s="38" t="str">
        <x:f>IF(C338="","",IFERROR(VLOOKUP(C338,'SẢN_PHẨM'!$A$2:$G$500,6,FALSE),""))</x:f>
      </x:c>
      <x:c r="J338" s="35" t="str">
        <x:f>IF(OR(F338="",G338=""),"",F338*G338)</x:f>
      </x:c>
      <x:c r="K338" s="35" t="str">
        <x:f>IF(J338="","",J338*H338)</x:f>
      </x:c>
      <x:c r="L338" s="35" t="str">
        <x:f>IF(J338="","",J338-K338)</x:f>
      </x:c>
      <x:c r="M338" s="35" t="str">
        <x:f>IF(L338="","",L338*I338)</x:f>
      </x:c>
      <x:c r="N338" s="35" t="str">
        <x:f>IF(L338="","",L338+M338)</x:f>
      </x:c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36" t="str">
        <x:f>IF(C339="","",IFERROR(VLOOKUP(C339,'SẢN_PHẨM'!$A$2:$G$500,2,FALSE),""))</x:f>
      </x:c>
      <x:c r="E339" s="36" t="str">
        <x:f>IF(C339="","",IFERROR(VLOOKUP(C339,'SẢN_PHẨM'!$A$2:$G$500,3,FALSE),""))</x:f>
      </x:c>
      <x:c r="F339" s="39"/>
      <x:c r="G339" s="34" t="str">
        <x:f>IF(C339="","",IFERROR(VLOOKUP(C339,'SẢN_PHẨM'!$A$2:$G$500,4,FALSE),""))</x:f>
      </x:c>
      <x:c r="H339" s="43"/>
      <x:c r="I339" s="38" t="str">
        <x:f>IF(C339="","",IFERROR(VLOOKUP(C339,'SẢN_PHẨM'!$A$2:$G$500,6,FALSE),""))</x:f>
      </x:c>
      <x:c r="J339" s="35" t="str">
        <x:f>IF(OR(F339="",G339=""),"",F339*G339)</x:f>
      </x:c>
      <x:c r="K339" s="35" t="str">
        <x:f>IF(J339="","",J339*H339)</x:f>
      </x:c>
      <x:c r="L339" s="35" t="str">
        <x:f>IF(J339="","",J339-K339)</x:f>
      </x:c>
      <x:c r="M339" s="35" t="str">
        <x:f>IF(L339="","",L339*I339)</x:f>
      </x:c>
      <x:c r="N339" s="35" t="str">
        <x:f>IF(L339="","",L339+M339)</x:f>
      </x:c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36" t="str">
        <x:f>IF(C340="","",IFERROR(VLOOKUP(C340,'SẢN_PHẨM'!$A$2:$G$500,2,FALSE),""))</x:f>
      </x:c>
      <x:c r="E340" s="36" t="str">
        <x:f>IF(C340="","",IFERROR(VLOOKUP(C340,'SẢN_PHẨM'!$A$2:$G$500,3,FALSE),""))</x:f>
      </x:c>
      <x:c r="F340" s="39"/>
      <x:c r="G340" s="34" t="str">
        <x:f>IF(C340="","",IFERROR(VLOOKUP(C340,'SẢN_PHẨM'!$A$2:$G$500,4,FALSE),""))</x:f>
      </x:c>
      <x:c r="H340" s="43"/>
      <x:c r="I340" s="38" t="str">
        <x:f>IF(C340="","",IFERROR(VLOOKUP(C340,'SẢN_PHẨM'!$A$2:$G$500,6,FALSE),""))</x:f>
      </x:c>
      <x:c r="J340" s="35" t="str">
        <x:f>IF(OR(F340="",G340=""),"",F340*G340)</x:f>
      </x:c>
      <x:c r="K340" s="35" t="str">
        <x:f>IF(J340="","",J340*H340)</x:f>
      </x:c>
      <x:c r="L340" s="35" t="str">
        <x:f>IF(J340="","",J340-K340)</x:f>
      </x:c>
      <x:c r="M340" s="35" t="str">
        <x:f>IF(L340="","",L340*I340)</x:f>
      </x:c>
      <x:c r="N340" s="35" t="str">
        <x:f>IF(L340="","",L340+M340)</x:f>
      </x:c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36" t="str">
        <x:f>IF(C341="","",IFERROR(VLOOKUP(C341,'SẢN_PHẨM'!$A$2:$G$500,2,FALSE),""))</x:f>
      </x:c>
      <x:c r="E341" s="36" t="str">
        <x:f>IF(C341="","",IFERROR(VLOOKUP(C341,'SẢN_PHẨM'!$A$2:$G$500,3,FALSE),""))</x:f>
      </x:c>
      <x:c r="F341" s="39"/>
      <x:c r="G341" s="34" t="str">
        <x:f>IF(C341="","",IFERROR(VLOOKUP(C341,'SẢN_PHẨM'!$A$2:$G$500,4,FALSE),""))</x:f>
      </x:c>
      <x:c r="H341" s="43"/>
      <x:c r="I341" s="38" t="str">
        <x:f>IF(C341="","",IFERROR(VLOOKUP(C341,'SẢN_PHẨM'!$A$2:$G$500,6,FALSE),""))</x:f>
      </x:c>
      <x:c r="J341" s="35" t="str">
        <x:f>IF(OR(F341="",G341=""),"",F341*G341)</x:f>
      </x:c>
      <x:c r="K341" s="35" t="str">
        <x:f>IF(J341="","",J341*H341)</x:f>
      </x:c>
      <x:c r="L341" s="35" t="str">
        <x:f>IF(J341="","",J341-K341)</x:f>
      </x:c>
      <x:c r="M341" s="35" t="str">
        <x:f>IF(L341="","",L341*I341)</x:f>
      </x:c>
      <x:c r="N341" s="35" t="str">
        <x:f>IF(L341="","",L341+M341)</x:f>
      </x:c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36" t="str">
        <x:f>IF(C342="","",IFERROR(VLOOKUP(C342,'SẢN_PHẨM'!$A$2:$G$500,2,FALSE),""))</x:f>
      </x:c>
      <x:c r="E342" s="36" t="str">
        <x:f>IF(C342="","",IFERROR(VLOOKUP(C342,'SẢN_PHẨM'!$A$2:$G$500,3,FALSE),""))</x:f>
      </x:c>
      <x:c r="F342" s="39"/>
      <x:c r="G342" s="34" t="str">
        <x:f>IF(C342="","",IFERROR(VLOOKUP(C342,'SẢN_PHẨM'!$A$2:$G$500,4,FALSE),""))</x:f>
      </x:c>
      <x:c r="H342" s="43"/>
      <x:c r="I342" s="38" t="str">
        <x:f>IF(C342="","",IFERROR(VLOOKUP(C342,'SẢN_PHẨM'!$A$2:$G$500,6,FALSE),""))</x:f>
      </x:c>
      <x:c r="J342" s="35" t="str">
        <x:f>IF(OR(F342="",G342=""),"",F342*G342)</x:f>
      </x:c>
      <x:c r="K342" s="35" t="str">
        <x:f>IF(J342="","",J342*H342)</x:f>
      </x:c>
      <x:c r="L342" s="35" t="str">
        <x:f>IF(J342="","",J342-K342)</x:f>
      </x:c>
      <x:c r="M342" s="35" t="str">
        <x:f>IF(L342="","",L342*I342)</x:f>
      </x:c>
      <x:c r="N342" s="35" t="str">
        <x:f>IF(L342="","",L342+M342)</x:f>
      </x:c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36" t="str">
        <x:f>IF(C343="","",IFERROR(VLOOKUP(C343,'SẢN_PHẨM'!$A$2:$G$500,2,FALSE),""))</x:f>
      </x:c>
      <x:c r="E343" s="36" t="str">
        <x:f>IF(C343="","",IFERROR(VLOOKUP(C343,'SẢN_PHẨM'!$A$2:$G$500,3,FALSE),""))</x:f>
      </x:c>
      <x:c r="F343" s="39"/>
      <x:c r="G343" s="34" t="str">
        <x:f>IF(C343="","",IFERROR(VLOOKUP(C343,'SẢN_PHẨM'!$A$2:$G$500,4,FALSE),""))</x:f>
      </x:c>
      <x:c r="H343" s="43"/>
      <x:c r="I343" s="38" t="str">
        <x:f>IF(C343="","",IFERROR(VLOOKUP(C343,'SẢN_PHẨM'!$A$2:$G$500,6,FALSE),""))</x:f>
      </x:c>
      <x:c r="J343" s="35" t="str">
        <x:f>IF(OR(F343="",G343=""),"",F343*G343)</x:f>
      </x:c>
      <x:c r="K343" s="35" t="str">
        <x:f>IF(J343="","",J343*H343)</x:f>
      </x:c>
      <x:c r="L343" s="35" t="str">
        <x:f>IF(J343="","",J343-K343)</x:f>
      </x:c>
      <x:c r="M343" s="35" t="str">
        <x:f>IF(L343="","",L343*I343)</x:f>
      </x:c>
      <x:c r="N343" s="35" t="str">
        <x:f>IF(L343="","",L343+M343)</x:f>
      </x:c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36" t="str">
        <x:f>IF(C344="","",IFERROR(VLOOKUP(C344,'SẢN_PHẨM'!$A$2:$G$500,2,FALSE),""))</x:f>
      </x:c>
      <x:c r="E344" s="36" t="str">
        <x:f>IF(C344="","",IFERROR(VLOOKUP(C344,'SẢN_PHẨM'!$A$2:$G$500,3,FALSE),""))</x:f>
      </x:c>
      <x:c r="F344" s="39"/>
      <x:c r="G344" s="34" t="str">
        <x:f>IF(C344="","",IFERROR(VLOOKUP(C344,'SẢN_PHẨM'!$A$2:$G$500,4,FALSE),""))</x:f>
      </x:c>
      <x:c r="H344" s="43"/>
      <x:c r="I344" s="38" t="str">
        <x:f>IF(C344="","",IFERROR(VLOOKUP(C344,'SẢN_PHẨM'!$A$2:$G$500,6,FALSE),""))</x:f>
      </x:c>
      <x:c r="J344" s="35" t="str">
        <x:f>IF(OR(F344="",G344=""),"",F344*G344)</x:f>
      </x:c>
      <x:c r="K344" s="35" t="str">
        <x:f>IF(J344="","",J344*H344)</x:f>
      </x:c>
      <x:c r="L344" s="35" t="str">
        <x:f>IF(J344="","",J344-K344)</x:f>
      </x:c>
      <x:c r="M344" s="35" t="str">
        <x:f>IF(L344="","",L344*I344)</x:f>
      </x:c>
      <x:c r="N344" s="35" t="str">
        <x:f>IF(L344="","",L344+M344)</x:f>
      </x:c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36" t="str">
        <x:f>IF(C345="","",IFERROR(VLOOKUP(C345,'SẢN_PHẨM'!$A$2:$G$500,2,FALSE),""))</x:f>
      </x:c>
      <x:c r="E345" s="36" t="str">
        <x:f>IF(C345="","",IFERROR(VLOOKUP(C345,'SẢN_PHẨM'!$A$2:$G$500,3,FALSE),""))</x:f>
      </x:c>
      <x:c r="F345" s="39"/>
      <x:c r="G345" s="34" t="str">
        <x:f>IF(C345="","",IFERROR(VLOOKUP(C345,'SẢN_PHẨM'!$A$2:$G$500,4,FALSE),""))</x:f>
      </x:c>
      <x:c r="H345" s="43"/>
      <x:c r="I345" s="38" t="str">
        <x:f>IF(C345="","",IFERROR(VLOOKUP(C345,'SẢN_PHẨM'!$A$2:$G$500,6,FALSE),""))</x:f>
      </x:c>
      <x:c r="J345" s="35" t="str">
        <x:f>IF(OR(F345="",G345=""),"",F345*G345)</x:f>
      </x:c>
      <x:c r="K345" s="35" t="str">
        <x:f>IF(J345="","",J345*H345)</x:f>
      </x:c>
      <x:c r="L345" s="35" t="str">
        <x:f>IF(J345="","",J345-K345)</x:f>
      </x:c>
      <x:c r="M345" s="35" t="str">
        <x:f>IF(L345="","",L345*I345)</x:f>
      </x:c>
      <x:c r="N345" s="35" t="str">
        <x:f>IF(L345="","",L345+M345)</x:f>
      </x:c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36" t="str">
        <x:f>IF(C346="","",IFERROR(VLOOKUP(C346,'SẢN_PHẨM'!$A$2:$G$500,2,FALSE),""))</x:f>
      </x:c>
      <x:c r="E346" s="36" t="str">
        <x:f>IF(C346="","",IFERROR(VLOOKUP(C346,'SẢN_PHẨM'!$A$2:$G$500,3,FALSE),""))</x:f>
      </x:c>
      <x:c r="F346" s="39"/>
      <x:c r="G346" s="34" t="str">
        <x:f>IF(C346="","",IFERROR(VLOOKUP(C346,'SẢN_PHẨM'!$A$2:$G$500,4,FALSE),""))</x:f>
      </x:c>
      <x:c r="H346" s="43"/>
      <x:c r="I346" s="38" t="str">
        <x:f>IF(C346="","",IFERROR(VLOOKUP(C346,'SẢN_PHẨM'!$A$2:$G$500,6,FALSE),""))</x:f>
      </x:c>
      <x:c r="J346" s="35" t="str">
        <x:f>IF(OR(F346="",G346=""),"",F346*G346)</x:f>
      </x:c>
      <x:c r="K346" s="35" t="str">
        <x:f>IF(J346="","",J346*H346)</x:f>
      </x:c>
      <x:c r="L346" s="35" t="str">
        <x:f>IF(J346="","",J346-K346)</x:f>
      </x:c>
      <x:c r="M346" s="35" t="str">
        <x:f>IF(L346="","",L346*I346)</x:f>
      </x:c>
      <x:c r="N346" s="35" t="str">
        <x:f>IF(L346="","",L346+M346)</x:f>
      </x:c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36" t="str">
        <x:f>IF(C347="","",IFERROR(VLOOKUP(C347,'SẢN_PHẨM'!$A$2:$G$500,2,FALSE),""))</x:f>
      </x:c>
      <x:c r="E347" s="36" t="str">
        <x:f>IF(C347="","",IFERROR(VLOOKUP(C347,'SẢN_PHẨM'!$A$2:$G$500,3,FALSE),""))</x:f>
      </x:c>
      <x:c r="F347" s="39"/>
      <x:c r="G347" s="34" t="str">
        <x:f>IF(C347="","",IFERROR(VLOOKUP(C347,'SẢN_PHẨM'!$A$2:$G$500,4,FALSE),""))</x:f>
      </x:c>
      <x:c r="H347" s="43"/>
      <x:c r="I347" s="38" t="str">
        <x:f>IF(C347="","",IFERROR(VLOOKUP(C347,'SẢN_PHẨM'!$A$2:$G$500,6,FALSE),""))</x:f>
      </x:c>
      <x:c r="J347" s="35" t="str">
        <x:f>IF(OR(F347="",G347=""),"",F347*G347)</x:f>
      </x:c>
      <x:c r="K347" s="35" t="str">
        <x:f>IF(J347="","",J347*H347)</x:f>
      </x:c>
      <x:c r="L347" s="35" t="str">
        <x:f>IF(J347="","",J347-K347)</x:f>
      </x:c>
      <x:c r="M347" s="35" t="str">
        <x:f>IF(L347="","",L347*I347)</x:f>
      </x:c>
      <x:c r="N347" s="35" t="str">
        <x:f>IF(L347="","",L347+M347)</x:f>
      </x:c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36" t="str">
        <x:f>IF(C348="","",IFERROR(VLOOKUP(C348,'SẢN_PHẨM'!$A$2:$G$500,2,FALSE),""))</x:f>
      </x:c>
      <x:c r="E348" s="36" t="str">
        <x:f>IF(C348="","",IFERROR(VLOOKUP(C348,'SẢN_PHẨM'!$A$2:$G$500,3,FALSE),""))</x:f>
      </x:c>
      <x:c r="F348" s="39"/>
      <x:c r="G348" s="34" t="str">
        <x:f>IF(C348="","",IFERROR(VLOOKUP(C348,'SẢN_PHẨM'!$A$2:$G$500,4,FALSE),""))</x:f>
      </x:c>
      <x:c r="H348" s="43"/>
      <x:c r="I348" s="38" t="str">
        <x:f>IF(C348="","",IFERROR(VLOOKUP(C348,'SẢN_PHẨM'!$A$2:$G$500,6,FALSE),""))</x:f>
      </x:c>
      <x:c r="J348" s="35" t="str">
        <x:f>IF(OR(F348="",G348=""),"",F348*G348)</x:f>
      </x:c>
      <x:c r="K348" s="35" t="str">
        <x:f>IF(J348="","",J348*H348)</x:f>
      </x:c>
      <x:c r="L348" s="35" t="str">
        <x:f>IF(J348="","",J348-K348)</x:f>
      </x:c>
      <x:c r="M348" s="35" t="str">
        <x:f>IF(L348="","",L348*I348)</x:f>
      </x:c>
      <x:c r="N348" s="35" t="str">
        <x:f>IF(L348="","",L348+M348)</x:f>
      </x:c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36" t="str">
        <x:f>IF(C349="","",IFERROR(VLOOKUP(C349,'SẢN_PHẨM'!$A$2:$G$500,2,FALSE),""))</x:f>
      </x:c>
      <x:c r="E349" s="36" t="str">
        <x:f>IF(C349="","",IFERROR(VLOOKUP(C349,'SẢN_PHẨM'!$A$2:$G$500,3,FALSE),""))</x:f>
      </x:c>
      <x:c r="F349" s="39"/>
      <x:c r="G349" s="34" t="str">
        <x:f>IF(C349="","",IFERROR(VLOOKUP(C349,'SẢN_PHẨM'!$A$2:$G$500,4,FALSE),""))</x:f>
      </x:c>
      <x:c r="H349" s="43"/>
      <x:c r="I349" s="38" t="str">
        <x:f>IF(C349="","",IFERROR(VLOOKUP(C349,'SẢN_PHẨM'!$A$2:$G$500,6,FALSE),""))</x:f>
      </x:c>
      <x:c r="J349" s="35" t="str">
        <x:f>IF(OR(F349="",G349=""),"",F349*G349)</x:f>
      </x:c>
      <x:c r="K349" s="35" t="str">
        <x:f>IF(J349="","",J349*H349)</x:f>
      </x:c>
      <x:c r="L349" s="35" t="str">
        <x:f>IF(J349="","",J349-K349)</x:f>
      </x:c>
      <x:c r="M349" s="35" t="str">
        <x:f>IF(L349="","",L349*I349)</x:f>
      </x:c>
      <x:c r="N349" s="35" t="str">
        <x:f>IF(L349="","",L349+M349)</x:f>
      </x:c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36" t="str">
        <x:f>IF(C350="","",IFERROR(VLOOKUP(C350,'SẢN_PHẨM'!$A$2:$G$500,2,FALSE),""))</x:f>
      </x:c>
      <x:c r="E350" s="36" t="str">
        <x:f>IF(C350="","",IFERROR(VLOOKUP(C350,'SẢN_PHẨM'!$A$2:$G$500,3,FALSE),""))</x:f>
      </x:c>
      <x:c r="F350" s="39"/>
      <x:c r="G350" s="34" t="str">
        <x:f>IF(C350="","",IFERROR(VLOOKUP(C350,'SẢN_PHẨM'!$A$2:$G$500,4,FALSE),""))</x:f>
      </x:c>
      <x:c r="H350" s="43"/>
      <x:c r="I350" s="38" t="str">
        <x:f>IF(C350="","",IFERROR(VLOOKUP(C350,'SẢN_PHẨM'!$A$2:$G$500,6,FALSE),""))</x:f>
      </x:c>
      <x:c r="J350" s="35" t="str">
        <x:f>IF(OR(F350="",G350=""),"",F350*G350)</x:f>
      </x:c>
      <x:c r="K350" s="35" t="str">
        <x:f>IF(J350="","",J350*H350)</x:f>
      </x:c>
      <x:c r="L350" s="35" t="str">
        <x:f>IF(J350="","",J350-K350)</x:f>
      </x:c>
      <x:c r="M350" s="35" t="str">
        <x:f>IF(L350="","",L350*I350)</x:f>
      </x:c>
      <x:c r="N350" s="35" t="str">
        <x:f>IF(L350="","",L350+M350)</x:f>
      </x:c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36" t="str">
        <x:f>IF(C351="","",IFERROR(VLOOKUP(C351,'SẢN_PHẨM'!$A$2:$G$500,2,FALSE),""))</x:f>
      </x:c>
      <x:c r="E351" s="36" t="str">
        <x:f>IF(C351="","",IFERROR(VLOOKUP(C351,'SẢN_PHẨM'!$A$2:$G$500,3,FALSE),""))</x:f>
      </x:c>
      <x:c r="F351" s="39"/>
      <x:c r="G351" s="34" t="str">
        <x:f>IF(C351="","",IFERROR(VLOOKUP(C351,'SẢN_PHẨM'!$A$2:$G$500,4,FALSE),""))</x:f>
      </x:c>
      <x:c r="H351" s="43"/>
      <x:c r="I351" s="38" t="str">
        <x:f>IF(C351="","",IFERROR(VLOOKUP(C351,'SẢN_PHẨM'!$A$2:$G$500,6,FALSE),""))</x:f>
      </x:c>
      <x:c r="J351" s="35" t="str">
        <x:f>IF(OR(F351="",G351=""),"",F351*G351)</x:f>
      </x:c>
      <x:c r="K351" s="35" t="str">
        <x:f>IF(J351="","",J351*H351)</x:f>
      </x:c>
      <x:c r="L351" s="35" t="str">
        <x:f>IF(J351="","",J351-K351)</x:f>
      </x:c>
      <x:c r="M351" s="35" t="str">
        <x:f>IF(L351="","",L351*I351)</x:f>
      </x:c>
      <x:c r="N351" s="35" t="str">
        <x:f>IF(L351="","",L351+M351)</x:f>
      </x:c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36" t="str">
        <x:f>IF(C352="","",IFERROR(VLOOKUP(C352,'SẢN_PHẨM'!$A$2:$G$500,2,FALSE),""))</x:f>
      </x:c>
      <x:c r="E352" s="36" t="str">
        <x:f>IF(C352="","",IFERROR(VLOOKUP(C352,'SẢN_PHẨM'!$A$2:$G$500,3,FALSE),""))</x:f>
      </x:c>
      <x:c r="F352" s="39"/>
      <x:c r="G352" s="34" t="str">
        <x:f>IF(C352="","",IFERROR(VLOOKUP(C352,'SẢN_PHẨM'!$A$2:$G$500,4,FALSE),""))</x:f>
      </x:c>
      <x:c r="H352" s="43"/>
      <x:c r="I352" s="38" t="str">
        <x:f>IF(C352="","",IFERROR(VLOOKUP(C352,'SẢN_PHẨM'!$A$2:$G$500,6,FALSE),""))</x:f>
      </x:c>
      <x:c r="J352" s="35" t="str">
        <x:f>IF(OR(F352="",G352=""),"",F352*G352)</x:f>
      </x:c>
      <x:c r="K352" s="35" t="str">
        <x:f>IF(J352="","",J352*H352)</x:f>
      </x:c>
      <x:c r="L352" s="35" t="str">
        <x:f>IF(J352="","",J352-K352)</x:f>
      </x:c>
      <x:c r="M352" s="35" t="str">
        <x:f>IF(L352="","",L352*I352)</x:f>
      </x:c>
      <x:c r="N352" s="35" t="str">
        <x:f>IF(L352="","",L352+M352)</x:f>
      </x:c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36" t="str">
        <x:f>IF(C353="","",IFERROR(VLOOKUP(C353,'SẢN_PHẨM'!$A$2:$G$500,2,FALSE),""))</x:f>
      </x:c>
      <x:c r="E353" s="36" t="str">
        <x:f>IF(C353="","",IFERROR(VLOOKUP(C353,'SẢN_PHẨM'!$A$2:$G$500,3,FALSE),""))</x:f>
      </x:c>
      <x:c r="F353" s="39"/>
      <x:c r="G353" s="34" t="str">
        <x:f>IF(C353="","",IFERROR(VLOOKUP(C353,'SẢN_PHẨM'!$A$2:$G$500,4,FALSE),""))</x:f>
      </x:c>
      <x:c r="H353" s="43"/>
      <x:c r="I353" s="38" t="str">
        <x:f>IF(C353="","",IFERROR(VLOOKUP(C353,'SẢN_PHẨM'!$A$2:$G$500,6,FALSE),""))</x:f>
      </x:c>
      <x:c r="J353" s="35" t="str">
        <x:f>IF(OR(F353="",G353=""),"",F353*G353)</x:f>
      </x:c>
      <x:c r="K353" s="35" t="str">
        <x:f>IF(J353="","",J353*H353)</x:f>
      </x:c>
      <x:c r="L353" s="35" t="str">
        <x:f>IF(J353="","",J353-K353)</x:f>
      </x:c>
      <x:c r="M353" s="35" t="str">
        <x:f>IF(L353="","",L353*I353)</x:f>
      </x:c>
      <x:c r="N353" s="35" t="str">
        <x:f>IF(L353="","",L353+M353)</x:f>
      </x:c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36" t="str">
        <x:f>IF(C354="","",IFERROR(VLOOKUP(C354,'SẢN_PHẨM'!$A$2:$G$500,2,FALSE),""))</x:f>
      </x:c>
      <x:c r="E354" s="36" t="str">
        <x:f>IF(C354="","",IFERROR(VLOOKUP(C354,'SẢN_PHẨM'!$A$2:$G$500,3,FALSE),""))</x:f>
      </x:c>
      <x:c r="F354" s="39"/>
      <x:c r="G354" s="34" t="str">
        <x:f>IF(C354="","",IFERROR(VLOOKUP(C354,'SẢN_PHẨM'!$A$2:$G$500,4,FALSE),""))</x:f>
      </x:c>
      <x:c r="H354" s="43"/>
      <x:c r="I354" s="38" t="str">
        <x:f>IF(C354="","",IFERROR(VLOOKUP(C354,'SẢN_PHẨM'!$A$2:$G$500,6,FALSE),""))</x:f>
      </x:c>
      <x:c r="J354" s="35" t="str">
        <x:f>IF(OR(F354="",G354=""),"",F354*G354)</x:f>
      </x:c>
      <x:c r="K354" s="35" t="str">
        <x:f>IF(J354="","",J354*H354)</x:f>
      </x:c>
      <x:c r="L354" s="35" t="str">
        <x:f>IF(J354="","",J354-K354)</x:f>
      </x:c>
      <x:c r="M354" s="35" t="str">
        <x:f>IF(L354="","",L354*I354)</x:f>
      </x:c>
      <x:c r="N354" s="35" t="str">
        <x:f>IF(L354="","",L354+M354)</x:f>
      </x:c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36" t="str">
        <x:f>IF(C355="","",IFERROR(VLOOKUP(C355,'SẢN_PHẨM'!$A$2:$G$500,2,FALSE),""))</x:f>
      </x:c>
      <x:c r="E355" s="36" t="str">
        <x:f>IF(C355="","",IFERROR(VLOOKUP(C355,'SẢN_PHẨM'!$A$2:$G$500,3,FALSE),""))</x:f>
      </x:c>
      <x:c r="F355" s="39"/>
      <x:c r="G355" s="34" t="str">
        <x:f>IF(C355="","",IFERROR(VLOOKUP(C355,'SẢN_PHẨM'!$A$2:$G$500,4,FALSE),""))</x:f>
      </x:c>
      <x:c r="H355" s="43"/>
      <x:c r="I355" s="38" t="str">
        <x:f>IF(C355="","",IFERROR(VLOOKUP(C355,'SẢN_PHẨM'!$A$2:$G$500,6,FALSE),""))</x:f>
      </x:c>
      <x:c r="J355" s="35" t="str">
        <x:f>IF(OR(F355="",G355=""),"",F355*G355)</x:f>
      </x:c>
      <x:c r="K355" s="35" t="str">
        <x:f>IF(J355="","",J355*H355)</x:f>
      </x:c>
      <x:c r="L355" s="35" t="str">
        <x:f>IF(J355="","",J355-K355)</x:f>
      </x:c>
      <x:c r="M355" s="35" t="str">
        <x:f>IF(L355="","",L355*I355)</x:f>
      </x:c>
      <x:c r="N355" s="35" t="str">
        <x:f>IF(L355="","",L355+M355)</x:f>
      </x:c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36" t="str">
        <x:f>IF(C356="","",IFERROR(VLOOKUP(C356,'SẢN_PHẨM'!$A$2:$G$500,2,FALSE),""))</x:f>
      </x:c>
      <x:c r="E356" s="36" t="str">
        <x:f>IF(C356="","",IFERROR(VLOOKUP(C356,'SẢN_PHẨM'!$A$2:$G$500,3,FALSE),""))</x:f>
      </x:c>
      <x:c r="F356" s="39"/>
      <x:c r="G356" s="34" t="str">
        <x:f>IF(C356="","",IFERROR(VLOOKUP(C356,'SẢN_PHẨM'!$A$2:$G$500,4,FALSE),""))</x:f>
      </x:c>
      <x:c r="H356" s="43"/>
      <x:c r="I356" s="38" t="str">
        <x:f>IF(C356="","",IFERROR(VLOOKUP(C356,'SẢN_PHẨM'!$A$2:$G$500,6,FALSE),""))</x:f>
      </x:c>
      <x:c r="J356" s="35" t="str">
        <x:f>IF(OR(F356="",G356=""),"",F356*G356)</x:f>
      </x:c>
      <x:c r="K356" s="35" t="str">
        <x:f>IF(J356="","",J356*H356)</x:f>
      </x:c>
      <x:c r="L356" s="35" t="str">
        <x:f>IF(J356="","",J356-K356)</x:f>
      </x:c>
      <x:c r="M356" s="35" t="str">
        <x:f>IF(L356="","",L356*I356)</x:f>
      </x:c>
      <x:c r="N356" s="35" t="str">
        <x:f>IF(L356="","",L356+M356)</x:f>
      </x:c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36" t="str">
        <x:f>IF(C357="","",IFERROR(VLOOKUP(C357,'SẢN_PHẨM'!$A$2:$G$500,2,FALSE),""))</x:f>
      </x:c>
      <x:c r="E357" s="36" t="str">
        <x:f>IF(C357="","",IFERROR(VLOOKUP(C357,'SẢN_PHẨM'!$A$2:$G$500,3,FALSE),""))</x:f>
      </x:c>
      <x:c r="F357" s="39"/>
      <x:c r="G357" s="34" t="str">
        <x:f>IF(C357="","",IFERROR(VLOOKUP(C357,'SẢN_PHẨM'!$A$2:$G$500,4,FALSE),""))</x:f>
      </x:c>
      <x:c r="H357" s="43"/>
      <x:c r="I357" s="38" t="str">
        <x:f>IF(C357="","",IFERROR(VLOOKUP(C357,'SẢN_PHẨM'!$A$2:$G$500,6,FALSE),""))</x:f>
      </x:c>
      <x:c r="J357" s="35" t="str">
        <x:f>IF(OR(F357="",G357=""),"",F357*G357)</x:f>
      </x:c>
      <x:c r="K357" s="35" t="str">
        <x:f>IF(J357="","",J357*H357)</x:f>
      </x:c>
      <x:c r="L357" s="35" t="str">
        <x:f>IF(J357="","",J357-K357)</x:f>
      </x:c>
      <x:c r="M357" s="35" t="str">
        <x:f>IF(L357="","",L357*I357)</x:f>
      </x:c>
      <x:c r="N357" s="35" t="str">
        <x:f>IF(L357="","",L357+M357)</x:f>
      </x:c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36" t="str">
        <x:f>IF(C358="","",IFERROR(VLOOKUP(C358,'SẢN_PHẨM'!$A$2:$G$500,2,FALSE),""))</x:f>
      </x:c>
      <x:c r="E358" s="36" t="str">
        <x:f>IF(C358="","",IFERROR(VLOOKUP(C358,'SẢN_PHẨM'!$A$2:$G$500,3,FALSE),""))</x:f>
      </x:c>
      <x:c r="F358" s="39"/>
      <x:c r="G358" s="34" t="str">
        <x:f>IF(C358="","",IFERROR(VLOOKUP(C358,'SẢN_PHẨM'!$A$2:$G$500,4,FALSE),""))</x:f>
      </x:c>
      <x:c r="H358" s="43"/>
      <x:c r="I358" s="38" t="str">
        <x:f>IF(C358="","",IFERROR(VLOOKUP(C358,'SẢN_PHẨM'!$A$2:$G$500,6,FALSE),""))</x:f>
      </x:c>
      <x:c r="J358" s="35" t="str">
        <x:f>IF(OR(F358="",G358=""),"",F358*G358)</x:f>
      </x:c>
      <x:c r="K358" s="35" t="str">
        <x:f>IF(J358="","",J358*H358)</x:f>
      </x:c>
      <x:c r="L358" s="35" t="str">
        <x:f>IF(J358="","",J358-K358)</x:f>
      </x:c>
      <x:c r="M358" s="35" t="str">
        <x:f>IF(L358="","",L358*I358)</x:f>
      </x:c>
      <x:c r="N358" s="35" t="str">
        <x:f>IF(L358="","",L358+M358)</x:f>
      </x:c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36" t="str">
        <x:f>IF(C359="","",IFERROR(VLOOKUP(C359,'SẢN_PHẨM'!$A$2:$G$500,2,FALSE),""))</x:f>
      </x:c>
      <x:c r="E359" s="36" t="str">
        <x:f>IF(C359="","",IFERROR(VLOOKUP(C359,'SẢN_PHẨM'!$A$2:$G$500,3,FALSE),""))</x:f>
      </x:c>
      <x:c r="F359" s="39"/>
      <x:c r="G359" s="34" t="str">
        <x:f>IF(C359="","",IFERROR(VLOOKUP(C359,'SẢN_PHẨM'!$A$2:$G$500,4,FALSE),""))</x:f>
      </x:c>
      <x:c r="H359" s="43"/>
      <x:c r="I359" s="38" t="str">
        <x:f>IF(C359="","",IFERROR(VLOOKUP(C359,'SẢN_PHẨM'!$A$2:$G$500,6,FALSE),""))</x:f>
      </x:c>
      <x:c r="J359" s="35" t="str">
        <x:f>IF(OR(F359="",G359=""),"",F359*G359)</x:f>
      </x:c>
      <x:c r="K359" s="35" t="str">
        <x:f>IF(J359="","",J359*H359)</x:f>
      </x:c>
      <x:c r="L359" s="35" t="str">
        <x:f>IF(J359="","",J359-K359)</x:f>
      </x:c>
      <x:c r="M359" s="35" t="str">
        <x:f>IF(L359="","",L359*I359)</x:f>
      </x:c>
      <x:c r="N359" s="35" t="str">
        <x:f>IF(L359="","",L359+M359)</x:f>
      </x:c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36" t="str">
        <x:f>IF(C360="","",IFERROR(VLOOKUP(C360,'SẢN_PHẨM'!$A$2:$G$500,2,FALSE),""))</x:f>
      </x:c>
      <x:c r="E360" s="36" t="str">
        <x:f>IF(C360="","",IFERROR(VLOOKUP(C360,'SẢN_PHẨM'!$A$2:$G$500,3,FALSE),""))</x:f>
      </x:c>
      <x:c r="F360" s="39"/>
      <x:c r="G360" s="34" t="str">
        <x:f>IF(C360="","",IFERROR(VLOOKUP(C360,'SẢN_PHẨM'!$A$2:$G$500,4,FALSE),""))</x:f>
      </x:c>
      <x:c r="H360" s="43"/>
      <x:c r="I360" s="38" t="str">
        <x:f>IF(C360="","",IFERROR(VLOOKUP(C360,'SẢN_PHẨM'!$A$2:$G$500,6,FALSE),""))</x:f>
      </x:c>
      <x:c r="J360" s="35" t="str">
        <x:f>IF(OR(F360="",G360=""),"",F360*G360)</x:f>
      </x:c>
      <x:c r="K360" s="35" t="str">
        <x:f>IF(J360="","",J360*H360)</x:f>
      </x:c>
      <x:c r="L360" s="35" t="str">
        <x:f>IF(J360="","",J360-K360)</x:f>
      </x:c>
      <x:c r="M360" s="35" t="str">
        <x:f>IF(L360="","",L360*I360)</x:f>
      </x:c>
      <x:c r="N360" s="35" t="str">
        <x:f>IF(L360="","",L360+M360)</x:f>
      </x:c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36" t="str">
        <x:f>IF(C361="","",IFERROR(VLOOKUP(C361,'SẢN_PHẨM'!$A$2:$G$500,2,FALSE),""))</x:f>
      </x:c>
      <x:c r="E361" s="36" t="str">
        <x:f>IF(C361="","",IFERROR(VLOOKUP(C361,'SẢN_PHẨM'!$A$2:$G$500,3,FALSE),""))</x:f>
      </x:c>
      <x:c r="F361" s="39"/>
      <x:c r="G361" s="34" t="str">
        <x:f>IF(C361="","",IFERROR(VLOOKUP(C361,'SẢN_PHẨM'!$A$2:$G$500,4,FALSE),""))</x:f>
      </x:c>
      <x:c r="H361" s="43"/>
      <x:c r="I361" s="38" t="str">
        <x:f>IF(C361="","",IFERROR(VLOOKUP(C361,'SẢN_PHẨM'!$A$2:$G$500,6,FALSE),""))</x:f>
      </x:c>
      <x:c r="J361" s="35" t="str">
        <x:f>IF(OR(F361="",G361=""),"",F361*G361)</x:f>
      </x:c>
      <x:c r="K361" s="35" t="str">
        <x:f>IF(J361="","",J361*H361)</x:f>
      </x:c>
      <x:c r="L361" s="35" t="str">
        <x:f>IF(J361="","",J361-K361)</x:f>
      </x:c>
      <x:c r="M361" s="35" t="str">
        <x:f>IF(L361="","",L361*I361)</x:f>
      </x:c>
      <x:c r="N361" s="35" t="str">
        <x:f>IF(L361="","",L361+M361)</x:f>
      </x:c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36" t="str">
        <x:f>IF(C362="","",IFERROR(VLOOKUP(C362,'SẢN_PHẨM'!$A$2:$G$500,2,FALSE),""))</x:f>
      </x:c>
      <x:c r="E362" s="36" t="str">
        <x:f>IF(C362="","",IFERROR(VLOOKUP(C362,'SẢN_PHẨM'!$A$2:$G$500,3,FALSE),""))</x:f>
      </x:c>
      <x:c r="F362" s="39"/>
      <x:c r="G362" s="34" t="str">
        <x:f>IF(C362="","",IFERROR(VLOOKUP(C362,'SẢN_PHẨM'!$A$2:$G$500,4,FALSE),""))</x:f>
      </x:c>
      <x:c r="H362" s="43"/>
      <x:c r="I362" s="38" t="str">
        <x:f>IF(C362="","",IFERROR(VLOOKUP(C362,'SẢN_PHẨM'!$A$2:$G$500,6,FALSE),""))</x:f>
      </x:c>
      <x:c r="J362" s="35" t="str">
        <x:f>IF(OR(F362="",G362=""),"",F362*G362)</x:f>
      </x:c>
      <x:c r="K362" s="35" t="str">
        <x:f>IF(J362="","",J362*H362)</x:f>
      </x:c>
      <x:c r="L362" s="35" t="str">
        <x:f>IF(J362="","",J362-K362)</x:f>
      </x:c>
      <x:c r="M362" s="35" t="str">
        <x:f>IF(L362="","",L362*I362)</x:f>
      </x:c>
      <x:c r="N362" s="35" t="str">
        <x:f>IF(L362="","",L362+M362)</x:f>
      </x:c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36" t="str">
        <x:f>IF(C363="","",IFERROR(VLOOKUP(C363,'SẢN_PHẨM'!$A$2:$G$500,2,FALSE),""))</x:f>
      </x:c>
      <x:c r="E363" s="36" t="str">
        <x:f>IF(C363="","",IFERROR(VLOOKUP(C363,'SẢN_PHẨM'!$A$2:$G$500,3,FALSE),""))</x:f>
      </x:c>
      <x:c r="F363" s="39"/>
      <x:c r="G363" s="34" t="str">
        <x:f>IF(C363="","",IFERROR(VLOOKUP(C363,'SẢN_PHẨM'!$A$2:$G$500,4,FALSE),""))</x:f>
      </x:c>
      <x:c r="H363" s="43"/>
      <x:c r="I363" s="38" t="str">
        <x:f>IF(C363="","",IFERROR(VLOOKUP(C363,'SẢN_PHẨM'!$A$2:$G$500,6,FALSE),""))</x:f>
      </x:c>
      <x:c r="J363" s="35" t="str">
        <x:f>IF(OR(F363="",G363=""),"",F363*G363)</x:f>
      </x:c>
      <x:c r="K363" s="35" t="str">
        <x:f>IF(J363="","",J363*H363)</x:f>
      </x:c>
      <x:c r="L363" s="35" t="str">
        <x:f>IF(J363="","",J363-K363)</x:f>
      </x:c>
      <x:c r="M363" s="35" t="str">
        <x:f>IF(L363="","",L363*I363)</x:f>
      </x:c>
      <x:c r="N363" s="35" t="str">
        <x:f>IF(L363="","",L363+M363)</x:f>
      </x:c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36" t="str">
        <x:f>IF(C364="","",IFERROR(VLOOKUP(C364,'SẢN_PHẨM'!$A$2:$G$500,2,FALSE),""))</x:f>
      </x:c>
      <x:c r="E364" s="36" t="str">
        <x:f>IF(C364="","",IFERROR(VLOOKUP(C364,'SẢN_PHẨM'!$A$2:$G$500,3,FALSE),""))</x:f>
      </x:c>
      <x:c r="F364" s="39"/>
      <x:c r="G364" s="34" t="str">
        <x:f>IF(C364="","",IFERROR(VLOOKUP(C364,'SẢN_PHẨM'!$A$2:$G$500,4,FALSE),""))</x:f>
      </x:c>
      <x:c r="H364" s="43"/>
      <x:c r="I364" s="38" t="str">
        <x:f>IF(C364="","",IFERROR(VLOOKUP(C364,'SẢN_PHẨM'!$A$2:$G$500,6,FALSE),""))</x:f>
      </x:c>
      <x:c r="J364" s="35" t="str">
        <x:f>IF(OR(F364="",G364=""),"",F364*G364)</x:f>
      </x:c>
      <x:c r="K364" s="35" t="str">
        <x:f>IF(J364="","",J364*H364)</x:f>
      </x:c>
      <x:c r="L364" s="35" t="str">
        <x:f>IF(J364="","",J364-K364)</x:f>
      </x:c>
      <x:c r="M364" s="35" t="str">
        <x:f>IF(L364="","",L364*I364)</x:f>
      </x:c>
      <x:c r="N364" s="35" t="str">
        <x:f>IF(L364="","",L364+M364)</x:f>
      </x:c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36" t="str">
        <x:f>IF(C365="","",IFERROR(VLOOKUP(C365,'SẢN_PHẨM'!$A$2:$G$500,2,FALSE),""))</x:f>
      </x:c>
      <x:c r="E365" s="36" t="str">
        <x:f>IF(C365="","",IFERROR(VLOOKUP(C365,'SẢN_PHẨM'!$A$2:$G$500,3,FALSE),""))</x:f>
      </x:c>
      <x:c r="F365" s="39"/>
      <x:c r="G365" s="34" t="str">
        <x:f>IF(C365="","",IFERROR(VLOOKUP(C365,'SẢN_PHẨM'!$A$2:$G$500,4,FALSE),""))</x:f>
      </x:c>
      <x:c r="H365" s="43"/>
      <x:c r="I365" s="38" t="str">
        <x:f>IF(C365="","",IFERROR(VLOOKUP(C365,'SẢN_PHẨM'!$A$2:$G$500,6,FALSE),""))</x:f>
      </x:c>
      <x:c r="J365" s="35" t="str">
        <x:f>IF(OR(F365="",G365=""),"",F365*G365)</x:f>
      </x:c>
      <x:c r="K365" s="35" t="str">
        <x:f>IF(J365="","",J365*H365)</x:f>
      </x:c>
      <x:c r="L365" s="35" t="str">
        <x:f>IF(J365="","",J365-K365)</x:f>
      </x:c>
      <x:c r="M365" s="35" t="str">
        <x:f>IF(L365="","",L365*I365)</x:f>
      </x:c>
      <x:c r="N365" s="35" t="str">
        <x:f>IF(L365="","",L365+M365)</x:f>
      </x:c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36" t="str">
        <x:f>IF(C366="","",IFERROR(VLOOKUP(C366,'SẢN_PHẨM'!$A$2:$G$500,2,FALSE),""))</x:f>
      </x:c>
      <x:c r="E366" s="36" t="str">
        <x:f>IF(C366="","",IFERROR(VLOOKUP(C366,'SẢN_PHẨM'!$A$2:$G$500,3,FALSE),""))</x:f>
      </x:c>
      <x:c r="F366" s="39"/>
      <x:c r="G366" s="34" t="str">
        <x:f>IF(C366="","",IFERROR(VLOOKUP(C366,'SẢN_PHẨM'!$A$2:$G$500,4,FALSE),""))</x:f>
      </x:c>
      <x:c r="H366" s="43"/>
      <x:c r="I366" s="38" t="str">
        <x:f>IF(C366="","",IFERROR(VLOOKUP(C366,'SẢN_PHẨM'!$A$2:$G$500,6,FALSE),""))</x:f>
      </x:c>
      <x:c r="J366" s="35" t="str">
        <x:f>IF(OR(F366="",G366=""),"",F366*G366)</x:f>
      </x:c>
      <x:c r="K366" s="35" t="str">
        <x:f>IF(J366="","",J366*H366)</x:f>
      </x:c>
      <x:c r="L366" s="35" t="str">
        <x:f>IF(J366="","",J366-K366)</x:f>
      </x:c>
      <x:c r="M366" s="35" t="str">
        <x:f>IF(L366="","",L366*I366)</x:f>
      </x:c>
      <x:c r="N366" s="35" t="str">
        <x:f>IF(L366="","",L366+M366)</x:f>
      </x:c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36" t="str">
        <x:f>IF(C367="","",IFERROR(VLOOKUP(C367,'SẢN_PHẨM'!$A$2:$G$500,2,FALSE),""))</x:f>
      </x:c>
      <x:c r="E367" s="36" t="str">
        <x:f>IF(C367="","",IFERROR(VLOOKUP(C367,'SẢN_PHẨM'!$A$2:$G$500,3,FALSE),""))</x:f>
      </x:c>
      <x:c r="F367" s="39"/>
      <x:c r="G367" s="34" t="str">
        <x:f>IF(C367="","",IFERROR(VLOOKUP(C367,'SẢN_PHẨM'!$A$2:$G$500,4,FALSE),""))</x:f>
      </x:c>
      <x:c r="H367" s="43"/>
      <x:c r="I367" s="38" t="str">
        <x:f>IF(C367="","",IFERROR(VLOOKUP(C367,'SẢN_PHẨM'!$A$2:$G$500,6,FALSE),""))</x:f>
      </x:c>
      <x:c r="J367" s="35" t="str">
        <x:f>IF(OR(F367="",G367=""),"",F367*G367)</x:f>
      </x:c>
      <x:c r="K367" s="35" t="str">
        <x:f>IF(J367="","",J367*H367)</x:f>
      </x:c>
      <x:c r="L367" s="35" t="str">
        <x:f>IF(J367="","",J367-K367)</x:f>
      </x:c>
      <x:c r="M367" s="35" t="str">
        <x:f>IF(L367="","",L367*I367)</x:f>
      </x:c>
      <x:c r="N367" s="35" t="str">
        <x:f>IF(L367="","",L367+M367)</x:f>
      </x:c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36" t="str">
        <x:f>IF(C368="","",IFERROR(VLOOKUP(C368,'SẢN_PHẨM'!$A$2:$G$500,2,FALSE),""))</x:f>
      </x:c>
      <x:c r="E368" s="36" t="str">
        <x:f>IF(C368="","",IFERROR(VLOOKUP(C368,'SẢN_PHẨM'!$A$2:$G$500,3,FALSE),""))</x:f>
      </x:c>
      <x:c r="F368" s="39"/>
      <x:c r="G368" s="34" t="str">
        <x:f>IF(C368="","",IFERROR(VLOOKUP(C368,'SẢN_PHẨM'!$A$2:$G$500,4,FALSE),""))</x:f>
      </x:c>
      <x:c r="H368" s="43"/>
      <x:c r="I368" s="38" t="str">
        <x:f>IF(C368="","",IFERROR(VLOOKUP(C368,'SẢN_PHẨM'!$A$2:$G$500,6,FALSE),""))</x:f>
      </x:c>
      <x:c r="J368" s="35" t="str">
        <x:f>IF(OR(F368="",G368=""),"",F368*G368)</x:f>
      </x:c>
      <x:c r="K368" s="35" t="str">
        <x:f>IF(J368="","",J368*H368)</x:f>
      </x:c>
      <x:c r="L368" s="35" t="str">
        <x:f>IF(J368="","",J368-K368)</x:f>
      </x:c>
      <x:c r="M368" s="35" t="str">
        <x:f>IF(L368="","",L368*I368)</x:f>
      </x:c>
      <x:c r="N368" s="35" t="str">
        <x:f>IF(L368="","",L368+M368)</x:f>
      </x:c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36" t="str">
        <x:f>IF(C369="","",IFERROR(VLOOKUP(C369,'SẢN_PHẨM'!$A$2:$G$500,2,FALSE),""))</x:f>
      </x:c>
      <x:c r="E369" s="36" t="str">
        <x:f>IF(C369="","",IFERROR(VLOOKUP(C369,'SẢN_PHẨM'!$A$2:$G$500,3,FALSE),""))</x:f>
      </x:c>
      <x:c r="F369" s="39"/>
      <x:c r="G369" s="34" t="str">
        <x:f>IF(C369="","",IFERROR(VLOOKUP(C369,'SẢN_PHẨM'!$A$2:$G$500,4,FALSE),""))</x:f>
      </x:c>
      <x:c r="H369" s="43"/>
      <x:c r="I369" s="38" t="str">
        <x:f>IF(C369="","",IFERROR(VLOOKUP(C369,'SẢN_PHẨM'!$A$2:$G$500,6,FALSE),""))</x:f>
      </x:c>
      <x:c r="J369" s="35" t="str">
        <x:f>IF(OR(F369="",G369=""),"",F369*G369)</x:f>
      </x:c>
      <x:c r="K369" s="35" t="str">
        <x:f>IF(J369="","",J369*H369)</x:f>
      </x:c>
      <x:c r="L369" s="35" t="str">
        <x:f>IF(J369="","",J369-K369)</x:f>
      </x:c>
      <x:c r="M369" s="35" t="str">
        <x:f>IF(L369="","",L369*I369)</x:f>
      </x:c>
      <x:c r="N369" s="35" t="str">
        <x:f>IF(L369="","",L369+M369)</x:f>
      </x:c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36" t="str">
        <x:f>IF(C370="","",IFERROR(VLOOKUP(C370,'SẢN_PHẨM'!$A$2:$G$500,2,FALSE),""))</x:f>
      </x:c>
      <x:c r="E370" s="36" t="str">
        <x:f>IF(C370="","",IFERROR(VLOOKUP(C370,'SẢN_PHẨM'!$A$2:$G$500,3,FALSE),""))</x:f>
      </x:c>
      <x:c r="F370" s="39"/>
      <x:c r="G370" s="34" t="str">
        <x:f>IF(C370="","",IFERROR(VLOOKUP(C370,'SẢN_PHẨM'!$A$2:$G$500,4,FALSE),""))</x:f>
      </x:c>
      <x:c r="H370" s="43"/>
      <x:c r="I370" s="38" t="str">
        <x:f>IF(C370="","",IFERROR(VLOOKUP(C370,'SẢN_PHẨM'!$A$2:$G$500,6,FALSE),""))</x:f>
      </x:c>
      <x:c r="J370" s="35" t="str">
        <x:f>IF(OR(F370="",G370=""),"",F370*G370)</x:f>
      </x:c>
      <x:c r="K370" s="35" t="str">
        <x:f>IF(J370="","",J370*H370)</x:f>
      </x:c>
      <x:c r="L370" s="35" t="str">
        <x:f>IF(J370="","",J370-K370)</x:f>
      </x:c>
      <x:c r="M370" s="35" t="str">
        <x:f>IF(L370="","",L370*I370)</x:f>
      </x:c>
      <x:c r="N370" s="35" t="str">
        <x:f>IF(L370="","",L370+M370)</x:f>
      </x:c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36" t="str">
        <x:f>IF(C371="","",IFERROR(VLOOKUP(C371,'SẢN_PHẨM'!$A$2:$G$500,2,FALSE),""))</x:f>
      </x:c>
      <x:c r="E371" s="36" t="str">
        <x:f>IF(C371="","",IFERROR(VLOOKUP(C371,'SẢN_PHẨM'!$A$2:$G$500,3,FALSE),""))</x:f>
      </x:c>
      <x:c r="F371" s="39"/>
      <x:c r="G371" s="34" t="str">
        <x:f>IF(C371="","",IFERROR(VLOOKUP(C371,'SẢN_PHẨM'!$A$2:$G$500,4,FALSE),""))</x:f>
      </x:c>
      <x:c r="H371" s="43"/>
      <x:c r="I371" s="38" t="str">
        <x:f>IF(C371="","",IFERROR(VLOOKUP(C371,'SẢN_PHẨM'!$A$2:$G$500,6,FALSE),""))</x:f>
      </x:c>
      <x:c r="J371" s="35" t="str">
        <x:f>IF(OR(F371="",G371=""),"",F371*G371)</x:f>
      </x:c>
      <x:c r="K371" s="35" t="str">
        <x:f>IF(J371="","",J371*H371)</x:f>
      </x:c>
      <x:c r="L371" s="35" t="str">
        <x:f>IF(J371="","",J371-K371)</x:f>
      </x:c>
      <x:c r="M371" s="35" t="str">
        <x:f>IF(L371="","",L371*I371)</x:f>
      </x:c>
      <x:c r="N371" s="35" t="str">
        <x:f>IF(L371="","",L371+M371)</x:f>
      </x:c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36" t="str">
        <x:f>IF(C372="","",IFERROR(VLOOKUP(C372,'SẢN_PHẨM'!$A$2:$G$500,2,FALSE),""))</x:f>
      </x:c>
      <x:c r="E372" s="36" t="str">
        <x:f>IF(C372="","",IFERROR(VLOOKUP(C372,'SẢN_PHẨM'!$A$2:$G$500,3,FALSE),""))</x:f>
      </x:c>
      <x:c r="F372" s="39"/>
      <x:c r="G372" s="34" t="str">
        <x:f>IF(C372="","",IFERROR(VLOOKUP(C372,'SẢN_PHẨM'!$A$2:$G$500,4,FALSE),""))</x:f>
      </x:c>
      <x:c r="H372" s="43"/>
      <x:c r="I372" s="38" t="str">
        <x:f>IF(C372="","",IFERROR(VLOOKUP(C372,'SẢN_PHẨM'!$A$2:$G$500,6,FALSE),""))</x:f>
      </x:c>
      <x:c r="J372" s="35" t="str">
        <x:f>IF(OR(F372="",G372=""),"",F372*G372)</x:f>
      </x:c>
      <x:c r="K372" s="35" t="str">
        <x:f>IF(J372="","",J372*H372)</x:f>
      </x:c>
      <x:c r="L372" s="35" t="str">
        <x:f>IF(J372="","",J372-K372)</x:f>
      </x:c>
      <x:c r="M372" s="35" t="str">
        <x:f>IF(L372="","",L372*I372)</x:f>
      </x:c>
      <x:c r="N372" s="35" t="str">
        <x:f>IF(L372="","",L372+M372)</x:f>
      </x:c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36" t="str">
        <x:f>IF(C373="","",IFERROR(VLOOKUP(C373,'SẢN_PHẨM'!$A$2:$G$500,2,FALSE),""))</x:f>
      </x:c>
      <x:c r="E373" s="36" t="str">
        <x:f>IF(C373="","",IFERROR(VLOOKUP(C373,'SẢN_PHẨM'!$A$2:$G$500,3,FALSE),""))</x:f>
      </x:c>
      <x:c r="F373" s="39"/>
      <x:c r="G373" s="34" t="str">
        <x:f>IF(C373="","",IFERROR(VLOOKUP(C373,'SẢN_PHẨM'!$A$2:$G$500,4,FALSE),""))</x:f>
      </x:c>
      <x:c r="H373" s="43"/>
      <x:c r="I373" s="38" t="str">
        <x:f>IF(C373="","",IFERROR(VLOOKUP(C373,'SẢN_PHẨM'!$A$2:$G$500,6,FALSE),""))</x:f>
      </x:c>
      <x:c r="J373" s="35" t="str">
        <x:f>IF(OR(F373="",G373=""),"",F373*G373)</x:f>
      </x:c>
      <x:c r="K373" s="35" t="str">
        <x:f>IF(J373="","",J373*H373)</x:f>
      </x:c>
      <x:c r="L373" s="35" t="str">
        <x:f>IF(J373="","",J373-K373)</x:f>
      </x:c>
      <x:c r="M373" s="35" t="str">
        <x:f>IF(L373="","",L373*I373)</x:f>
      </x:c>
      <x:c r="N373" s="35" t="str">
        <x:f>IF(L373="","",L373+M373)</x:f>
      </x:c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36" t="str">
        <x:f>IF(C374="","",IFERROR(VLOOKUP(C374,'SẢN_PHẨM'!$A$2:$G$500,2,FALSE),""))</x:f>
      </x:c>
      <x:c r="E374" s="36" t="str">
        <x:f>IF(C374="","",IFERROR(VLOOKUP(C374,'SẢN_PHẨM'!$A$2:$G$500,3,FALSE),""))</x:f>
      </x:c>
      <x:c r="F374" s="39"/>
      <x:c r="G374" s="34" t="str">
        <x:f>IF(C374="","",IFERROR(VLOOKUP(C374,'SẢN_PHẨM'!$A$2:$G$500,4,FALSE),""))</x:f>
      </x:c>
      <x:c r="H374" s="43"/>
      <x:c r="I374" s="38" t="str">
        <x:f>IF(C374="","",IFERROR(VLOOKUP(C374,'SẢN_PHẨM'!$A$2:$G$500,6,FALSE),""))</x:f>
      </x:c>
      <x:c r="J374" s="35" t="str">
        <x:f>IF(OR(F374="",G374=""),"",F374*G374)</x:f>
      </x:c>
      <x:c r="K374" s="35" t="str">
        <x:f>IF(J374="","",J374*H374)</x:f>
      </x:c>
      <x:c r="L374" s="35" t="str">
        <x:f>IF(J374="","",J374-K374)</x:f>
      </x:c>
      <x:c r="M374" s="35" t="str">
        <x:f>IF(L374="","",L374*I374)</x:f>
      </x:c>
      <x:c r="N374" s="35" t="str">
        <x:f>IF(L374="","",L374+M374)</x:f>
      </x:c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36" t="str">
        <x:f>IF(C375="","",IFERROR(VLOOKUP(C375,'SẢN_PHẨM'!$A$2:$G$500,2,FALSE),""))</x:f>
      </x:c>
      <x:c r="E375" s="36" t="str">
        <x:f>IF(C375="","",IFERROR(VLOOKUP(C375,'SẢN_PHẨM'!$A$2:$G$500,3,FALSE),""))</x:f>
      </x:c>
      <x:c r="F375" s="39"/>
      <x:c r="G375" s="34" t="str">
        <x:f>IF(C375="","",IFERROR(VLOOKUP(C375,'SẢN_PHẨM'!$A$2:$G$500,4,FALSE),""))</x:f>
      </x:c>
      <x:c r="H375" s="43"/>
      <x:c r="I375" s="38" t="str">
        <x:f>IF(C375="","",IFERROR(VLOOKUP(C375,'SẢN_PHẨM'!$A$2:$G$500,6,FALSE),""))</x:f>
      </x:c>
      <x:c r="J375" s="35" t="str">
        <x:f>IF(OR(F375="",G375=""),"",F375*G375)</x:f>
      </x:c>
      <x:c r="K375" s="35" t="str">
        <x:f>IF(J375="","",J375*H375)</x:f>
      </x:c>
      <x:c r="L375" s="35" t="str">
        <x:f>IF(J375="","",J375-K375)</x:f>
      </x:c>
      <x:c r="M375" s="35" t="str">
        <x:f>IF(L375="","",L375*I375)</x:f>
      </x:c>
      <x:c r="N375" s="35" t="str">
        <x:f>IF(L375="","",L375+M375)</x:f>
      </x:c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36" t="str">
        <x:f>IF(C376="","",IFERROR(VLOOKUP(C376,'SẢN_PHẨM'!$A$2:$G$500,2,FALSE),""))</x:f>
      </x:c>
      <x:c r="E376" s="36" t="str">
        <x:f>IF(C376="","",IFERROR(VLOOKUP(C376,'SẢN_PHẨM'!$A$2:$G$500,3,FALSE),""))</x:f>
      </x:c>
      <x:c r="F376" s="39"/>
      <x:c r="G376" s="34" t="str">
        <x:f>IF(C376="","",IFERROR(VLOOKUP(C376,'SẢN_PHẨM'!$A$2:$G$500,4,FALSE),""))</x:f>
      </x:c>
      <x:c r="H376" s="43"/>
      <x:c r="I376" s="38" t="str">
        <x:f>IF(C376="","",IFERROR(VLOOKUP(C376,'SẢN_PHẨM'!$A$2:$G$500,6,FALSE),""))</x:f>
      </x:c>
      <x:c r="J376" s="35" t="str">
        <x:f>IF(OR(F376="",G376=""),"",F376*G376)</x:f>
      </x:c>
      <x:c r="K376" s="35" t="str">
        <x:f>IF(J376="","",J376*H376)</x:f>
      </x:c>
      <x:c r="L376" s="35" t="str">
        <x:f>IF(J376="","",J376-K376)</x:f>
      </x:c>
      <x:c r="M376" s="35" t="str">
        <x:f>IF(L376="","",L376*I376)</x:f>
      </x:c>
      <x:c r="N376" s="35" t="str">
        <x:f>IF(L376="","",L376+M376)</x:f>
      </x:c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36" t="str">
        <x:f>IF(C377="","",IFERROR(VLOOKUP(C377,'SẢN_PHẨM'!$A$2:$G$500,2,FALSE),""))</x:f>
      </x:c>
      <x:c r="E377" s="36" t="str">
        <x:f>IF(C377="","",IFERROR(VLOOKUP(C377,'SẢN_PHẨM'!$A$2:$G$500,3,FALSE),""))</x:f>
      </x:c>
      <x:c r="F377" s="39"/>
      <x:c r="G377" s="34" t="str">
        <x:f>IF(C377="","",IFERROR(VLOOKUP(C377,'SẢN_PHẨM'!$A$2:$G$500,4,FALSE),""))</x:f>
      </x:c>
      <x:c r="H377" s="43"/>
      <x:c r="I377" s="38" t="str">
        <x:f>IF(C377="","",IFERROR(VLOOKUP(C377,'SẢN_PHẨM'!$A$2:$G$500,6,FALSE),""))</x:f>
      </x:c>
      <x:c r="J377" s="35" t="str">
        <x:f>IF(OR(F377="",G377=""),"",F377*G377)</x:f>
      </x:c>
      <x:c r="K377" s="35" t="str">
        <x:f>IF(J377="","",J377*H377)</x:f>
      </x:c>
      <x:c r="L377" s="35" t="str">
        <x:f>IF(J377="","",J377-K377)</x:f>
      </x:c>
      <x:c r="M377" s="35" t="str">
        <x:f>IF(L377="","",L377*I377)</x:f>
      </x:c>
      <x:c r="N377" s="35" t="str">
        <x:f>IF(L377="","",L377+M377)</x:f>
      </x:c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36" t="str">
        <x:f>IF(C378="","",IFERROR(VLOOKUP(C378,'SẢN_PHẨM'!$A$2:$G$500,2,FALSE),""))</x:f>
      </x:c>
      <x:c r="E378" s="36" t="str">
        <x:f>IF(C378="","",IFERROR(VLOOKUP(C378,'SẢN_PHẨM'!$A$2:$G$500,3,FALSE),""))</x:f>
      </x:c>
      <x:c r="F378" s="39"/>
      <x:c r="G378" s="34" t="str">
        <x:f>IF(C378="","",IFERROR(VLOOKUP(C378,'SẢN_PHẨM'!$A$2:$G$500,4,FALSE),""))</x:f>
      </x:c>
      <x:c r="H378" s="43"/>
      <x:c r="I378" s="38" t="str">
        <x:f>IF(C378="","",IFERROR(VLOOKUP(C378,'SẢN_PHẨM'!$A$2:$G$500,6,FALSE),""))</x:f>
      </x:c>
      <x:c r="J378" s="35" t="str">
        <x:f>IF(OR(F378="",G378=""),"",F378*G378)</x:f>
      </x:c>
      <x:c r="K378" s="35" t="str">
        <x:f>IF(J378="","",J378*H378)</x:f>
      </x:c>
      <x:c r="L378" s="35" t="str">
        <x:f>IF(J378="","",J378-K378)</x:f>
      </x:c>
      <x:c r="M378" s="35" t="str">
        <x:f>IF(L378="","",L378*I378)</x:f>
      </x:c>
      <x:c r="N378" s="35" t="str">
        <x:f>IF(L378="","",L378+M378)</x:f>
      </x:c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36" t="str">
        <x:f>IF(C379="","",IFERROR(VLOOKUP(C379,'SẢN_PHẨM'!$A$2:$G$500,2,FALSE),""))</x:f>
      </x:c>
      <x:c r="E379" s="36" t="str">
        <x:f>IF(C379="","",IFERROR(VLOOKUP(C379,'SẢN_PHẨM'!$A$2:$G$500,3,FALSE),""))</x:f>
      </x:c>
      <x:c r="F379" s="39"/>
      <x:c r="G379" s="34" t="str">
        <x:f>IF(C379="","",IFERROR(VLOOKUP(C379,'SẢN_PHẨM'!$A$2:$G$500,4,FALSE),""))</x:f>
      </x:c>
      <x:c r="H379" s="43"/>
      <x:c r="I379" s="38" t="str">
        <x:f>IF(C379="","",IFERROR(VLOOKUP(C379,'SẢN_PHẨM'!$A$2:$G$500,6,FALSE),""))</x:f>
      </x:c>
      <x:c r="J379" s="35" t="str">
        <x:f>IF(OR(F379="",G379=""),"",F379*G379)</x:f>
      </x:c>
      <x:c r="K379" s="35" t="str">
        <x:f>IF(J379="","",J379*H379)</x:f>
      </x:c>
      <x:c r="L379" s="35" t="str">
        <x:f>IF(J379="","",J379-K379)</x:f>
      </x:c>
      <x:c r="M379" s="35" t="str">
        <x:f>IF(L379="","",L379*I379)</x:f>
      </x:c>
      <x:c r="N379" s="35" t="str">
        <x:f>IF(L379="","",L379+M379)</x:f>
      </x:c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36" t="str">
        <x:f>IF(C380="","",IFERROR(VLOOKUP(C380,'SẢN_PHẨM'!$A$2:$G$500,2,FALSE),""))</x:f>
      </x:c>
      <x:c r="E380" s="36" t="str">
        <x:f>IF(C380="","",IFERROR(VLOOKUP(C380,'SẢN_PHẨM'!$A$2:$G$500,3,FALSE),""))</x:f>
      </x:c>
      <x:c r="F380" s="39"/>
      <x:c r="G380" s="34" t="str">
        <x:f>IF(C380="","",IFERROR(VLOOKUP(C380,'SẢN_PHẨM'!$A$2:$G$500,4,FALSE),""))</x:f>
      </x:c>
      <x:c r="H380" s="43"/>
      <x:c r="I380" s="38" t="str">
        <x:f>IF(C380="","",IFERROR(VLOOKUP(C380,'SẢN_PHẨM'!$A$2:$G$500,6,FALSE),""))</x:f>
      </x:c>
      <x:c r="J380" s="35" t="str">
        <x:f>IF(OR(F380="",G380=""),"",F380*G380)</x:f>
      </x:c>
      <x:c r="K380" s="35" t="str">
        <x:f>IF(J380="","",J380*H380)</x:f>
      </x:c>
      <x:c r="L380" s="35" t="str">
        <x:f>IF(J380="","",J380-K380)</x:f>
      </x:c>
      <x:c r="M380" s="35" t="str">
        <x:f>IF(L380="","",L380*I380)</x:f>
      </x:c>
      <x:c r="N380" s="35" t="str">
        <x:f>IF(L380="","",L380+M380)</x:f>
      </x:c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36" t="str">
        <x:f>IF(C381="","",IFERROR(VLOOKUP(C381,'SẢN_PHẨM'!$A$2:$G$500,2,FALSE),""))</x:f>
      </x:c>
      <x:c r="E381" s="36" t="str">
        <x:f>IF(C381="","",IFERROR(VLOOKUP(C381,'SẢN_PHẨM'!$A$2:$G$500,3,FALSE),""))</x:f>
      </x:c>
      <x:c r="F381" s="39"/>
      <x:c r="G381" s="34" t="str">
        <x:f>IF(C381="","",IFERROR(VLOOKUP(C381,'SẢN_PHẨM'!$A$2:$G$500,4,FALSE),""))</x:f>
      </x:c>
      <x:c r="H381" s="43"/>
      <x:c r="I381" s="38" t="str">
        <x:f>IF(C381="","",IFERROR(VLOOKUP(C381,'SẢN_PHẨM'!$A$2:$G$500,6,FALSE),""))</x:f>
      </x:c>
      <x:c r="J381" s="35" t="str">
        <x:f>IF(OR(F381="",G381=""),"",F381*G381)</x:f>
      </x:c>
      <x:c r="K381" s="35" t="str">
        <x:f>IF(J381="","",J381*H381)</x:f>
      </x:c>
      <x:c r="L381" s="35" t="str">
        <x:f>IF(J381="","",J381-K381)</x:f>
      </x:c>
      <x:c r="M381" s="35" t="str">
        <x:f>IF(L381="","",L381*I381)</x:f>
      </x:c>
      <x:c r="N381" s="35" t="str">
        <x:f>IF(L381="","",L381+M381)</x:f>
      </x:c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36" t="str">
        <x:f>IF(C382="","",IFERROR(VLOOKUP(C382,'SẢN_PHẨM'!$A$2:$G$500,2,FALSE),""))</x:f>
      </x:c>
      <x:c r="E382" s="36" t="str">
        <x:f>IF(C382="","",IFERROR(VLOOKUP(C382,'SẢN_PHẨM'!$A$2:$G$500,3,FALSE),""))</x:f>
      </x:c>
      <x:c r="F382" s="39"/>
      <x:c r="G382" s="34" t="str">
        <x:f>IF(C382="","",IFERROR(VLOOKUP(C382,'SẢN_PHẨM'!$A$2:$G$500,4,FALSE),""))</x:f>
      </x:c>
      <x:c r="H382" s="43"/>
      <x:c r="I382" s="38" t="str">
        <x:f>IF(C382="","",IFERROR(VLOOKUP(C382,'SẢN_PHẨM'!$A$2:$G$500,6,FALSE),""))</x:f>
      </x:c>
      <x:c r="J382" s="35" t="str">
        <x:f>IF(OR(F382="",G382=""),"",F382*G382)</x:f>
      </x:c>
      <x:c r="K382" s="35" t="str">
        <x:f>IF(J382="","",J382*H382)</x:f>
      </x:c>
      <x:c r="L382" s="35" t="str">
        <x:f>IF(J382="","",J382-K382)</x:f>
      </x:c>
      <x:c r="M382" s="35" t="str">
        <x:f>IF(L382="","",L382*I382)</x:f>
      </x:c>
      <x:c r="N382" s="35" t="str">
        <x:f>IF(L382="","",L382+M382)</x:f>
      </x:c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36" t="str">
        <x:f>IF(C383="","",IFERROR(VLOOKUP(C383,'SẢN_PHẨM'!$A$2:$G$500,2,FALSE),""))</x:f>
      </x:c>
      <x:c r="E383" s="36" t="str">
        <x:f>IF(C383="","",IFERROR(VLOOKUP(C383,'SẢN_PHẨM'!$A$2:$G$500,3,FALSE),""))</x:f>
      </x:c>
      <x:c r="F383" s="39"/>
      <x:c r="G383" s="34" t="str">
        <x:f>IF(C383="","",IFERROR(VLOOKUP(C383,'SẢN_PHẨM'!$A$2:$G$500,4,FALSE),""))</x:f>
      </x:c>
      <x:c r="H383" s="43"/>
      <x:c r="I383" s="38" t="str">
        <x:f>IF(C383="","",IFERROR(VLOOKUP(C383,'SẢN_PHẨM'!$A$2:$G$500,6,FALSE),""))</x:f>
      </x:c>
      <x:c r="J383" s="35" t="str">
        <x:f>IF(OR(F383="",G383=""),"",F383*G383)</x:f>
      </x:c>
      <x:c r="K383" s="35" t="str">
        <x:f>IF(J383="","",J383*H383)</x:f>
      </x:c>
      <x:c r="L383" s="35" t="str">
        <x:f>IF(J383="","",J383-K383)</x:f>
      </x:c>
      <x:c r="M383" s="35" t="str">
        <x:f>IF(L383="","",L383*I383)</x:f>
      </x:c>
      <x:c r="N383" s="35" t="str">
        <x:f>IF(L383="","",L383+M383)</x:f>
      </x:c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36" t="str">
        <x:f>IF(C384="","",IFERROR(VLOOKUP(C384,'SẢN_PHẨM'!$A$2:$G$500,2,FALSE),""))</x:f>
      </x:c>
      <x:c r="E384" s="36" t="str">
        <x:f>IF(C384="","",IFERROR(VLOOKUP(C384,'SẢN_PHẨM'!$A$2:$G$500,3,FALSE),""))</x:f>
      </x:c>
      <x:c r="F384" s="39"/>
      <x:c r="G384" s="34" t="str">
        <x:f>IF(C384="","",IFERROR(VLOOKUP(C384,'SẢN_PHẨM'!$A$2:$G$500,4,FALSE),""))</x:f>
      </x:c>
      <x:c r="H384" s="43"/>
      <x:c r="I384" s="38" t="str">
        <x:f>IF(C384="","",IFERROR(VLOOKUP(C384,'SẢN_PHẨM'!$A$2:$G$500,6,FALSE),""))</x:f>
      </x:c>
      <x:c r="J384" s="35" t="str">
        <x:f>IF(OR(F384="",G384=""),"",F384*G384)</x:f>
      </x:c>
      <x:c r="K384" s="35" t="str">
        <x:f>IF(J384="","",J384*H384)</x:f>
      </x:c>
      <x:c r="L384" s="35" t="str">
        <x:f>IF(J384="","",J384-K384)</x:f>
      </x:c>
      <x:c r="M384" s="35" t="str">
        <x:f>IF(L384="","",L384*I384)</x:f>
      </x:c>
      <x:c r="N384" s="35" t="str">
        <x:f>IF(L384="","",L384+M384)</x:f>
      </x:c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36" t="str">
        <x:f>IF(C385="","",IFERROR(VLOOKUP(C385,'SẢN_PHẨM'!$A$2:$G$500,2,FALSE),""))</x:f>
      </x:c>
      <x:c r="E385" s="36" t="str">
        <x:f>IF(C385="","",IFERROR(VLOOKUP(C385,'SẢN_PHẨM'!$A$2:$G$500,3,FALSE),""))</x:f>
      </x:c>
      <x:c r="F385" s="39"/>
      <x:c r="G385" s="34" t="str">
        <x:f>IF(C385="","",IFERROR(VLOOKUP(C385,'SẢN_PHẨM'!$A$2:$G$500,4,FALSE),""))</x:f>
      </x:c>
      <x:c r="H385" s="43"/>
      <x:c r="I385" s="38" t="str">
        <x:f>IF(C385="","",IFERROR(VLOOKUP(C385,'SẢN_PHẨM'!$A$2:$G$500,6,FALSE),""))</x:f>
      </x:c>
      <x:c r="J385" s="35" t="str">
        <x:f>IF(OR(F385="",G385=""),"",F385*G385)</x:f>
      </x:c>
      <x:c r="K385" s="35" t="str">
        <x:f>IF(J385="","",J385*H385)</x:f>
      </x:c>
      <x:c r="L385" s="35" t="str">
        <x:f>IF(J385="","",J385-K385)</x:f>
      </x:c>
      <x:c r="M385" s="35" t="str">
        <x:f>IF(L385="","",L385*I385)</x:f>
      </x:c>
      <x:c r="N385" s="35" t="str">
        <x:f>IF(L385="","",L385+M385)</x:f>
      </x:c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36" t="str">
        <x:f>IF(C386="","",IFERROR(VLOOKUP(C386,'SẢN_PHẨM'!$A$2:$G$500,2,FALSE),""))</x:f>
      </x:c>
      <x:c r="E386" s="36" t="str">
        <x:f>IF(C386="","",IFERROR(VLOOKUP(C386,'SẢN_PHẨM'!$A$2:$G$500,3,FALSE),""))</x:f>
      </x:c>
      <x:c r="F386" s="39"/>
      <x:c r="G386" s="34" t="str">
        <x:f>IF(C386="","",IFERROR(VLOOKUP(C386,'SẢN_PHẨM'!$A$2:$G$500,4,FALSE),""))</x:f>
      </x:c>
      <x:c r="H386" s="43"/>
      <x:c r="I386" s="38" t="str">
        <x:f>IF(C386="","",IFERROR(VLOOKUP(C386,'SẢN_PHẨM'!$A$2:$G$500,6,FALSE),""))</x:f>
      </x:c>
      <x:c r="J386" s="35" t="str">
        <x:f>IF(OR(F386="",G386=""),"",F386*G386)</x:f>
      </x:c>
      <x:c r="K386" s="35" t="str">
        <x:f>IF(J386="","",J386*H386)</x:f>
      </x:c>
      <x:c r="L386" s="35" t="str">
        <x:f>IF(J386="","",J386-K386)</x:f>
      </x:c>
      <x:c r="M386" s="35" t="str">
        <x:f>IF(L386="","",L386*I386)</x:f>
      </x:c>
      <x:c r="N386" s="35" t="str">
        <x:f>IF(L386="","",L386+M386)</x:f>
      </x:c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36" t="str">
        <x:f>IF(C387="","",IFERROR(VLOOKUP(C387,'SẢN_PHẨM'!$A$2:$G$500,2,FALSE),""))</x:f>
      </x:c>
      <x:c r="E387" s="36" t="str">
        <x:f>IF(C387="","",IFERROR(VLOOKUP(C387,'SẢN_PHẨM'!$A$2:$G$500,3,FALSE),""))</x:f>
      </x:c>
      <x:c r="F387" s="39"/>
      <x:c r="G387" s="34" t="str">
        <x:f>IF(C387="","",IFERROR(VLOOKUP(C387,'SẢN_PHẨM'!$A$2:$G$500,4,FALSE),""))</x:f>
      </x:c>
      <x:c r="H387" s="43"/>
      <x:c r="I387" s="38" t="str">
        <x:f>IF(C387="","",IFERROR(VLOOKUP(C387,'SẢN_PHẨM'!$A$2:$G$500,6,FALSE),""))</x:f>
      </x:c>
      <x:c r="J387" s="35" t="str">
        <x:f>IF(OR(F387="",G387=""),"",F387*G387)</x:f>
      </x:c>
      <x:c r="K387" s="35" t="str">
        <x:f>IF(J387="","",J387*H387)</x:f>
      </x:c>
      <x:c r="L387" s="35" t="str">
        <x:f>IF(J387="","",J387-K387)</x:f>
      </x:c>
      <x:c r="M387" s="35" t="str">
        <x:f>IF(L387="","",L387*I387)</x:f>
      </x:c>
      <x:c r="N387" s="35" t="str">
        <x:f>IF(L387="","",L387+M387)</x:f>
      </x:c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36" t="str">
        <x:f>IF(C388="","",IFERROR(VLOOKUP(C388,'SẢN_PHẨM'!$A$2:$G$500,2,FALSE),""))</x:f>
      </x:c>
      <x:c r="E388" s="36" t="str">
        <x:f>IF(C388="","",IFERROR(VLOOKUP(C388,'SẢN_PHẨM'!$A$2:$G$500,3,FALSE),""))</x:f>
      </x:c>
      <x:c r="F388" s="39"/>
      <x:c r="G388" s="34" t="str">
        <x:f>IF(C388="","",IFERROR(VLOOKUP(C388,'SẢN_PHẨM'!$A$2:$G$500,4,FALSE),""))</x:f>
      </x:c>
      <x:c r="H388" s="43"/>
      <x:c r="I388" s="38" t="str">
        <x:f>IF(C388="","",IFERROR(VLOOKUP(C388,'SẢN_PHẨM'!$A$2:$G$500,6,FALSE),""))</x:f>
      </x:c>
      <x:c r="J388" s="35" t="str">
        <x:f>IF(OR(F388="",G388=""),"",F388*G388)</x:f>
      </x:c>
      <x:c r="K388" s="35" t="str">
        <x:f>IF(J388="","",J388*H388)</x:f>
      </x:c>
      <x:c r="L388" s="35" t="str">
        <x:f>IF(J388="","",J388-K388)</x:f>
      </x:c>
      <x:c r="M388" s="35" t="str">
        <x:f>IF(L388="","",L388*I388)</x:f>
      </x:c>
      <x:c r="N388" s="35" t="str">
        <x:f>IF(L388="","",L388+M388)</x:f>
      </x:c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36" t="str">
        <x:f>IF(C389="","",IFERROR(VLOOKUP(C389,'SẢN_PHẨM'!$A$2:$G$500,2,FALSE),""))</x:f>
      </x:c>
      <x:c r="E389" s="36" t="str">
        <x:f>IF(C389="","",IFERROR(VLOOKUP(C389,'SẢN_PHẨM'!$A$2:$G$500,3,FALSE),""))</x:f>
      </x:c>
      <x:c r="F389" s="39"/>
      <x:c r="G389" s="34" t="str">
        <x:f>IF(C389="","",IFERROR(VLOOKUP(C389,'SẢN_PHẨM'!$A$2:$G$500,4,FALSE),""))</x:f>
      </x:c>
      <x:c r="H389" s="43"/>
      <x:c r="I389" s="38" t="str">
        <x:f>IF(C389="","",IFERROR(VLOOKUP(C389,'SẢN_PHẨM'!$A$2:$G$500,6,FALSE),""))</x:f>
      </x:c>
      <x:c r="J389" s="35" t="str">
        <x:f>IF(OR(F389="",G389=""),"",F389*G389)</x:f>
      </x:c>
      <x:c r="K389" s="35" t="str">
        <x:f>IF(J389="","",J389*H389)</x:f>
      </x:c>
      <x:c r="L389" s="35" t="str">
        <x:f>IF(J389="","",J389-K389)</x:f>
      </x:c>
      <x:c r="M389" s="35" t="str">
        <x:f>IF(L389="","",L389*I389)</x:f>
      </x:c>
      <x:c r="N389" s="35" t="str">
        <x:f>IF(L389="","",L389+M389)</x:f>
      </x:c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36" t="str">
        <x:f>IF(C390="","",IFERROR(VLOOKUP(C390,'SẢN_PHẨM'!$A$2:$G$500,2,FALSE),""))</x:f>
      </x:c>
      <x:c r="E390" s="36" t="str">
        <x:f>IF(C390="","",IFERROR(VLOOKUP(C390,'SẢN_PHẨM'!$A$2:$G$500,3,FALSE),""))</x:f>
      </x:c>
      <x:c r="F390" s="39"/>
      <x:c r="G390" s="34" t="str">
        <x:f>IF(C390="","",IFERROR(VLOOKUP(C390,'SẢN_PHẨM'!$A$2:$G$500,4,FALSE),""))</x:f>
      </x:c>
      <x:c r="H390" s="43"/>
      <x:c r="I390" s="38" t="str">
        <x:f>IF(C390="","",IFERROR(VLOOKUP(C390,'SẢN_PHẨM'!$A$2:$G$500,6,FALSE),""))</x:f>
      </x:c>
      <x:c r="J390" s="35" t="str">
        <x:f>IF(OR(F390="",G390=""),"",F390*G390)</x:f>
      </x:c>
      <x:c r="K390" s="35" t="str">
        <x:f>IF(J390="","",J390*H390)</x:f>
      </x:c>
      <x:c r="L390" s="35" t="str">
        <x:f>IF(J390="","",J390-K390)</x:f>
      </x:c>
      <x:c r="M390" s="35" t="str">
        <x:f>IF(L390="","",L390*I390)</x:f>
      </x:c>
      <x:c r="N390" s="35" t="str">
        <x:f>IF(L390="","",L390+M390)</x:f>
      </x:c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36" t="str">
        <x:f>IF(C391="","",IFERROR(VLOOKUP(C391,'SẢN_PHẨM'!$A$2:$G$500,2,FALSE),""))</x:f>
      </x:c>
      <x:c r="E391" s="36" t="str">
        <x:f>IF(C391="","",IFERROR(VLOOKUP(C391,'SẢN_PHẨM'!$A$2:$G$500,3,FALSE),""))</x:f>
      </x:c>
      <x:c r="F391" s="39"/>
      <x:c r="G391" s="34" t="str">
        <x:f>IF(C391="","",IFERROR(VLOOKUP(C391,'SẢN_PHẨM'!$A$2:$G$500,4,FALSE),""))</x:f>
      </x:c>
      <x:c r="H391" s="43"/>
      <x:c r="I391" s="38" t="str">
        <x:f>IF(C391="","",IFERROR(VLOOKUP(C391,'SẢN_PHẨM'!$A$2:$G$500,6,FALSE),""))</x:f>
      </x:c>
      <x:c r="J391" s="35" t="str">
        <x:f>IF(OR(F391="",G391=""),"",F391*G391)</x:f>
      </x:c>
      <x:c r="K391" s="35" t="str">
        <x:f>IF(J391="","",J391*H391)</x:f>
      </x:c>
      <x:c r="L391" s="35" t="str">
        <x:f>IF(J391="","",J391-K391)</x:f>
      </x:c>
      <x:c r="M391" s="35" t="str">
        <x:f>IF(L391="","",L391*I391)</x:f>
      </x:c>
      <x:c r="N391" s="35" t="str">
        <x:f>IF(L391="","",L391+M391)</x:f>
      </x:c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36" t="str">
        <x:f>IF(C392="","",IFERROR(VLOOKUP(C392,'SẢN_PHẨM'!$A$2:$G$500,2,FALSE),""))</x:f>
      </x:c>
      <x:c r="E392" s="36" t="str">
        <x:f>IF(C392="","",IFERROR(VLOOKUP(C392,'SẢN_PHẨM'!$A$2:$G$500,3,FALSE),""))</x:f>
      </x:c>
      <x:c r="F392" s="39"/>
      <x:c r="G392" s="34" t="str">
        <x:f>IF(C392="","",IFERROR(VLOOKUP(C392,'SẢN_PHẨM'!$A$2:$G$500,4,FALSE),""))</x:f>
      </x:c>
      <x:c r="H392" s="43"/>
      <x:c r="I392" s="38" t="str">
        <x:f>IF(C392="","",IFERROR(VLOOKUP(C392,'SẢN_PHẨM'!$A$2:$G$500,6,FALSE),""))</x:f>
      </x:c>
      <x:c r="J392" s="35" t="str">
        <x:f>IF(OR(F392="",G392=""),"",F392*G392)</x:f>
      </x:c>
      <x:c r="K392" s="35" t="str">
        <x:f>IF(J392="","",J392*H392)</x:f>
      </x:c>
      <x:c r="L392" s="35" t="str">
        <x:f>IF(J392="","",J392-K392)</x:f>
      </x:c>
      <x:c r="M392" s="35" t="str">
        <x:f>IF(L392="","",L392*I392)</x:f>
      </x:c>
      <x:c r="N392" s="35" t="str">
        <x:f>IF(L392="","",L392+M392)</x:f>
      </x:c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36" t="str">
        <x:f>IF(C393="","",IFERROR(VLOOKUP(C393,'SẢN_PHẨM'!$A$2:$G$500,2,FALSE),""))</x:f>
      </x:c>
      <x:c r="E393" s="36" t="str">
        <x:f>IF(C393="","",IFERROR(VLOOKUP(C393,'SẢN_PHẨM'!$A$2:$G$500,3,FALSE),""))</x:f>
      </x:c>
      <x:c r="F393" s="39"/>
      <x:c r="G393" s="34" t="str">
        <x:f>IF(C393="","",IFERROR(VLOOKUP(C393,'SẢN_PHẨM'!$A$2:$G$500,4,FALSE),""))</x:f>
      </x:c>
      <x:c r="H393" s="43"/>
      <x:c r="I393" s="38" t="str">
        <x:f>IF(C393="","",IFERROR(VLOOKUP(C393,'SẢN_PHẨM'!$A$2:$G$500,6,FALSE),""))</x:f>
      </x:c>
      <x:c r="J393" s="35" t="str">
        <x:f>IF(OR(F393="",G393=""),"",F393*G393)</x:f>
      </x:c>
      <x:c r="K393" s="35" t="str">
        <x:f>IF(J393="","",J393*H393)</x:f>
      </x:c>
      <x:c r="L393" s="35" t="str">
        <x:f>IF(J393="","",J393-K393)</x:f>
      </x:c>
      <x:c r="M393" s="35" t="str">
        <x:f>IF(L393="","",L393*I393)</x:f>
      </x:c>
      <x:c r="N393" s="35" t="str">
        <x:f>IF(L393="","",L393+M393)</x:f>
      </x:c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36" t="str">
        <x:f>IF(C394="","",IFERROR(VLOOKUP(C394,'SẢN_PHẨM'!$A$2:$G$500,2,FALSE),""))</x:f>
      </x:c>
      <x:c r="E394" s="36" t="str">
        <x:f>IF(C394="","",IFERROR(VLOOKUP(C394,'SẢN_PHẨM'!$A$2:$G$500,3,FALSE),""))</x:f>
      </x:c>
      <x:c r="F394" s="39"/>
      <x:c r="G394" s="34" t="str">
        <x:f>IF(C394="","",IFERROR(VLOOKUP(C394,'SẢN_PHẨM'!$A$2:$G$500,4,FALSE),""))</x:f>
      </x:c>
      <x:c r="H394" s="43"/>
      <x:c r="I394" s="38" t="str">
        <x:f>IF(C394="","",IFERROR(VLOOKUP(C394,'SẢN_PHẨM'!$A$2:$G$500,6,FALSE),""))</x:f>
      </x:c>
      <x:c r="J394" s="35" t="str">
        <x:f>IF(OR(F394="",G394=""),"",F394*G394)</x:f>
      </x:c>
      <x:c r="K394" s="35" t="str">
        <x:f>IF(J394="","",J394*H394)</x:f>
      </x:c>
      <x:c r="L394" s="35" t="str">
        <x:f>IF(J394="","",J394-K394)</x:f>
      </x:c>
      <x:c r="M394" s="35" t="str">
        <x:f>IF(L394="","",L394*I394)</x:f>
      </x:c>
      <x:c r="N394" s="35" t="str">
        <x:f>IF(L394="","",L394+M394)</x:f>
      </x:c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36" t="str">
        <x:f>IF(C395="","",IFERROR(VLOOKUP(C395,'SẢN_PHẨM'!$A$2:$G$500,2,FALSE),""))</x:f>
      </x:c>
      <x:c r="E395" s="36" t="str">
        <x:f>IF(C395="","",IFERROR(VLOOKUP(C395,'SẢN_PHẨM'!$A$2:$G$500,3,FALSE),""))</x:f>
      </x:c>
      <x:c r="F395" s="39"/>
      <x:c r="G395" s="34" t="str">
        <x:f>IF(C395="","",IFERROR(VLOOKUP(C395,'SẢN_PHẨM'!$A$2:$G$500,4,FALSE),""))</x:f>
      </x:c>
      <x:c r="H395" s="43"/>
      <x:c r="I395" s="38" t="str">
        <x:f>IF(C395="","",IFERROR(VLOOKUP(C395,'SẢN_PHẨM'!$A$2:$G$500,6,FALSE),""))</x:f>
      </x:c>
      <x:c r="J395" s="35" t="str">
        <x:f>IF(OR(F395="",G395=""),"",F395*G395)</x:f>
      </x:c>
      <x:c r="K395" s="35" t="str">
        <x:f>IF(J395="","",J395*H395)</x:f>
      </x:c>
      <x:c r="L395" s="35" t="str">
        <x:f>IF(J395="","",J395-K395)</x:f>
      </x:c>
      <x:c r="M395" s="35" t="str">
        <x:f>IF(L395="","",L395*I395)</x:f>
      </x:c>
      <x:c r="N395" s="35" t="str">
        <x:f>IF(L395="","",L395+M395)</x:f>
      </x:c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36" t="str">
        <x:f>IF(C396="","",IFERROR(VLOOKUP(C396,'SẢN_PHẨM'!$A$2:$G$500,2,FALSE),""))</x:f>
      </x:c>
      <x:c r="E396" s="36" t="str">
        <x:f>IF(C396="","",IFERROR(VLOOKUP(C396,'SẢN_PHẨM'!$A$2:$G$500,3,FALSE),""))</x:f>
      </x:c>
      <x:c r="F396" s="39"/>
      <x:c r="G396" s="34" t="str">
        <x:f>IF(C396="","",IFERROR(VLOOKUP(C396,'SẢN_PHẨM'!$A$2:$G$500,4,FALSE),""))</x:f>
      </x:c>
      <x:c r="H396" s="43"/>
      <x:c r="I396" s="38" t="str">
        <x:f>IF(C396="","",IFERROR(VLOOKUP(C396,'SẢN_PHẨM'!$A$2:$G$500,6,FALSE),""))</x:f>
      </x:c>
      <x:c r="J396" s="35" t="str">
        <x:f>IF(OR(F396="",G396=""),"",F396*G396)</x:f>
      </x:c>
      <x:c r="K396" s="35" t="str">
        <x:f>IF(J396="","",J396*H396)</x:f>
      </x:c>
      <x:c r="L396" s="35" t="str">
        <x:f>IF(J396="","",J396-K396)</x:f>
      </x:c>
      <x:c r="M396" s="35" t="str">
        <x:f>IF(L396="","",L396*I396)</x:f>
      </x:c>
      <x:c r="N396" s="35" t="str">
        <x:f>IF(L396="","",L396+M396)</x:f>
      </x:c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36" t="str">
        <x:f>IF(C397="","",IFERROR(VLOOKUP(C397,'SẢN_PHẨM'!$A$2:$G$500,2,FALSE),""))</x:f>
      </x:c>
      <x:c r="E397" s="36" t="str">
        <x:f>IF(C397="","",IFERROR(VLOOKUP(C397,'SẢN_PHẨM'!$A$2:$G$500,3,FALSE),""))</x:f>
      </x:c>
      <x:c r="F397" s="39"/>
      <x:c r="G397" s="34" t="str">
        <x:f>IF(C397="","",IFERROR(VLOOKUP(C397,'SẢN_PHẨM'!$A$2:$G$500,4,FALSE),""))</x:f>
      </x:c>
      <x:c r="H397" s="43"/>
      <x:c r="I397" s="38" t="str">
        <x:f>IF(C397="","",IFERROR(VLOOKUP(C397,'SẢN_PHẨM'!$A$2:$G$500,6,FALSE),""))</x:f>
      </x:c>
      <x:c r="J397" s="35" t="str">
        <x:f>IF(OR(F397="",G397=""),"",F397*G397)</x:f>
      </x:c>
      <x:c r="K397" s="35" t="str">
        <x:f>IF(J397="","",J397*H397)</x:f>
      </x:c>
      <x:c r="L397" s="35" t="str">
        <x:f>IF(J397="","",J397-K397)</x:f>
      </x:c>
      <x:c r="M397" s="35" t="str">
        <x:f>IF(L397="","",L397*I397)</x:f>
      </x:c>
      <x:c r="N397" s="35" t="str">
        <x:f>IF(L397="","",L397+M397)</x:f>
      </x:c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36" t="str">
        <x:f>IF(C398="","",IFERROR(VLOOKUP(C398,'SẢN_PHẨM'!$A$2:$G$500,2,FALSE),""))</x:f>
      </x:c>
      <x:c r="E398" s="36" t="str">
        <x:f>IF(C398="","",IFERROR(VLOOKUP(C398,'SẢN_PHẨM'!$A$2:$G$500,3,FALSE),""))</x:f>
      </x:c>
      <x:c r="F398" s="39"/>
      <x:c r="G398" s="34" t="str">
        <x:f>IF(C398="","",IFERROR(VLOOKUP(C398,'SẢN_PHẨM'!$A$2:$G$500,4,FALSE),""))</x:f>
      </x:c>
      <x:c r="H398" s="43"/>
      <x:c r="I398" s="38" t="str">
        <x:f>IF(C398="","",IFERROR(VLOOKUP(C398,'SẢN_PHẨM'!$A$2:$G$500,6,FALSE),""))</x:f>
      </x:c>
      <x:c r="J398" s="35" t="str">
        <x:f>IF(OR(F398="",G398=""),"",F398*G398)</x:f>
      </x:c>
      <x:c r="K398" s="35" t="str">
        <x:f>IF(J398="","",J398*H398)</x:f>
      </x:c>
      <x:c r="L398" s="35" t="str">
        <x:f>IF(J398="","",J398-K398)</x:f>
      </x:c>
      <x:c r="M398" s="35" t="str">
        <x:f>IF(L398="","",L398*I398)</x:f>
      </x:c>
      <x:c r="N398" s="35" t="str">
        <x:f>IF(L398="","",L398+M398)</x:f>
      </x:c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36" t="str">
        <x:f>IF(C399="","",IFERROR(VLOOKUP(C399,'SẢN_PHẨM'!$A$2:$G$500,2,FALSE),""))</x:f>
      </x:c>
      <x:c r="E399" s="36" t="str">
        <x:f>IF(C399="","",IFERROR(VLOOKUP(C399,'SẢN_PHẨM'!$A$2:$G$500,3,FALSE),""))</x:f>
      </x:c>
      <x:c r="F399" s="39"/>
      <x:c r="G399" s="34" t="str">
        <x:f>IF(C399="","",IFERROR(VLOOKUP(C399,'SẢN_PHẨM'!$A$2:$G$500,4,FALSE),""))</x:f>
      </x:c>
      <x:c r="H399" s="43"/>
      <x:c r="I399" s="38" t="str">
        <x:f>IF(C399="","",IFERROR(VLOOKUP(C399,'SẢN_PHẨM'!$A$2:$G$500,6,FALSE),""))</x:f>
      </x:c>
      <x:c r="J399" s="35" t="str">
        <x:f>IF(OR(F399="",G399=""),"",F399*G399)</x:f>
      </x:c>
      <x:c r="K399" s="35" t="str">
        <x:f>IF(J399="","",J399*H399)</x:f>
      </x:c>
      <x:c r="L399" s="35" t="str">
        <x:f>IF(J399="","",J399-K399)</x:f>
      </x:c>
      <x:c r="M399" s="35" t="str">
        <x:f>IF(L399="","",L399*I399)</x:f>
      </x:c>
      <x:c r="N399" s="35" t="str">
        <x:f>IF(L399="","",L399+M399)</x:f>
      </x:c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36" t="str">
        <x:f>IF(C400="","",IFERROR(VLOOKUP(C400,'SẢN_PHẨM'!$A$2:$G$500,2,FALSE),""))</x:f>
      </x:c>
      <x:c r="E400" s="36" t="str">
        <x:f>IF(C400="","",IFERROR(VLOOKUP(C400,'SẢN_PHẨM'!$A$2:$G$500,3,FALSE),""))</x:f>
      </x:c>
      <x:c r="F400" s="39"/>
      <x:c r="G400" s="34" t="str">
        <x:f>IF(C400="","",IFERROR(VLOOKUP(C400,'SẢN_PHẨM'!$A$2:$G$500,4,FALSE),""))</x:f>
      </x:c>
      <x:c r="H400" s="43"/>
      <x:c r="I400" s="38" t="str">
        <x:f>IF(C400="","",IFERROR(VLOOKUP(C400,'SẢN_PHẨM'!$A$2:$G$500,6,FALSE),""))</x:f>
      </x:c>
      <x:c r="J400" s="35" t="str">
        <x:f>IF(OR(F400="",G400=""),"",F400*G400)</x:f>
      </x:c>
      <x:c r="K400" s="35" t="str">
        <x:f>IF(J400="","",J400*H400)</x:f>
      </x:c>
      <x:c r="L400" s="35" t="str">
        <x:f>IF(J400="","",J400-K400)</x:f>
      </x:c>
      <x:c r="M400" s="35" t="str">
        <x:f>IF(L400="","",L400*I400)</x:f>
      </x:c>
      <x:c r="N400" s="35" t="str">
        <x:f>IF(L400="","",L400+M400)</x:f>
      </x:c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36" t="str">
        <x:f>IF(C401="","",IFERROR(VLOOKUP(C401,'SẢN_PHẨM'!$A$2:$G$500,2,FALSE),""))</x:f>
      </x:c>
      <x:c r="E401" s="36" t="str">
        <x:f>IF(C401="","",IFERROR(VLOOKUP(C401,'SẢN_PHẨM'!$A$2:$G$500,3,FALSE),""))</x:f>
      </x:c>
      <x:c r="F401" s="39"/>
      <x:c r="G401" s="34" t="str">
        <x:f>IF(C401="","",IFERROR(VLOOKUP(C401,'SẢN_PHẨM'!$A$2:$G$500,4,FALSE),""))</x:f>
      </x:c>
      <x:c r="H401" s="43"/>
      <x:c r="I401" s="38" t="str">
        <x:f>IF(C401="","",IFERROR(VLOOKUP(C401,'SẢN_PHẨM'!$A$2:$G$500,6,FALSE),""))</x:f>
      </x:c>
      <x:c r="J401" s="35" t="str">
        <x:f>IF(OR(F401="",G401=""),"",F401*G401)</x:f>
      </x:c>
      <x:c r="K401" s="35" t="str">
        <x:f>IF(J401="","",J401*H401)</x:f>
      </x:c>
      <x:c r="L401" s="35" t="str">
        <x:f>IF(J401="","",J401-K401)</x:f>
      </x:c>
      <x:c r="M401" s="35" t="str">
        <x:f>IF(L401="","",L401*I401)</x:f>
      </x:c>
      <x:c r="N401" s="35" t="str">
        <x:f>IF(L401="","",L401+M401)</x:f>
      </x:c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36" t="str">
        <x:f>IF(C402="","",IFERROR(VLOOKUP(C402,'SẢN_PHẨM'!$A$2:$G$500,2,FALSE),""))</x:f>
      </x:c>
      <x:c r="E402" s="36" t="str">
        <x:f>IF(C402="","",IFERROR(VLOOKUP(C402,'SẢN_PHẨM'!$A$2:$G$500,3,FALSE),""))</x:f>
      </x:c>
      <x:c r="F402" s="39"/>
      <x:c r="G402" s="34" t="str">
        <x:f>IF(C402="","",IFERROR(VLOOKUP(C402,'SẢN_PHẨM'!$A$2:$G$500,4,FALSE),""))</x:f>
      </x:c>
      <x:c r="H402" s="43"/>
      <x:c r="I402" s="38" t="str">
        <x:f>IF(C402="","",IFERROR(VLOOKUP(C402,'SẢN_PHẨM'!$A$2:$G$500,6,FALSE),""))</x:f>
      </x:c>
      <x:c r="J402" s="35" t="str">
        <x:f>IF(OR(F402="",G402=""),"",F402*G402)</x:f>
      </x:c>
      <x:c r="K402" s="35" t="str">
        <x:f>IF(J402="","",J402*H402)</x:f>
      </x:c>
      <x:c r="L402" s="35" t="str">
        <x:f>IF(J402="","",J402-K402)</x:f>
      </x:c>
      <x:c r="M402" s="35" t="str">
        <x:f>IF(L402="","",L402*I402)</x:f>
      </x:c>
      <x:c r="N402" s="35" t="str">
        <x:f>IF(L402="","",L402+M402)</x:f>
      </x:c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36" t="str">
        <x:f>IF(C403="","",IFERROR(VLOOKUP(C403,'SẢN_PHẨM'!$A$2:$G$500,2,FALSE),""))</x:f>
      </x:c>
      <x:c r="E403" s="36" t="str">
        <x:f>IF(C403="","",IFERROR(VLOOKUP(C403,'SẢN_PHẨM'!$A$2:$G$500,3,FALSE),""))</x:f>
      </x:c>
      <x:c r="F403" s="39"/>
      <x:c r="G403" s="34" t="str">
        <x:f>IF(C403="","",IFERROR(VLOOKUP(C403,'SẢN_PHẨM'!$A$2:$G$500,4,FALSE),""))</x:f>
      </x:c>
      <x:c r="H403" s="43"/>
      <x:c r="I403" s="38" t="str">
        <x:f>IF(C403="","",IFERROR(VLOOKUP(C403,'SẢN_PHẨM'!$A$2:$G$500,6,FALSE),""))</x:f>
      </x:c>
      <x:c r="J403" s="35" t="str">
        <x:f>IF(OR(F403="",G403=""),"",F403*G403)</x:f>
      </x:c>
      <x:c r="K403" s="35" t="str">
        <x:f>IF(J403="","",J403*H403)</x:f>
      </x:c>
      <x:c r="L403" s="35" t="str">
        <x:f>IF(J403="","",J403-K403)</x:f>
      </x:c>
      <x:c r="M403" s="35" t="str">
        <x:f>IF(L403="","",L403*I403)</x:f>
      </x:c>
      <x:c r="N403" s="35" t="str">
        <x:f>IF(L403="","",L403+M403)</x:f>
      </x:c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36" t="str">
        <x:f>IF(C404="","",IFERROR(VLOOKUP(C404,'SẢN_PHẨM'!$A$2:$G$500,2,FALSE),""))</x:f>
      </x:c>
      <x:c r="E404" s="36" t="str">
        <x:f>IF(C404="","",IFERROR(VLOOKUP(C404,'SẢN_PHẨM'!$A$2:$G$500,3,FALSE),""))</x:f>
      </x:c>
      <x:c r="F404" s="39"/>
      <x:c r="G404" s="34" t="str">
        <x:f>IF(C404="","",IFERROR(VLOOKUP(C404,'SẢN_PHẨM'!$A$2:$G$500,4,FALSE),""))</x:f>
      </x:c>
      <x:c r="H404" s="43"/>
      <x:c r="I404" s="38" t="str">
        <x:f>IF(C404="","",IFERROR(VLOOKUP(C404,'SẢN_PHẨM'!$A$2:$G$500,6,FALSE),""))</x:f>
      </x:c>
      <x:c r="J404" s="35" t="str">
        <x:f>IF(OR(F404="",G404=""),"",F404*G404)</x:f>
      </x:c>
      <x:c r="K404" s="35" t="str">
        <x:f>IF(J404="","",J404*H404)</x:f>
      </x:c>
      <x:c r="L404" s="35" t="str">
        <x:f>IF(J404="","",J404-K404)</x:f>
      </x:c>
      <x:c r="M404" s="35" t="str">
        <x:f>IF(L404="","",L404*I404)</x:f>
      </x:c>
      <x:c r="N404" s="35" t="str">
        <x:f>IF(L404="","",L404+M404)</x:f>
      </x:c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36" t="str">
        <x:f>IF(C405="","",IFERROR(VLOOKUP(C405,'SẢN_PHẨM'!$A$2:$G$500,2,FALSE),""))</x:f>
      </x:c>
      <x:c r="E405" s="36" t="str">
        <x:f>IF(C405="","",IFERROR(VLOOKUP(C405,'SẢN_PHẨM'!$A$2:$G$500,3,FALSE),""))</x:f>
      </x:c>
      <x:c r="F405" s="39"/>
      <x:c r="G405" s="34" t="str">
        <x:f>IF(C405="","",IFERROR(VLOOKUP(C405,'SẢN_PHẨM'!$A$2:$G$500,4,FALSE),""))</x:f>
      </x:c>
      <x:c r="H405" s="43"/>
      <x:c r="I405" s="38" t="str">
        <x:f>IF(C405="","",IFERROR(VLOOKUP(C405,'SẢN_PHẨM'!$A$2:$G$500,6,FALSE),""))</x:f>
      </x:c>
      <x:c r="J405" s="35" t="str">
        <x:f>IF(OR(F405="",G405=""),"",F405*G405)</x:f>
      </x:c>
      <x:c r="K405" s="35" t="str">
        <x:f>IF(J405="","",J405*H405)</x:f>
      </x:c>
      <x:c r="L405" s="35" t="str">
        <x:f>IF(J405="","",J405-K405)</x:f>
      </x:c>
      <x:c r="M405" s="35" t="str">
        <x:f>IF(L405="","",L405*I405)</x:f>
      </x:c>
      <x:c r="N405" s="35" t="str">
        <x:f>IF(L405="","",L405+M405)</x:f>
      </x:c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36" t="str">
        <x:f>IF(C406="","",IFERROR(VLOOKUP(C406,'SẢN_PHẨM'!$A$2:$G$500,2,FALSE),""))</x:f>
      </x:c>
      <x:c r="E406" s="36" t="str">
        <x:f>IF(C406="","",IFERROR(VLOOKUP(C406,'SẢN_PHẨM'!$A$2:$G$500,3,FALSE),""))</x:f>
      </x:c>
      <x:c r="F406" s="39"/>
      <x:c r="G406" s="34" t="str">
        <x:f>IF(C406="","",IFERROR(VLOOKUP(C406,'SẢN_PHẨM'!$A$2:$G$500,4,FALSE),""))</x:f>
      </x:c>
      <x:c r="H406" s="43"/>
      <x:c r="I406" s="38" t="str">
        <x:f>IF(C406="","",IFERROR(VLOOKUP(C406,'SẢN_PHẨM'!$A$2:$G$500,6,FALSE),""))</x:f>
      </x:c>
      <x:c r="J406" s="35" t="str">
        <x:f>IF(OR(F406="",G406=""),"",F406*G406)</x:f>
      </x:c>
      <x:c r="K406" s="35" t="str">
        <x:f>IF(J406="","",J406*H406)</x:f>
      </x:c>
      <x:c r="L406" s="35" t="str">
        <x:f>IF(J406="","",J406-K406)</x:f>
      </x:c>
      <x:c r="M406" s="35" t="str">
        <x:f>IF(L406="","",L406*I406)</x:f>
      </x:c>
      <x:c r="N406" s="35" t="str">
        <x:f>IF(L406="","",L406+M406)</x:f>
      </x:c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36" t="str">
        <x:f>IF(C407="","",IFERROR(VLOOKUP(C407,'SẢN_PHẨM'!$A$2:$G$500,2,FALSE),""))</x:f>
      </x:c>
      <x:c r="E407" s="36" t="str">
        <x:f>IF(C407="","",IFERROR(VLOOKUP(C407,'SẢN_PHẨM'!$A$2:$G$500,3,FALSE),""))</x:f>
      </x:c>
      <x:c r="F407" s="39"/>
      <x:c r="G407" s="34" t="str">
        <x:f>IF(C407="","",IFERROR(VLOOKUP(C407,'SẢN_PHẨM'!$A$2:$G$500,4,FALSE),""))</x:f>
      </x:c>
      <x:c r="H407" s="43"/>
      <x:c r="I407" s="38" t="str">
        <x:f>IF(C407="","",IFERROR(VLOOKUP(C407,'SẢN_PHẨM'!$A$2:$G$500,6,FALSE),""))</x:f>
      </x:c>
      <x:c r="J407" s="35" t="str">
        <x:f>IF(OR(F407="",G407=""),"",F407*G407)</x:f>
      </x:c>
      <x:c r="K407" s="35" t="str">
        <x:f>IF(J407="","",J407*H407)</x:f>
      </x:c>
      <x:c r="L407" s="35" t="str">
        <x:f>IF(J407="","",J407-K407)</x:f>
      </x:c>
      <x:c r="M407" s="35" t="str">
        <x:f>IF(L407="","",L407*I407)</x:f>
      </x:c>
      <x:c r="N407" s="35" t="str">
        <x:f>IF(L407="","",L407+M407)</x:f>
      </x:c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36" t="str">
        <x:f>IF(C408="","",IFERROR(VLOOKUP(C408,'SẢN_PHẨM'!$A$2:$G$500,2,FALSE),""))</x:f>
      </x:c>
      <x:c r="E408" s="36" t="str">
        <x:f>IF(C408="","",IFERROR(VLOOKUP(C408,'SẢN_PHẨM'!$A$2:$G$500,3,FALSE),""))</x:f>
      </x:c>
      <x:c r="F408" s="39"/>
      <x:c r="G408" s="34" t="str">
        <x:f>IF(C408="","",IFERROR(VLOOKUP(C408,'SẢN_PHẨM'!$A$2:$G$500,4,FALSE),""))</x:f>
      </x:c>
      <x:c r="H408" s="43"/>
      <x:c r="I408" s="38" t="str">
        <x:f>IF(C408="","",IFERROR(VLOOKUP(C408,'SẢN_PHẨM'!$A$2:$G$500,6,FALSE),""))</x:f>
      </x:c>
      <x:c r="J408" s="35" t="str">
        <x:f>IF(OR(F408="",G408=""),"",F408*G408)</x:f>
      </x:c>
      <x:c r="K408" s="35" t="str">
        <x:f>IF(J408="","",J408*H408)</x:f>
      </x:c>
      <x:c r="L408" s="35" t="str">
        <x:f>IF(J408="","",J408-K408)</x:f>
      </x:c>
      <x:c r="M408" s="35" t="str">
        <x:f>IF(L408="","",L408*I408)</x:f>
      </x:c>
      <x:c r="N408" s="35" t="str">
        <x:f>IF(L408="","",L408+M408)</x:f>
      </x:c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36" t="str">
        <x:f>IF(C409="","",IFERROR(VLOOKUP(C409,'SẢN_PHẨM'!$A$2:$G$500,2,FALSE),""))</x:f>
      </x:c>
      <x:c r="E409" s="36" t="str">
        <x:f>IF(C409="","",IFERROR(VLOOKUP(C409,'SẢN_PHẨM'!$A$2:$G$500,3,FALSE),""))</x:f>
      </x:c>
      <x:c r="F409" s="39"/>
      <x:c r="G409" s="34" t="str">
        <x:f>IF(C409="","",IFERROR(VLOOKUP(C409,'SẢN_PHẨM'!$A$2:$G$500,4,FALSE),""))</x:f>
      </x:c>
      <x:c r="H409" s="43"/>
      <x:c r="I409" s="38" t="str">
        <x:f>IF(C409="","",IFERROR(VLOOKUP(C409,'SẢN_PHẨM'!$A$2:$G$500,6,FALSE),""))</x:f>
      </x:c>
      <x:c r="J409" s="35" t="str">
        <x:f>IF(OR(F409="",G409=""),"",F409*G409)</x:f>
      </x:c>
      <x:c r="K409" s="35" t="str">
        <x:f>IF(J409="","",J409*H409)</x:f>
      </x:c>
      <x:c r="L409" s="35" t="str">
        <x:f>IF(J409="","",J409-K409)</x:f>
      </x:c>
      <x:c r="M409" s="35" t="str">
        <x:f>IF(L409="","",L409*I409)</x:f>
      </x:c>
      <x:c r="N409" s="35" t="str">
        <x:f>IF(L409="","",L409+M409)</x:f>
      </x:c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36" t="str">
        <x:f>IF(C410="","",IFERROR(VLOOKUP(C410,'SẢN_PHẨM'!$A$2:$G$500,2,FALSE),""))</x:f>
      </x:c>
      <x:c r="E410" s="36" t="str">
        <x:f>IF(C410="","",IFERROR(VLOOKUP(C410,'SẢN_PHẨM'!$A$2:$G$500,3,FALSE),""))</x:f>
      </x:c>
      <x:c r="F410" s="39"/>
      <x:c r="G410" s="34" t="str">
        <x:f>IF(C410="","",IFERROR(VLOOKUP(C410,'SẢN_PHẨM'!$A$2:$G$500,4,FALSE),""))</x:f>
      </x:c>
      <x:c r="H410" s="43"/>
      <x:c r="I410" s="38" t="str">
        <x:f>IF(C410="","",IFERROR(VLOOKUP(C410,'SẢN_PHẨM'!$A$2:$G$500,6,FALSE),""))</x:f>
      </x:c>
      <x:c r="J410" s="35" t="str">
        <x:f>IF(OR(F410="",G410=""),"",F410*G410)</x:f>
      </x:c>
      <x:c r="K410" s="35" t="str">
        <x:f>IF(J410="","",J410*H410)</x:f>
      </x:c>
      <x:c r="L410" s="35" t="str">
        <x:f>IF(J410="","",J410-K410)</x:f>
      </x:c>
      <x:c r="M410" s="35" t="str">
        <x:f>IF(L410="","",L410*I410)</x:f>
      </x:c>
      <x:c r="N410" s="35" t="str">
        <x:f>IF(L410="","",L410+M410)</x:f>
      </x:c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36" t="str">
        <x:f>IF(C411="","",IFERROR(VLOOKUP(C411,'SẢN_PHẨM'!$A$2:$G$500,2,FALSE),""))</x:f>
      </x:c>
      <x:c r="E411" s="36" t="str">
        <x:f>IF(C411="","",IFERROR(VLOOKUP(C411,'SẢN_PHẨM'!$A$2:$G$500,3,FALSE),""))</x:f>
      </x:c>
      <x:c r="F411" s="39"/>
      <x:c r="G411" s="34" t="str">
        <x:f>IF(C411="","",IFERROR(VLOOKUP(C411,'SẢN_PHẨM'!$A$2:$G$500,4,FALSE),""))</x:f>
      </x:c>
      <x:c r="H411" s="43"/>
      <x:c r="I411" s="38" t="str">
        <x:f>IF(C411="","",IFERROR(VLOOKUP(C411,'SẢN_PHẨM'!$A$2:$G$500,6,FALSE),""))</x:f>
      </x:c>
      <x:c r="J411" s="35" t="str">
        <x:f>IF(OR(F411="",G411=""),"",F411*G411)</x:f>
      </x:c>
      <x:c r="K411" s="35" t="str">
        <x:f>IF(J411="","",J411*H411)</x:f>
      </x:c>
      <x:c r="L411" s="35" t="str">
        <x:f>IF(J411="","",J411-K411)</x:f>
      </x:c>
      <x:c r="M411" s="35" t="str">
        <x:f>IF(L411="","",L411*I411)</x:f>
      </x:c>
      <x:c r="N411" s="35" t="str">
        <x:f>IF(L411="","",L411+M411)</x:f>
      </x:c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36" t="str">
        <x:f>IF(C412="","",IFERROR(VLOOKUP(C412,'SẢN_PHẨM'!$A$2:$G$500,2,FALSE),""))</x:f>
      </x:c>
      <x:c r="E412" s="36" t="str">
        <x:f>IF(C412="","",IFERROR(VLOOKUP(C412,'SẢN_PHẨM'!$A$2:$G$500,3,FALSE),""))</x:f>
      </x:c>
      <x:c r="F412" s="39"/>
      <x:c r="G412" s="34" t="str">
        <x:f>IF(C412="","",IFERROR(VLOOKUP(C412,'SẢN_PHẨM'!$A$2:$G$500,4,FALSE),""))</x:f>
      </x:c>
      <x:c r="H412" s="43"/>
      <x:c r="I412" s="38" t="str">
        <x:f>IF(C412="","",IFERROR(VLOOKUP(C412,'SẢN_PHẨM'!$A$2:$G$500,6,FALSE),""))</x:f>
      </x:c>
      <x:c r="J412" s="35" t="str">
        <x:f>IF(OR(F412="",G412=""),"",F412*G412)</x:f>
      </x:c>
      <x:c r="K412" s="35" t="str">
        <x:f>IF(J412="","",J412*H412)</x:f>
      </x:c>
      <x:c r="L412" s="35" t="str">
        <x:f>IF(J412="","",J412-K412)</x:f>
      </x:c>
      <x:c r="M412" s="35" t="str">
        <x:f>IF(L412="","",L412*I412)</x:f>
      </x:c>
      <x:c r="N412" s="35" t="str">
        <x:f>IF(L412="","",L412+M412)</x:f>
      </x:c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36" t="str">
        <x:f>IF(C413="","",IFERROR(VLOOKUP(C413,'SẢN_PHẨM'!$A$2:$G$500,2,FALSE),""))</x:f>
      </x:c>
      <x:c r="E413" s="36" t="str">
        <x:f>IF(C413="","",IFERROR(VLOOKUP(C413,'SẢN_PHẨM'!$A$2:$G$500,3,FALSE),""))</x:f>
      </x:c>
      <x:c r="F413" s="39"/>
      <x:c r="G413" s="34" t="str">
        <x:f>IF(C413="","",IFERROR(VLOOKUP(C413,'SẢN_PHẨM'!$A$2:$G$500,4,FALSE),""))</x:f>
      </x:c>
      <x:c r="H413" s="43"/>
      <x:c r="I413" s="38" t="str">
        <x:f>IF(C413="","",IFERROR(VLOOKUP(C413,'SẢN_PHẨM'!$A$2:$G$500,6,FALSE),""))</x:f>
      </x:c>
      <x:c r="J413" s="35" t="str">
        <x:f>IF(OR(F413="",G413=""),"",F413*G413)</x:f>
      </x:c>
      <x:c r="K413" s="35" t="str">
        <x:f>IF(J413="","",J413*H413)</x:f>
      </x:c>
      <x:c r="L413" s="35" t="str">
        <x:f>IF(J413="","",J413-K413)</x:f>
      </x:c>
      <x:c r="M413" s="35" t="str">
        <x:f>IF(L413="","",L413*I413)</x:f>
      </x:c>
      <x:c r="N413" s="35" t="str">
        <x:f>IF(L413="","",L413+M413)</x:f>
      </x:c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36" t="str">
        <x:f>IF(C414="","",IFERROR(VLOOKUP(C414,'SẢN_PHẨM'!$A$2:$G$500,2,FALSE),""))</x:f>
      </x:c>
      <x:c r="E414" s="36" t="str">
        <x:f>IF(C414="","",IFERROR(VLOOKUP(C414,'SẢN_PHẨM'!$A$2:$G$500,3,FALSE),""))</x:f>
      </x:c>
      <x:c r="F414" s="39"/>
      <x:c r="G414" s="34" t="str">
        <x:f>IF(C414="","",IFERROR(VLOOKUP(C414,'SẢN_PHẨM'!$A$2:$G$500,4,FALSE),""))</x:f>
      </x:c>
      <x:c r="H414" s="43"/>
      <x:c r="I414" s="38" t="str">
        <x:f>IF(C414="","",IFERROR(VLOOKUP(C414,'SẢN_PHẨM'!$A$2:$G$500,6,FALSE),""))</x:f>
      </x:c>
      <x:c r="J414" s="35" t="str">
        <x:f>IF(OR(F414="",G414=""),"",F414*G414)</x:f>
      </x:c>
      <x:c r="K414" s="35" t="str">
        <x:f>IF(J414="","",J414*H414)</x:f>
      </x:c>
      <x:c r="L414" s="35" t="str">
        <x:f>IF(J414="","",J414-K414)</x:f>
      </x:c>
      <x:c r="M414" s="35" t="str">
        <x:f>IF(L414="","",L414*I414)</x:f>
      </x:c>
      <x:c r="N414" s="35" t="str">
        <x:f>IF(L414="","",L414+M414)</x:f>
      </x:c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36" t="str">
        <x:f>IF(C415="","",IFERROR(VLOOKUP(C415,'SẢN_PHẨM'!$A$2:$G$500,2,FALSE),""))</x:f>
      </x:c>
      <x:c r="E415" s="36" t="str">
        <x:f>IF(C415="","",IFERROR(VLOOKUP(C415,'SẢN_PHẨM'!$A$2:$G$500,3,FALSE),""))</x:f>
      </x:c>
      <x:c r="F415" s="39"/>
      <x:c r="G415" s="34" t="str">
        <x:f>IF(C415="","",IFERROR(VLOOKUP(C415,'SẢN_PHẨM'!$A$2:$G$500,4,FALSE),""))</x:f>
      </x:c>
      <x:c r="H415" s="43"/>
      <x:c r="I415" s="38" t="str">
        <x:f>IF(C415="","",IFERROR(VLOOKUP(C415,'SẢN_PHẨM'!$A$2:$G$500,6,FALSE),""))</x:f>
      </x:c>
      <x:c r="J415" s="35" t="str">
        <x:f>IF(OR(F415="",G415=""),"",F415*G415)</x:f>
      </x:c>
      <x:c r="K415" s="35" t="str">
        <x:f>IF(J415="","",J415*H415)</x:f>
      </x:c>
      <x:c r="L415" s="35" t="str">
        <x:f>IF(J415="","",J415-K415)</x:f>
      </x:c>
      <x:c r="M415" s="35" t="str">
        <x:f>IF(L415="","",L415*I415)</x:f>
      </x:c>
      <x:c r="N415" s="35" t="str">
        <x:f>IF(L415="","",L415+M415)</x:f>
      </x:c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36" t="str">
        <x:f>IF(C416="","",IFERROR(VLOOKUP(C416,'SẢN_PHẨM'!$A$2:$G$500,2,FALSE),""))</x:f>
      </x:c>
      <x:c r="E416" s="36" t="str">
        <x:f>IF(C416="","",IFERROR(VLOOKUP(C416,'SẢN_PHẨM'!$A$2:$G$500,3,FALSE),""))</x:f>
      </x:c>
      <x:c r="F416" s="39"/>
      <x:c r="G416" s="34" t="str">
        <x:f>IF(C416="","",IFERROR(VLOOKUP(C416,'SẢN_PHẨM'!$A$2:$G$500,4,FALSE),""))</x:f>
      </x:c>
      <x:c r="H416" s="43"/>
      <x:c r="I416" s="38" t="str">
        <x:f>IF(C416="","",IFERROR(VLOOKUP(C416,'SẢN_PHẨM'!$A$2:$G$500,6,FALSE),""))</x:f>
      </x:c>
      <x:c r="J416" s="35" t="str">
        <x:f>IF(OR(F416="",G416=""),"",F416*G416)</x:f>
      </x:c>
      <x:c r="K416" s="35" t="str">
        <x:f>IF(J416="","",J416*H416)</x:f>
      </x:c>
      <x:c r="L416" s="35" t="str">
        <x:f>IF(J416="","",J416-K416)</x:f>
      </x:c>
      <x:c r="M416" s="35" t="str">
        <x:f>IF(L416="","",L416*I416)</x:f>
      </x:c>
      <x:c r="N416" s="35" t="str">
        <x:f>IF(L416="","",L416+M416)</x:f>
      </x:c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36" t="str">
        <x:f>IF(C417="","",IFERROR(VLOOKUP(C417,'SẢN_PHẨM'!$A$2:$G$500,2,FALSE),""))</x:f>
      </x:c>
      <x:c r="E417" s="36" t="str">
        <x:f>IF(C417="","",IFERROR(VLOOKUP(C417,'SẢN_PHẨM'!$A$2:$G$500,3,FALSE),""))</x:f>
      </x:c>
      <x:c r="F417" s="39"/>
      <x:c r="G417" s="34" t="str">
        <x:f>IF(C417="","",IFERROR(VLOOKUP(C417,'SẢN_PHẨM'!$A$2:$G$500,4,FALSE),""))</x:f>
      </x:c>
      <x:c r="H417" s="43"/>
      <x:c r="I417" s="38" t="str">
        <x:f>IF(C417="","",IFERROR(VLOOKUP(C417,'SẢN_PHẨM'!$A$2:$G$500,6,FALSE),""))</x:f>
      </x:c>
      <x:c r="J417" s="35" t="str">
        <x:f>IF(OR(F417="",G417=""),"",F417*G417)</x:f>
      </x:c>
      <x:c r="K417" s="35" t="str">
        <x:f>IF(J417="","",J417*H417)</x:f>
      </x:c>
      <x:c r="L417" s="35" t="str">
        <x:f>IF(J417="","",J417-K417)</x:f>
      </x:c>
      <x:c r="M417" s="35" t="str">
        <x:f>IF(L417="","",L417*I417)</x:f>
      </x:c>
      <x:c r="N417" s="35" t="str">
        <x:f>IF(L417="","",L417+M417)</x:f>
      </x:c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36" t="str">
        <x:f>IF(C418="","",IFERROR(VLOOKUP(C418,'SẢN_PHẨM'!$A$2:$G$500,2,FALSE),""))</x:f>
      </x:c>
      <x:c r="E418" s="36" t="str">
        <x:f>IF(C418="","",IFERROR(VLOOKUP(C418,'SẢN_PHẨM'!$A$2:$G$500,3,FALSE),""))</x:f>
      </x:c>
      <x:c r="F418" s="39"/>
      <x:c r="G418" s="34" t="str">
        <x:f>IF(C418="","",IFERROR(VLOOKUP(C418,'SẢN_PHẨM'!$A$2:$G$500,4,FALSE),""))</x:f>
      </x:c>
      <x:c r="H418" s="43"/>
      <x:c r="I418" s="38" t="str">
        <x:f>IF(C418="","",IFERROR(VLOOKUP(C418,'SẢN_PHẨM'!$A$2:$G$500,6,FALSE),""))</x:f>
      </x:c>
      <x:c r="J418" s="35" t="str">
        <x:f>IF(OR(F418="",G418=""),"",F418*G418)</x:f>
      </x:c>
      <x:c r="K418" s="35" t="str">
        <x:f>IF(J418="","",J418*H418)</x:f>
      </x:c>
      <x:c r="L418" s="35" t="str">
        <x:f>IF(J418="","",J418-K418)</x:f>
      </x:c>
      <x:c r="M418" s="35" t="str">
        <x:f>IF(L418="","",L418*I418)</x:f>
      </x:c>
      <x:c r="N418" s="35" t="str">
        <x:f>IF(L418="","",L418+M418)</x:f>
      </x:c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36" t="str">
        <x:f>IF(C419="","",IFERROR(VLOOKUP(C419,'SẢN_PHẨM'!$A$2:$G$500,2,FALSE),""))</x:f>
      </x:c>
      <x:c r="E419" s="36" t="str">
        <x:f>IF(C419="","",IFERROR(VLOOKUP(C419,'SẢN_PHẨM'!$A$2:$G$500,3,FALSE),""))</x:f>
      </x:c>
      <x:c r="F419" s="39"/>
      <x:c r="G419" s="34" t="str">
        <x:f>IF(C419="","",IFERROR(VLOOKUP(C419,'SẢN_PHẨM'!$A$2:$G$500,4,FALSE),""))</x:f>
      </x:c>
      <x:c r="H419" s="43"/>
      <x:c r="I419" s="38" t="str">
        <x:f>IF(C419="","",IFERROR(VLOOKUP(C419,'SẢN_PHẨM'!$A$2:$G$500,6,FALSE),""))</x:f>
      </x:c>
      <x:c r="J419" s="35" t="str">
        <x:f>IF(OR(F419="",G419=""),"",F419*G419)</x:f>
      </x:c>
      <x:c r="K419" s="35" t="str">
        <x:f>IF(J419="","",J419*H419)</x:f>
      </x:c>
      <x:c r="L419" s="35" t="str">
        <x:f>IF(J419="","",J419-K419)</x:f>
      </x:c>
      <x:c r="M419" s="35" t="str">
        <x:f>IF(L419="","",L419*I419)</x:f>
      </x:c>
      <x:c r="N419" s="35" t="str">
        <x:f>IF(L419="","",L419+M419)</x:f>
      </x:c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36" t="str">
        <x:f>IF(C420="","",IFERROR(VLOOKUP(C420,'SẢN_PHẨM'!$A$2:$G$500,2,FALSE),""))</x:f>
      </x:c>
      <x:c r="E420" s="36" t="str">
        <x:f>IF(C420="","",IFERROR(VLOOKUP(C420,'SẢN_PHẨM'!$A$2:$G$500,3,FALSE),""))</x:f>
      </x:c>
      <x:c r="F420" s="39"/>
      <x:c r="G420" s="34" t="str">
        <x:f>IF(C420="","",IFERROR(VLOOKUP(C420,'SẢN_PHẨM'!$A$2:$G$500,4,FALSE),""))</x:f>
      </x:c>
      <x:c r="H420" s="43"/>
      <x:c r="I420" s="38" t="str">
        <x:f>IF(C420="","",IFERROR(VLOOKUP(C420,'SẢN_PHẨM'!$A$2:$G$500,6,FALSE),""))</x:f>
      </x:c>
      <x:c r="J420" s="35" t="str">
        <x:f>IF(OR(F420="",G420=""),"",F420*G420)</x:f>
      </x:c>
      <x:c r="K420" s="35" t="str">
        <x:f>IF(J420="","",J420*H420)</x:f>
      </x:c>
      <x:c r="L420" s="35" t="str">
        <x:f>IF(J420="","",J420-K420)</x:f>
      </x:c>
      <x:c r="M420" s="35" t="str">
        <x:f>IF(L420="","",L420*I420)</x:f>
      </x:c>
      <x:c r="N420" s="35" t="str">
        <x:f>IF(L420="","",L420+M420)</x:f>
      </x:c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36" t="str">
        <x:f>IF(C421="","",IFERROR(VLOOKUP(C421,'SẢN_PHẨM'!$A$2:$G$500,2,FALSE),""))</x:f>
      </x:c>
      <x:c r="E421" s="36" t="str">
        <x:f>IF(C421="","",IFERROR(VLOOKUP(C421,'SẢN_PHẨM'!$A$2:$G$500,3,FALSE),""))</x:f>
      </x:c>
      <x:c r="F421" s="39"/>
      <x:c r="G421" s="34" t="str">
        <x:f>IF(C421="","",IFERROR(VLOOKUP(C421,'SẢN_PHẨM'!$A$2:$G$500,4,FALSE),""))</x:f>
      </x:c>
      <x:c r="H421" s="43"/>
      <x:c r="I421" s="38" t="str">
        <x:f>IF(C421="","",IFERROR(VLOOKUP(C421,'SẢN_PHẨM'!$A$2:$G$500,6,FALSE),""))</x:f>
      </x:c>
      <x:c r="J421" s="35" t="str">
        <x:f>IF(OR(F421="",G421=""),"",F421*G421)</x:f>
      </x:c>
      <x:c r="K421" s="35" t="str">
        <x:f>IF(J421="","",J421*H421)</x:f>
      </x:c>
      <x:c r="L421" s="35" t="str">
        <x:f>IF(J421="","",J421-K421)</x:f>
      </x:c>
      <x:c r="M421" s="35" t="str">
        <x:f>IF(L421="","",L421*I421)</x:f>
      </x:c>
      <x:c r="N421" s="35" t="str">
        <x:f>IF(L421="","",L421+M421)</x:f>
      </x:c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36" t="str">
        <x:f>IF(C422="","",IFERROR(VLOOKUP(C422,'SẢN_PHẨM'!$A$2:$G$500,2,FALSE),""))</x:f>
      </x:c>
      <x:c r="E422" s="36" t="str">
        <x:f>IF(C422="","",IFERROR(VLOOKUP(C422,'SẢN_PHẨM'!$A$2:$G$500,3,FALSE),""))</x:f>
      </x:c>
      <x:c r="F422" s="39"/>
      <x:c r="G422" s="34" t="str">
        <x:f>IF(C422="","",IFERROR(VLOOKUP(C422,'SẢN_PHẨM'!$A$2:$G$500,4,FALSE),""))</x:f>
      </x:c>
      <x:c r="H422" s="43"/>
      <x:c r="I422" s="38" t="str">
        <x:f>IF(C422="","",IFERROR(VLOOKUP(C422,'SẢN_PHẨM'!$A$2:$G$500,6,FALSE),""))</x:f>
      </x:c>
      <x:c r="J422" s="35" t="str">
        <x:f>IF(OR(F422="",G422=""),"",F422*G422)</x:f>
      </x:c>
      <x:c r="K422" s="35" t="str">
        <x:f>IF(J422="","",J422*H422)</x:f>
      </x:c>
      <x:c r="L422" s="35" t="str">
        <x:f>IF(J422="","",J422-K422)</x:f>
      </x:c>
      <x:c r="M422" s="35" t="str">
        <x:f>IF(L422="","",L422*I422)</x:f>
      </x:c>
      <x:c r="N422" s="35" t="str">
        <x:f>IF(L422="","",L422+M422)</x:f>
      </x:c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36" t="str">
        <x:f>IF(C423="","",IFERROR(VLOOKUP(C423,'SẢN_PHẨM'!$A$2:$G$500,2,FALSE),""))</x:f>
      </x:c>
      <x:c r="E423" s="36" t="str">
        <x:f>IF(C423="","",IFERROR(VLOOKUP(C423,'SẢN_PHẨM'!$A$2:$G$500,3,FALSE),""))</x:f>
      </x:c>
      <x:c r="F423" s="39"/>
      <x:c r="G423" s="34" t="str">
        <x:f>IF(C423="","",IFERROR(VLOOKUP(C423,'SẢN_PHẨM'!$A$2:$G$500,4,FALSE),""))</x:f>
      </x:c>
      <x:c r="H423" s="43"/>
      <x:c r="I423" s="38" t="str">
        <x:f>IF(C423="","",IFERROR(VLOOKUP(C423,'SẢN_PHẨM'!$A$2:$G$500,6,FALSE),""))</x:f>
      </x:c>
      <x:c r="J423" s="35" t="str">
        <x:f>IF(OR(F423="",G423=""),"",F423*G423)</x:f>
      </x:c>
      <x:c r="K423" s="35" t="str">
        <x:f>IF(J423="","",J423*H423)</x:f>
      </x:c>
      <x:c r="L423" s="35" t="str">
        <x:f>IF(J423="","",J423-K423)</x:f>
      </x:c>
      <x:c r="M423" s="35" t="str">
        <x:f>IF(L423="","",L423*I423)</x:f>
      </x:c>
      <x:c r="N423" s="35" t="str">
        <x:f>IF(L423="","",L423+M423)</x:f>
      </x:c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36" t="str">
        <x:f>IF(C424="","",IFERROR(VLOOKUP(C424,'SẢN_PHẨM'!$A$2:$G$500,2,FALSE),""))</x:f>
      </x:c>
      <x:c r="E424" s="36" t="str">
        <x:f>IF(C424="","",IFERROR(VLOOKUP(C424,'SẢN_PHẨM'!$A$2:$G$500,3,FALSE),""))</x:f>
      </x:c>
      <x:c r="F424" s="39"/>
      <x:c r="G424" s="34" t="str">
        <x:f>IF(C424="","",IFERROR(VLOOKUP(C424,'SẢN_PHẨM'!$A$2:$G$500,4,FALSE),""))</x:f>
      </x:c>
      <x:c r="H424" s="43"/>
      <x:c r="I424" s="38" t="str">
        <x:f>IF(C424="","",IFERROR(VLOOKUP(C424,'SẢN_PHẨM'!$A$2:$G$500,6,FALSE),""))</x:f>
      </x:c>
      <x:c r="J424" s="35" t="str">
        <x:f>IF(OR(F424="",G424=""),"",F424*G424)</x:f>
      </x:c>
      <x:c r="K424" s="35" t="str">
        <x:f>IF(J424="","",J424*H424)</x:f>
      </x:c>
      <x:c r="L424" s="35" t="str">
        <x:f>IF(J424="","",J424-K424)</x:f>
      </x:c>
      <x:c r="M424" s="35" t="str">
        <x:f>IF(L424="","",L424*I424)</x:f>
      </x:c>
      <x:c r="N424" s="35" t="str">
        <x:f>IF(L424="","",L424+M424)</x:f>
      </x:c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36" t="str">
        <x:f>IF(C425="","",IFERROR(VLOOKUP(C425,'SẢN_PHẨM'!$A$2:$G$500,2,FALSE),""))</x:f>
      </x:c>
      <x:c r="E425" s="36" t="str">
        <x:f>IF(C425="","",IFERROR(VLOOKUP(C425,'SẢN_PHẨM'!$A$2:$G$500,3,FALSE),""))</x:f>
      </x:c>
      <x:c r="F425" s="39"/>
      <x:c r="G425" s="34" t="str">
        <x:f>IF(C425="","",IFERROR(VLOOKUP(C425,'SẢN_PHẨM'!$A$2:$G$500,4,FALSE),""))</x:f>
      </x:c>
      <x:c r="H425" s="43"/>
      <x:c r="I425" s="38" t="str">
        <x:f>IF(C425="","",IFERROR(VLOOKUP(C425,'SẢN_PHẨM'!$A$2:$G$500,6,FALSE),""))</x:f>
      </x:c>
      <x:c r="J425" s="35" t="str">
        <x:f>IF(OR(F425="",G425=""),"",F425*G425)</x:f>
      </x:c>
      <x:c r="K425" s="35" t="str">
        <x:f>IF(J425="","",J425*H425)</x:f>
      </x:c>
      <x:c r="L425" s="35" t="str">
        <x:f>IF(J425="","",J425-K425)</x:f>
      </x:c>
      <x:c r="M425" s="35" t="str">
        <x:f>IF(L425="","",L425*I425)</x:f>
      </x:c>
      <x:c r="N425" s="35" t="str">
        <x:f>IF(L425="","",L425+M425)</x:f>
      </x:c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36" t="str">
        <x:f>IF(C426="","",IFERROR(VLOOKUP(C426,'SẢN_PHẨM'!$A$2:$G$500,2,FALSE),""))</x:f>
      </x:c>
      <x:c r="E426" s="36" t="str">
        <x:f>IF(C426="","",IFERROR(VLOOKUP(C426,'SẢN_PHẨM'!$A$2:$G$500,3,FALSE),""))</x:f>
      </x:c>
      <x:c r="F426" s="39"/>
      <x:c r="G426" s="34" t="str">
        <x:f>IF(C426="","",IFERROR(VLOOKUP(C426,'SẢN_PHẨM'!$A$2:$G$500,4,FALSE),""))</x:f>
      </x:c>
      <x:c r="H426" s="43"/>
      <x:c r="I426" s="38" t="str">
        <x:f>IF(C426="","",IFERROR(VLOOKUP(C426,'SẢN_PHẨM'!$A$2:$G$500,6,FALSE),""))</x:f>
      </x:c>
      <x:c r="J426" s="35" t="str">
        <x:f>IF(OR(F426="",G426=""),"",F426*G426)</x:f>
      </x:c>
      <x:c r="K426" s="35" t="str">
        <x:f>IF(J426="","",J426*H426)</x:f>
      </x:c>
      <x:c r="L426" s="35" t="str">
        <x:f>IF(J426="","",J426-K426)</x:f>
      </x:c>
      <x:c r="M426" s="35" t="str">
        <x:f>IF(L426="","",L426*I426)</x:f>
      </x:c>
      <x:c r="N426" s="35" t="str">
        <x:f>IF(L426="","",L426+M426)</x:f>
      </x:c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36" t="str">
        <x:f>IF(C427="","",IFERROR(VLOOKUP(C427,'SẢN_PHẨM'!$A$2:$G$500,2,FALSE),""))</x:f>
      </x:c>
      <x:c r="E427" s="36" t="str">
        <x:f>IF(C427="","",IFERROR(VLOOKUP(C427,'SẢN_PHẨM'!$A$2:$G$500,3,FALSE),""))</x:f>
      </x:c>
      <x:c r="F427" s="39"/>
      <x:c r="G427" s="34" t="str">
        <x:f>IF(C427="","",IFERROR(VLOOKUP(C427,'SẢN_PHẨM'!$A$2:$G$500,4,FALSE),""))</x:f>
      </x:c>
      <x:c r="H427" s="43"/>
      <x:c r="I427" s="38" t="str">
        <x:f>IF(C427="","",IFERROR(VLOOKUP(C427,'SẢN_PHẨM'!$A$2:$G$500,6,FALSE),""))</x:f>
      </x:c>
      <x:c r="J427" s="35" t="str">
        <x:f>IF(OR(F427="",G427=""),"",F427*G427)</x:f>
      </x:c>
      <x:c r="K427" s="35" t="str">
        <x:f>IF(J427="","",J427*H427)</x:f>
      </x:c>
      <x:c r="L427" s="35" t="str">
        <x:f>IF(J427="","",J427-K427)</x:f>
      </x:c>
      <x:c r="M427" s="35" t="str">
        <x:f>IF(L427="","",L427*I427)</x:f>
      </x:c>
      <x:c r="N427" s="35" t="str">
        <x:f>IF(L427="","",L427+M427)</x:f>
      </x:c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36" t="str">
        <x:f>IF(C428="","",IFERROR(VLOOKUP(C428,'SẢN_PHẨM'!$A$2:$G$500,2,FALSE),""))</x:f>
      </x:c>
      <x:c r="E428" s="36" t="str">
        <x:f>IF(C428="","",IFERROR(VLOOKUP(C428,'SẢN_PHẨM'!$A$2:$G$500,3,FALSE),""))</x:f>
      </x:c>
      <x:c r="F428" s="39"/>
      <x:c r="G428" s="34" t="str">
        <x:f>IF(C428="","",IFERROR(VLOOKUP(C428,'SẢN_PHẨM'!$A$2:$G$500,4,FALSE),""))</x:f>
      </x:c>
      <x:c r="H428" s="43"/>
      <x:c r="I428" s="38" t="str">
        <x:f>IF(C428="","",IFERROR(VLOOKUP(C428,'SẢN_PHẨM'!$A$2:$G$500,6,FALSE),""))</x:f>
      </x:c>
      <x:c r="J428" s="35" t="str">
        <x:f>IF(OR(F428="",G428=""),"",F428*G428)</x:f>
      </x:c>
      <x:c r="K428" s="35" t="str">
        <x:f>IF(J428="","",J428*H428)</x:f>
      </x:c>
      <x:c r="L428" s="35" t="str">
        <x:f>IF(J428="","",J428-K428)</x:f>
      </x:c>
      <x:c r="M428" s="35" t="str">
        <x:f>IF(L428="","",L428*I428)</x:f>
      </x:c>
      <x:c r="N428" s="35" t="str">
        <x:f>IF(L428="","",L428+M428)</x:f>
      </x:c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36" t="str">
        <x:f>IF(C429="","",IFERROR(VLOOKUP(C429,'SẢN_PHẨM'!$A$2:$G$500,2,FALSE),""))</x:f>
      </x:c>
      <x:c r="E429" s="36" t="str">
        <x:f>IF(C429="","",IFERROR(VLOOKUP(C429,'SẢN_PHẨM'!$A$2:$G$500,3,FALSE),""))</x:f>
      </x:c>
      <x:c r="F429" s="39"/>
      <x:c r="G429" s="34" t="str">
        <x:f>IF(C429="","",IFERROR(VLOOKUP(C429,'SẢN_PHẨM'!$A$2:$G$500,4,FALSE),""))</x:f>
      </x:c>
      <x:c r="H429" s="43"/>
      <x:c r="I429" s="38" t="str">
        <x:f>IF(C429="","",IFERROR(VLOOKUP(C429,'SẢN_PHẨM'!$A$2:$G$500,6,FALSE),""))</x:f>
      </x:c>
      <x:c r="J429" s="35" t="str">
        <x:f>IF(OR(F429="",G429=""),"",F429*G429)</x:f>
      </x:c>
      <x:c r="K429" s="35" t="str">
        <x:f>IF(J429="","",J429*H429)</x:f>
      </x:c>
      <x:c r="L429" s="35" t="str">
        <x:f>IF(J429="","",J429-K429)</x:f>
      </x:c>
      <x:c r="M429" s="35" t="str">
        <x:f>IF(L429="","",L429*I429)</x:f>
      </x:c>
      <x:c r="N429" s="35" t="str">
        <x:f>IF(L429="","",L429+M429)</x:f>
      </x:c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36" t="str">
        <x:f>IF(C430="","",IFERROR(VLOOKUP(C430,'SẢN_PHẨM'!$A$2:$G$500,2,FALSE),""))</x:f>
      </x:c>
      <x:c r="E430" s="36" t="str">
        <x:f>IF(C430="","",IFERROR(VLOOKUP(C430,'SẢN_PHẨM'!$A$2:$G$500,3,FALSE),""))</x:f>
      </x:c>
      <x:c r="F430" s="39"/>
      <x:c r="G430" s="34" t="str">
        <x:f>IF(C430="","",IFERROR(VLOOKUP(C430,'SẢN_PHẨM'!$A$2:$G$500,4,FALSE),""))</x:f>
      </x:c>
      <x:c r="H430" s="43"/>
      <x:c r="I430" s="38" t="str">
        <x:f>IF(C430="","",IFERROR(VLOOKUP(C430,'SẢN_PHẨM'!$A$2:$G$500,6,FALSE),""))</x:f>
      </x:c>
      <x:c r="J430" s="35" t="str">
        <x:f>IF(OR(F430="",G430=""),"",F430*G430)</x:f>
      </x:c>
      <x:c r="K430" s="35" t="str">
        <x:f>IF(J430="","",J430*H430)</x:f>
      </x:c>
      <x:c r="L430" s="35" t="str">
        <x:f>IF(J430="","",J430-K430)</x:f>
      </x:c>
      <x:c r="M430" s="35" t="str">
        <x:f>IF(L430="","",L430*I430)</x:f>
      </x:c>
      <x:c r="N430" s="35" t="str">
        <x:f>IF(L430="","",L430+M430)</x:f>
      </x:c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36" t="str">
        <x:f>IF(C431="","",IFERROR(VLOOKUP(C431,'SẢN_PHẨM'!$A$2:$G$500,2,FALSE),""))</x:f>
      </x:c>
      <x:c r="E431" s="36" t="str">
        <x:f>IF(C431="","",IFERROR(VLOOKUP(C431,'SẢN_PHẨM'!$A$2:$G$500,3,FALSE),""))</x:f>
      </x:c>
      <x:c r="F431" s="39"/>
      <x:c r="G431" s="34" t="str">
        <x:f>IF(C431="","",IFERROR(VLOOKUP(C431,'SẢN_PHẨM'!$A$2:$G$500,4,FALSE),""))</x:f>
      </x:c>
      <x:c r="H431" s="43"/>
      <x:c r="I431" s="38" t="str">
        <x:f>IF(C431="","",IFERROR(VLOOKUP(C431,'SẢN_PHẨM'!$A$2:$G$500,6,FALSE),""))</x:f>
      </x:c>
      <x:c r="J431" s="35" t="str">
        <x:f>IF(OR(F431="",G431=""),"",F431*G431)</x:f>
      </x:c>
      <x:c r="K431" s="35" t="str">
        <x:f>IF(J431="","",J431*H431)</x:f>
      </x:c>
      <x:c r="L431" s="35" t="str">
        <x:f>IF(J431="","",J431-K431)</x:f>
      </x:c>
      <x:c r="M431" s="35" t="str">
        <x:f>IF(L431="","",L431*I431)</x:f>
      </x:c>
      <x:c r="N431" s="35" t="str">
        <x:f>IF(L431="","",L431+M431)</x:f>
      </x:c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36" t="str">
        <x:f>IF(C432="","",IFERROR(VLOOKUP(C432,'SẢN_PHẨM'!$A$2:$G$500,2,FALSE),""))</x:f>
      </x:c>
      <x:c r="E432" s="36" t="str">
        <x:f>IF(C432="","",IFERROR(VLOOKUP(C432,'SẢN_PHẨM'!$A$2:$G$500,3,FALSE),""))</x:f>
      </x:c>
      <x:c r="F432" s="39"/>
      <x:c r="G432" s="34" t="str">
        <x:f>IF(C432="","",IFERROR(VLOOKUP(C432,'SẢN_PHẨM'!$A$2:$G$500,4,FALSE),""))</x:f>
      </x:c>
      <x:c r="H432" s="43"/>
      <x:c r="I432" s="38" t="str">
        <x:f>IF(C432="","",IFERROR(VLOOKUP(C432,'SẢN_PHẨM'!$A$2:$G$500,6,FALSE),""))</x:f>
      </x:c>
      <x:c r="J432" s="35" t="str">
        <x:f>IF(OR(F432="",G432=""),"",F432*G432)</x:f>
      </x:c>
      <x:c r="K432" s="35" t="str">
        <x:f>IF(J432="","",J432*H432)</x:f>
      </x:c>
      <x:c r="L432" s="35" t="str">
        <x:f>IF(J432="","",J432-K432)</x:f>
      </x:c>
      <x:c r="M432" s="35" t="str">
        <x:f>IF(L432="","",L432*I432)</x:f>
      </x:c>
      <x:c r="N432" s="35" t="str">
        <x:f>IF(L432="","",L432+M432)</x:f>
      </x:c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36" t="str">
        <x:f>IF(C433="","",IFERROR(VLOOKUP(C433,'SẢN_PHẨM'!$A$2:$G$500,2,FALSE),""))</x:f>
      </x:c>
      <x:c r="E433" s="36" t="str">
        <x:f>IF(C433="","",IFERROR(VLOOKUP(C433,'SẢN_PHẨM'!$A$2:$G$500,3,FALSE),""))</x:f>
      </x:c>
      <x:c r="F433" s="39"/>
      <x:c r="G433" s="34" t="str">
        <x:f>IF(C433="","",IFERROR(VLOOKUP(C433,'SẢN_PHẨM'!$A$2:$G$500,4,FALSE),""))</x:f>
      </x:c>
      <x:c r="H433" s="43"/>
      <x:c r="I433" s="38" t="str">
        <x:f>IF(C433="","",IFERROR(VLOOKUP(C433,'SẢN_PHẨM'!$A$2:$G$500,6,FALSE),""))</x:f>
      </x:c>
      <x:c r="J433" s="35" t="str">
        <x:f>IF(OR(F433="",G433=""),"",F433*G433)</x:f>
      </x:c>
      <x:c r="K433" s="35" t="str">
        <x:f>IF(J433="","",J433*H433)</x:f>
      </x:c>
      <x:c r="L433" s="35" t="str">
        <x:f>IF(J433="","",J433-K433)</x:f>
      </x:c>
      <x:c r="M433" s="35" t="str">
        <x:f>IF(L433="","",L433*I433)</x:f>
      </x:c>
      <x:c r="N433" s="35" t="str">
        <x:f>IF(L433="","",L433+M433)</x:f>
      </x:c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36" t="str">
        <x:f>IF(C434="","",IFERROR(VLOOKUP(C434,'SẢN_PHẨM'!$A$2:$G$500,2,FALSE),""))</x:f>
      </x:c>
      <x:c r="E434" s="36" t="str">
        <x:f>IF(C434="","",IFERROR(VLOOKUP(C434,'SẢN_PHẨM'!$A$2:$G$500,3,FALSE),""))</x:f>
      </x:c>
      <x:c r="F434" s="39"/>
      <x:c r="G434" s="34" t="str">
        <x:f>IF(C434="","",IFERROR(VLOOKUP(C434,'SẢN_PHẨM'!$A$2:$G$500,4,FALSE),""))</x:f>
      </x:c>
      <x:c r="H434" s="43"/>
      <x:c r="I434" s="38" t="str">
        <x:f>IF(C434="","",IFERROR(VLOOKUP(C434,'SẢN_PHẨM'!$A$2:$G$500,6,FALSE),""))</x:f>
      </x:c>
      <x:c r="J434" s="35" t="str">
        <x:f>IF(OR(F434="",G434=""),"",F434*G434)</x:f>
      </x:c>
      <x:c r="K434" s="35" t="str">
        <x:f>IF(J434="","",J434*H434)</x:f>
      </x:c>
      <x:c r="L434" s="35" t="str">
        <x:f>IF(J434="","",J434-K434)</x:f>
      </x:c>
      <x:c r="M434" s="35" t="str">
        <x:f>IF(L434="","",L434*I434)</x:f>
      </x:c>
      <x:c r="N434" s="35" t="str">
        <x:f>IF(L434="","",L434+M434)</x:f>
      </x:c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36" t="str">
        <x:f>IF(C435="","",IFERROR(VLOOKUP(C435,'SẢN_PHẨM'!$A$2:$G$500,2,FALSE),""))</x:f>
      </x:c>
      <x:c r="E435" s="36" t="str">
        <x:f>IF(C435="","",IFERROR(VLOOKUP(C435,'SẢN_PHẨM'!$A$2:$G$500,3,FALSE),""))</x:f>
      </x:c>
      <x:c r="F435" s="39"/>
      <x:c r="G435" s="34" t="str">
        <x:f>IF(C435="","",IFERROR(VLOOKUP(C435,'SẢN_PHẨM'!$A$2:$G$500,4,FALSE),""))</x:f>
      </x:c>
      <x:c r="H435" s="43"/>
      <x:c r="I435" s="38" t="str">
        <x:f>IF(C435="","",IFERROR(VLOOKUP(C435,'SẢN_PHẨM'!$A$2:$G$500,6,FALSE),""))</x:f>
      </x:c>
      <x:c r="J435" s="35" t="str">
        <x:f>IF(OR(F435="",G435=""),"",F435*G435)</x:f>
      </x:c>
      <x:c r="K435" s="35" t="str">
        <x:f>IF(J435="","",J435*H435)</x:f>
      </x:c>
      <x:c r="L435" s="35" t="str">
        <x:f>IF(J435="","",J435-K435)</x:f>
      </x:c>
      <x:c r="M435" s="35" t="str">
        <x:f>IF(L435="","",L435*I435)</x:f>
      </x:c>
      <x:c r="N435" s="35" t="str">
        <x:f>IF(L435="","",L435+M435)</x:f>
      </x:c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36" t="str">
        <x:f>IF(C436="","",IFERROR(VLOOKUP(C436,'SẢN_PHẨM'!$A$2:$G$500,2,FALSE),""))</x:f>
      </x:c>
      <x:c r="E436" s="36" t="str">
        <x:f>IF(C436="","",IFERROR(VLOOKUP(C436,'SẢN_PHẨM'!$A$2:$G$500,3,FALSE),""))</x:f>
      </x:c>
      <x:c r="F436" s="39"/>
      <x:c r="G436" s="34" t="str">
        <x:f>IF(C436="","",IFERROR(VLOOKUP(C436,'SẢN_PHẨM'!$A$2:$G$500,4,FALSE),""))</x:f>
      </x:c>
      <x:c r="H436" s="43"/>
      <x:c r="I436" s="38" t="str">
        <x:f>IF(C436="","",IFERROR(VLOOKUP(C436,'SẢN_PHẨM'!$A$2:$G$500,6,FALSE),""))</x:f>
      </x:c>
      <x:c r="J436" s="35" t="str">
        <x:f>IF(OR(F436="",G436=""),"",F436*G436)</x:f>
      </x:c>
      <x:c r="K436" s="35" t="str">
        <x:f>IF(J436="","",J436*H436)</x:f>
      </x:c>
      <x:c r="L436" s="35" t="str">
        <x:f>IF(J436="","",J436-K436)</x:f>
      </x:c>
      <x:c r="M436" s="35" t="str">
        <x:f>IF(L436="","",L436*I436)</x:f>
      </x:c>
      <x:c r="N436" s="35" t="str">
        <x:f>IF(L436="","",L436+M436)</x:f>
      </x:c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36" t="str">
        <x:f>IF(C437="","",IFERROR(VLOOKUP(C437,'SẢN_PHẨM'!$A$2:$G$500,2,FALSE),""))</x:f>
      </x:c>
      <x:c r="E437" s="36" t="str">
        <x:f>IF(C437="","",IFERROR(VLOOKUP(C437,'SẢN_PHẨM'!$A$2:$G$500,3,FALSE),""))</x:f>
      </x:c>
      <x:c r="F437" s="39"/>
      <x:c r="G437" s="34" t="str">
        <x:f>IF(C437="","",IFERROR(VLOOKUP(C437,'SẢN_PHẨM'!$A$2:$G$500,4,FALSE),""))</x:f>
      </x:c>
      <x:c r="H437" s="43"/>
      <x:c r="I437" s="38" t="str">
        <x:f>IF(C437="","",IFERROR(VLOOKUP(C437,'SẢN_PHẨM'!$A$2:$G$500,6,FALSE),""))</x:f>
      </x:c>
      <x:c r="J437" s="35" t="str">
        <x:f>IF(OR(F437="",G437=""),"",F437*G437)</x:f>
      </x:c>
      <x:c r="K437" s="35" t="str">
        <x:f>IF(J437="","",J437*H437)</x:f>
      </x:c>
      <x:c r="L437" s="35" t="str">
        <x:f>IF(J437="","",J437-K437)</x:f>
      </x:c>
      <x:c r="M437" s="35" t="str">
        <x:f>IF(L437="","",L437*I437)</x:f>
      </x:c>
      <x:c r="N437" s="35" t="str">
        <x:f>IF(L437="","",L437+M437)</x:f>
      </x:c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36" t="str">
        <x:f>IF(C438="","",IFERROR(VLOOKUP(C438,'SẢN_PHẨM'!$A$2:$G$500,2,FALSE),""))</x:f>
      </x:c>
      <x:c r="E438" s="36" t="str">
        <x:f>IF(C438="","",IFERROR(VLOOKUP(C438,'SẢN_PHẨM'!$A$2:$G$500,3,FALSE),""))</x:f>
      </x:c>
      <x:c r="F438" s="39"/>
      <x:c r="G438" s="34" t="str">
        <x:f>IF(C438="","",IFERROR(VLOOKUP(C438,'SẢN_PHẨM'!$A$2:$G$500,4,FALSE),""))</x:f>
      </x:c>
      <x:c r="H438" s="43"/>
      <x:c r="I438" s="38" t="str">
        <x:f>IF(C438="","",IFERROR(VLOOKUP(C438,'SẢN_PHẨM'!$A$2:$G$500,6,FALSE),""))</x:f>
      </x:c>
      <x:c r="J438" s="35" t="str">
        <x:f>IF(OR(F438="",G438=""),"",F438*G438)</x:f>
      </x:c>
      <x:c r="K438" s="35" t="str">
        <x:f>IF(J438="","",J438*H438)</x:f>
      </x:c>
      <x:c r="L438" s="35" t="str">
        <x:f>IF(J438="","",J438-K438)</x:f>
      </x:c>
      <x:c r="M438" s="35" t="str">
        <x:f>IF(L438="","",L438*I438)</x:f>
      </x:c>
      <x:c r="N438" s="35" t="str">
        <x:f>IF(L438="","",L438+M438)</x:f>
      </x:c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36" t="str">
        <x:f>IF(C439="","",IFERROR(VLOOKUP(C439,'SẢN_PHẨM'!$A$2:$G$500,2,FALSE),""))</x:f>
      </x:c>
      <x:c r="E439" s="36" t="str">
        <x:f>IF(C439="","",IFERROR(VLOOKUP(C439,'SẢN_PHẨM'!$A$2:$G$500,3,FALSE),""))</x:f>
      </x:c>
      <x:c r="F439" s="39"/>
      <x:c r="G439" s="34" t="str">
        <x:f>IF(C439="","",IFERROR(VLOOKUP(C439,'SẢN_PHẨM'!$A$2:$G$500,4,FALSE),""))</x:f>
      </x:c>
      <x:c r="H439" s="43"/>
      <x:c r="I439" s="38" t="str">
        <x:f>IF(C439="","",IFERROR(VLOOKUP(C439,'SẢN_PHẨM'!$A$2:$G$500,6,FALSE),""))</x:f>
      </x:c>
      <x:c r="J439" s="35" t="str">
        <x:f>IF(OR(F439="",G439=""),"",F439*G439)</x:f>
      </x:c>
      <x:c r="K439" s="35" t="str">
        <x:f>IF(J439="","",J439*H439)</x:f>
      </x:c>
      <x:c r="L439" s="35" t="str">
        <x:f>IF(J439="","",J439-K439)</x:f>
      </x:c>
      <x:c r="M439" s="35" t="str">
        <x:f>IF(L439="","",L439*I439)</x:f>
      </x:c>
      <x:c r="N439" s="35" t="str">
        <x:f>IF(L439="","",L439+M439)</x:f>
      </x:c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36" t="str">
        <x:f>IF(C440="","",IFERROR(VLOOKUP(C440,'SẢN_PHẨM'!$A$2:$G$500,2,FALSE),""))</x:f>
      </x:c>
      <x:c r="E440" s="36" t="str">
        <x:f>IF(C440="","",IFERROR(VLOOKUP(C440,'SẢN_PHẨM'!$A$2:$G$500,3,FALSE),""))</x:f>
      </x:c>
      <x:c r="F440" s="39"/>
      <x:c r="G440" s="34" t="str">
        <x:f>IF(C440="","",IFERROR(VLOOKUP(C440,'SẢN_PHẨM'!$A$2:$G$500,4,FALSE),""))</x:f>
      </x:c>
      <x:c r="H440" s="43"/>
      <x:c r="I440" s="38" t="str">
        <x:f>IF(C440="","",IFERROR(VLOOKUP(C440,'SẢN_PHẨM'!$A$2:$G$500,6,FALSE),""))</x:f>
      </x:c>
      <x:c r="J440" s="35" t="str">
        <x:f>IF(OR(F440="",G440=""),"",F440*G440)</x:f>
      </x:c>
      <x:c r="K440" s="35" t="str">
        <x:f>IF(J440="","",J440*H440)</x:f>
      </x:c>
      <x:c r="L440" s="35" t="str">
        <x:f>IF(J440="","",J440-K440)</x:f>
      </x:c>
      <x:c r="M440" s="35" t="str">
        <x:f>IF(L440="","",L440*I440)</x:f>
      </x:c>
      <x:c r="N440" s="35" t="str">
        <x:f>IF(L440="","",L440+M440)</x:f>
      </x:c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36" t="str">
        <x:f>IF(C441="","",IFERROR(VLOOKUP(C441,'SẢN_PHẨM'!$A$2:$G$500,2,FALSE),""))</x:f>
      </x:c>
      <x:c r="E441" s="36" t="str">
        <x:f>IF(C441="","",IFERROR(VLOOKUP(C441,'SẢN_PHẨM'!$A$2:$G$500,3,FALSE),""))</x:f>
      </x:c>
      <x:c r="F441" s="39"/>
      <x:c r="G441" s="34" t="str">
        <x:f>IF(C441="","",IFERROR(VLOOKUP(C441,'SẢN_PHẨM'!$A$2:$G$500,4,FALSE),""))</x:f>
      </x:c>
      <x:c r="H441" s="43"/>
      <x:c r="I441" s="38" t="str">
        <x:f>IF(C441="","",IFERROR(VLOOKUP(C441,'SẢN_PHẨM'!$A$2:$G$500,6,FALSE),""))</x:f>
      </x:c>
      <x:c r="J441" s="35" t="str">
        <x:f>IF(OR(F441="",G441=""),"",F441*G441)</x:f>
      </x:c>
      <x:c r="K441" s="35" t="str">
        <x:f>IF(J441="","",J441*H441)</x:f>
      </x:c>
      <x:c r="L441" s="35" t="str">
        <x:f>IF(J441="","",J441-K441)</x:f>
      </x:c>
      <x:c r="M441" s="35" t="str">
        <x:f>IF(L441="","",L441*I441)</x:f>
      </x:c>
      <x:c r="N441" s="35" t="str">
        <x:f>IF(L441="","",L441+M441)</x:f>
      </x:c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36" t="str">
        <x:f>IF(C442="","",IFERROR(VLOOKUP(C442,'SẢN_PHẨM'!$A$2:$G$500,2,FALSE),""))</x:f>
      </x:c>
      <x:c r="E442" s="36" t="str">
        <x:f>IF(C442="","",IFERROR(VLOOKUP(C442,'SẢN_PHẨM'!$A$2:$G$500,3,FALSE),""))</x:f>
      </x:c>
      <x:c r="F442" s="39"/>
      <x:c r="G442" s="34" t="str">
        <x:f>IF(C442="","",IFERROR(VLOOKUP(C442,'SẢN_PHẨM'!$A$2:$G$500,4,FALSE),""))</x:f>
      </x:c>
      <x:c r="H442" s="43"/>
      <x:c r="I442" s="38" t="str">
        <x:f>IF(C442="","",IFERROR(VLOOKUP(C442,'SẢN_PHẨM'!$A$2:$G$500,6,FALSE),""))</x:f>
      </x:c>
      <x:c r="J442" s="35" t="str">
        <x:f>IF(OR(F442="",G442=""),"",F442*G442)</x:f>
      </x:c>
      <x:c r="K442" s="35" t="str">
        <x:f>IF(J442="","",J442*H442)</x:f>
      </x:c>
      <x:c r="L442" s="35" t="str">
        <x:f>IF(J442="","",J442-K442)</x:f>
      </x:c>
      <x:c r="M442" s="35" t="str">
        <x:f>IF(L442="","",L442*I442)</x:f>
      </x:c>
      <x:c r="N442" s="35" t="str">
        <x:f>IF(L442="","",L442+M442)</x:f>
      </x:c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36" t="str">
        <x:f>IF(C443="","",IFERROR(VLOOKUP(C443,'SẢN_PHẨM'!$A$2:$G$500,2,FALSE),""))</x:f>
      </x:c>
      <x:c r="E443" s="36" t="str">
        <x:f>IF(C443="","",IFERROR(VLOOKUP(C443,'SẢN_PHẨM'!$A$2:$G$500,3,FALSE),""))</x:f>
      </x:c>
      <x:c r="F443" s="39"/>
      <x:c r="G443" s="34" t="str">
        <x:f>IF(C443="","",IFERROR(VLOOKUP(C443,'SẢN_PHẨM'!$A$2:$G$500,4,FALSE),""))</x:f>
      </x:c>
      <x:c r="H443" s="43"/>
      <x:c r="I443" s="38" t="str">
        <x:f>IF(C443="","",IFERROR(VLOOKUP(C443,'SẢN_PHẨM'!$A$2:$G$500,6,FALSE),""))</x:f>
      </x:c>
      <x:c r="J443" s="35" t="str">
        <x:f>IF(OR(F443="",G443=""),"",F443*G443)</x:f>
      </x:c>
      <x:c r="K443" s="35" t="str">
        <x:f>IF(J443="","",J443*H443)</x:f>
      </x:c>
      <x:c r="L443" s="35" t="str">
        <x:f>IF(J443="","",J443-K443)</x:f>
      </x:c>
      <x:c r="M443" s="35" t="str">
        <x:f>IF(L443="","",L443*I443)</x:f>
      </x:c>
      <x:c r="N443" s="35" t="str">
        <x:f>IF(L443="","",L443+M443)</x:f>
      </x:c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36" t="str">
        <x:f>IF(C444="","",IFERROR(VLOOKUP(C444,'SẢN_PHẨM'!$A$2:$G$500,2,FALSE),""))</x:f>
      </x:c>
      <x:c r="E444" s="36" t="str">
        <x:f>IF(C444="","",IFERROR(VLOOKUP(C444,'SẢN_PHẨM'!$A$2:$G$500,3,FALSE),""))</x:f>
      </x:c>
      <x:c r="F444" s="39"/>
      <x:c r="G444" s="34" t="str">
        <x:f>IF(C444="","",IFERROR(VLOOKUP(C444,'SẢN_PHẨM'!$A$2:$G$500,4,FALSE),""))</x:f>
      </x:c>
      <x:c r="H444" s="43"/>
      <x:c r="I444" s="38" t="str">
        <x:f>IF(C444="","",IFERROR(VLOOKUP(C444,'SẢN_PHẨM'!$A$2:$G$500,6,FALSE),""))</x:f>
      </x:c>
      <x:c r="J444" s="35" t="str">
        <x:f>IF(OR(F444="",G444=""),"",F444*G444)</x:f>
      </x:c>
      <x:c r="K444" s="35" t="str">
        <x:f>IF(J444="","",J444*H444)</x:f>
      </x:c>
      <x:c r="L444" s="35" t="str">
        <x:f>IF(J444="","",J444-K444)</x:f>
      </x:c>
      <x:c r="M444" s="35" t="str">
        <x:f>IF(L444="","",L444*I444)</x:f>
      </x:c>
      <x:c r="N444" s="35" t="str">
        <x:f>IF(L444="","",L444+M444)</x:f>
      </x:c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36" t="str">
        <x:f>IF(C445="","",IFERROR(VLOOKUP(C445,'SẢN_PHẨM'!$A$2:$G$500,2,FALSE),""))</x:f>
      </x:c>
      <x:c r="E445" s="36" t="str">
        <x:f>IF(C445="","",IFERROR(VLOOKUP(C445,'SẢN_PHẨM'!$A$2:$G$500,3,FALSE),""))</x:f>
      </x:c>
      <x:c r="F445" s="39"/>
      <x:c r="G445" s="34" t="str">
        <x:f>IF(C445="","",IFERROR(VLOOKUP(C445,'SẢN_PHẨM'!$A$2:$G$500,4,FALSE),""))</x:f>
      </x:c>
      <x:c r="H445" s="43"/>
      <x:c r="I445" s="38" t="str">
        <x:f>IF(C445="","",IFERROR(VLOOKUP(C445,'SẢN_PHẨM'!$A$2:$G$500,6,FALSE),""))</x:f>
      </x:c>
      <x:c r="J445" s="35" t="str">
        <x:f>IF(OR(F445="",G445=""),"",F445*G445)</x:f>
      </x:c>
      <x:c r="K445" s="35" t="str">
        <x:f>IF(J445="","",J445*H445)</x:f>
      </x:c>
      <x:c r="L445" s="35" t="str">
        <x:f>IF(J445="","",J445-K445)</x:f>
      </x:c>
      <x:c r="M445" s="35" t="str">
        <x:f>IF(L445="","",L445*I445)</x:f>
      </x:c>
      <x:c r="N445" s="35" t="str">
        <x:f>IF(L445="","",L445+M445)</x:f>
      </x:c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36" t="str">
        <x:f>IF(C446="","",IFERROR(VLOOKUP(C446,'SẢN_PHẨM'!$A$2:$G$500,2,FALSE),""))</x:f>
      </x:c>
      <x:c r="E446" s="36" t="str">
        <x:f>IF(C446="","",IFERROR(VLOOKUP(C446,'SẢN_PHẨM'!$A$2:$G$500,3,FALSE),""))</x:f>
      </x:c>
      <x:c r="F446" s="39"/>
      <x:c r="G446" s="34" t="str">
        <x:f>IF(C446="","",IFERROR(VLOOKUP(C446,'SẢN_PHẨM'!$A$2:$G$500,4,FALSE),""))</x:f>
      </x:c>
      <x:c r="H446" s="43"/>
      <x:c r="I446" s="38" t="str">
        <x:f>IF(C446="","",IFERROR(VLOOKUP(C446,'SẢN_PHẨM'!$A$2:$G$500,6,FALSE),""))</x:f>
      </x:c>
      <x:c r="J446" s="35" t="str">
        <x:f>IF(OR(F446="",G446=""),"",F446*G446)</x:f>
      </x:c>
      <x:c r="K446" s="35" t="str">
        <x:f>IF(J446="","",J446*H446)</x:f>
      </x:c>
      <x:c r="L446" s="35" t="str">
        <x:f>IF(J446="","",J446-K446)</x:f>
      </x:c>
      <x:c r="M446" s="35" t="str">
        <x:f>IF(L446="","",L446*I446)</x:f>
      </x:c>
      <x:c r="N446" s="35" t="str">
        <x:f>IF(L446="","",L446+M446)</x:f>
      </x:c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36" t="str">
        <x:f>IF(C447="","",IFERROR(VLOOKUP(C447,'SẢN_PHẨM'!$A$2:$G$500,2,FALSE),""))</x:f>
      </x:c>
      <x:c r="E447" s="36" t="str">
        <x:f>IF(C447="","",IFERROR(VLOOKUP(C447,'SẢN_PHẨM'!$A$2:$G$500,3,FALSE),""))</x:f>
      </x:c>
      <x:c r="F447" s="39"/>
      <x:c r="G447" s="34" t="str">
        <x:f>IF(C447="","",IFERROR(VLOOKUP(C447,'SẢN_PHẨM'!$A$2:$G$500,4,FALSE),""))</x:f>
      </x:c>
      <x:c r="H447" s="43"/>
      <x:c r="I447" s="38" t="str">
        <x:f>IF(C447="","",IFERROR(VLOOKUP(C447,'SẢN_PHẨM'!$A$2:$G$500,6,FALSE),""))</x:f>
      </x:c>
      <x:c r="J447" s="35" t="str">
        <x:f>IF(OR(F447="",G447=""),"",F447*G447)</x:f>
      </x:c>
      <x:c r="K447" s="35" t="str">
        <x:f>IF(J447="","",J447*H447)</x:f>
      </x:c>
      <x:c r="L447" s="35" t="str">
        <x:f>IF(J447="","",J447-K447)</x:f>
      </x:c>
      <x:c r="M447" s="35" t="str">
        <x:f>IF(L447="","",L447*I447)</x:f>
      </x:c>
      <x:c r="N447" s="35" t="str">
        <x:f>IF(L447="","",L447+M447)</x:f>
      </x:c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36" t="str">
        <x:f>IF(C448="","",IFERROR(VLOOKUP(C448,'SẢN_PHẨM'!$A$2:$G$500,2,FALSE),""))</x:f>
      </x:c>
      <x:c r="E448" s="36" t="str">
        <x:f>IF(C448="","",IFERROR(VLOOKUP(C448,'SẢN_PHẨM'!$A$2:$G$500,3,FALSE),""))</x:f>
      </x:c>
      <x:c r="F448" s="39"/>
      <x:c r="G448" s="34" t="str">
        <x:f>IF(C448="","",IFERROR(VLOOKUP(C448,'SẢN_PHẨM'!$A$2:$G$500,4,FALSE),""))</x:f>
      </x:c>
      <x:c r="H448" s="43"/>
      <x:c r="I448" s="38" t="str">
        <x:f>IF(C448="","",IFERROR(VLOOKUP(C448,'SẢN_PHẨM'!$A$2:$G$500,6,FALSE),""))</x:f>
      </x:c>
      <x:c r="J448" s="35" t="str">
        <x:f>IF(OR(F448="",G448=""),"",F448*G448)</x:f>
      </x:c>
      <x:c r="K448" s="35" t="str">
        <x:f>IF(J448="","",J448*H448)</x:f>
      </x:c>
      <x:c r="L448" s="35" t="str">
        <x:f>IF(J448="","",J448-K448)</x:f>
      </x:c>
      <x:c r="M448" s="35" t="str">
        <x:f>IF(L448="","",L448*I448)</x:f>
      </x:c>
      <x:c r="N448" s="35" t="str">
        <x:f>IF(L448="","",L448+M448)</x:f>
      </x:c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36" t="str">
        <x:f>IF(C449="","",IFERROR(VLOOKUP(C449,'SẢN_PHẨM'!$A$2:$G$500,2,FALSE),""))</x:f>
      </x:c>
      <x:c r="E449" s="36" t="str">
        <x:f>IF(C449="","",IFERROR(VLOOKUP(C449,'SẢN_PHẨM'!$A$2:$G$500,3,FALSE),""))</x:f>
      </x:c>
      <x:c r="F449" s="39"/>
      <x:c r="G449" s="34" t="str">
        <x:f>IF(C449="","",IFERROR(VLOOKUP(C449,'SẢN_PHẨM'!$A$2:$G$500,4,FALSE),""))</x:f>
      </x:c>
      <x:c r="H449" s="43"/>
      <x:c r="I449" s="38" t="str">
        <x:f>IF(C449="","",IFERROR(VLOOKUP(C449,'SẢN_PHẨM'!$A$2:$G$500,6,FALSE),""))</x:f>
      </x:c>
      <x:c r="J449" s="35" t="str">
        <x:f>IF(OR(F449="",G449=""),"",F449*G449)</x:f>
      </x:c>
      <x:c r="K449" s="35" t="str">
        <x:f>IF(J449="","",J449*H449)</x:f>
      </x:c>
      <x:c r="L449" s="35" t="str">
        <x:f>IF(J449="","",J449-K449)</x:f>
      </x:c>
      <x:c r="M449" s="35" t="str">
        <x:f>IF(L449="","",L449*I449)</x:f>
      </x:c>
      <x:c r="N449" s="35" t="str">
        <x:f>IF(L449="","",L449+M449)</x:f>
      </x:c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36" t="str">
        <x:f>IF(C450="","",IFERROR(VLOOKUP(C450,'SẢN_PHẨM'!$A$2:$G$500,2,FALSE),""))</x:f>
      </x:c>
      <x:c r="E450" s="36" t="str">
        <x:f>IF(C450="","",IFERROR(VLOOKUP(C450,'SẢN_PHẨM'!$A$2:$G$500,3,FALSE),""))</x:f>
      </x:c>
      <x:c r="F450" s="39"/>
      <x:c r="G450" s="34" t="str">
        <x:f>IF(C450="","",IFERROR(VLOOKUP(C450,'SẢN_PHẨM'!$A$2:$G$500,4,FALSE),""))</x:f>
      </x:c>
      <x:c r="H450" s="43"/>
      <x:c r="I450" s="38" t="str">
        <x:f>IF(C450="","",IFERROR(VLOOKUP(C450,'SẢN_PHẨM'!$A$2:$G$500,6,FALSE),""))</x:f>
      </x:c>
      <x:c r="J450" s="35" t="str">
        <x:f>IF(OR(F450="",G450=""),"",F450*G450)</x:f>
      </x:c>
      <x:c r="K450" s="35" t="str">
        <x:f>IF(J450="","",J450*H450)</x:f>
      </x:c>
      <x:c r="L450" s="35" t="str">
        <x:f>IF(J450="","",J450-K450)</x:f>
      </x:c>
      <x:c r="M450" s="35" t="str">
        <x:f>IF(L450="","",L450*I450)</x:f>
      </x:c>
      <x:c r="N450" s="35" t="str">
        <x:f>IF(L450="","",L450+M450)</x:f>
      </x:c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36" t="str">
        <x:f>IF(C451="","",IFERROR(VLOOKUP(C451,'SẢN_PHẨM'!$A$2:$G$500,2,FALSE),""))</x:f>
      </x:c>
      <x:c r="E451" s="36" t="str">
        <x:f>IF(C451="","",IFERROR(VLOOKUP(C451,'SẢN_PHẨM'!$A$2:$G$500,3,FALSE),""))</x:f>
      </x:c>
      <x:c r="F451" s="39"/>
      <x:c r="G451" s="34" t="str">
        <x:f>IF(C451="","",IFERROR(VLOOKUP(C451,'SẢN_PHẨM'!$A$2:$G$500,4,FALSE),""))</x:f>
      </x:c>
      <x:c r="H451" s="43"/>
      <x:c r="I451" s="38" t="str">
        <x:f>IF(C451="","",IFERROR(VLOOKUP(C451,'SẢN_PHẨM'!$A$2:$G$500,6,FALSE),""))</x:f>
      </x:c>
      <x:c r="J451" s="35" t="str">
        <x:f>IF(OR(F451="",G451=""),"",F451*G451)</x:f>
      </x:c>
      <x:c r="K451" s="35" t="str">
        <x:f>IF(J451="","",J451*H451)</x:f>
      </x:c>
      <x:c r="L451" s="35" t="str">
        <x:f>IF(J451="","",J451-K451)</x:f>
      </x:c>
      <x:c r="M451" s="35" t="str">
        <x:f>IF(L451="","",L451*I451)</x:f>
      </x:c>
      <x:c r="N451" s="35" t="str">
        <x:f>IF(L451="","",L451+M451)</x:f>
      </x:c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36" t="str">
        <x:f>IF(C452="","",IFERROR(VLOOKUP(C452,'SẢN_PHẨM'!$A$2:$G$500,2,FALSE),""))</x:f>
      </x:c>
      <x:c r="E452" s="36" t="str">
        <x:f>IF(C452="","",IFERROR(VLOOKUP(C452,'SẢN_PHẨM'!$A$2:$G$500,3,FALSE),""))</x:f>
      </x:c>
      <x:c r="F452" s="39"/>
      <x:c r="G452" s="34" t="str">
        <x:f>IF(C452="","",IFERROR(VLOOKUP(C452,'SẢN_PHẨM'!$A$2:$G$500,4,FALSE),""))</x:f>
      </x:c>
      <x:c r="H452" s="43"/>
      <x:c r="I452" s="38" t="str">
        <x:f>IF(C452="","",IFERROR(VLOOKUP(C452,'SẢN_PHẨM'!$A$2:$G$500,6,FALSE),""))</x:f>
      </x:c>
      <x:c r="J452" s="35" t="str">
        <x:f>IF(OR(F452="",G452=""),"",F452*G452)</x:f>
      </x:c>
      <x:c r="K452" s="35" t="str">
        <x:f>IF(J452="","",J452*H452)</x:f>
      </x:c>
      <x:c r="L452" s="35" t="str">
        <x:f>IF(J452="","",J452-K452)</x:f>
      </x:c>
      <x:c r="M452" s="35" t="str">
        <x:f>IF(L452="","",L452*I452)</x:f>
      </x:c>
      <x:c r="N452" s="35" t="str">
        <x:f>IF(L452="","",L452+M452)</x:f>
      </x:c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36" t="str">
        <x:f>IF(C453="","",IFERROR(VLOOKUP(C453,'SẢN_PHẨM'!$A$2:$G$500,2,FALSE),""))</x:f>
      </x:c>
      <x:c r="E453" s="36" t="str">
        <x:f>IF(C453="","",IFERROR(VLOOKUP(C453,'SẢN_PHẨM'!$A$2:$G$500,3,FALSE),""))</x:f>
      </x:c>
      <x:c r="F453" s="39"/>
      <x:c r="G453" s="34" t="str">
        <x:f>IF(C453="","",IFERROR(VLOOKUP(C453,'SẢN_PHẨM'!$A$2:$G$500,4,FALSE),""))</x:f>
      </x:c>
      <x:c r="H453" s="43"/>
      <x:c r="I453" s="38" t="str">
        <x:f>IF(C453="","",IFERROR(VLOOKUP(C453,'SẢN_PHẨM'!$A$2:$G$500,6,FALSE),""))</x:f>
      </x:c>
      <x:c r="J453" s="35" t="str">
        <x:f>IF(OR(F453="",G453=""),"",F453*G453)</x:f>
      </x:c>
      <x:c r="K453" s="35" t="str">
        <x:f>IF(J453="","",J453*H453)</x:f>
      </x:c>
      <x:c r="L453" s="35" t="str">
        <x:f>IF(J453="","",J453-K453)</x:f>
      </x:c>
      <x:c r="M453" s="35" t="str">
        <x:f>IF(L453="","",L453*I453)</x:f>
      </x:c>
      <x:c r="N453" s="35" t="str">
        <x:f>IF(L453="","",L453+M453)</x:f>
      </x:c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36" t="str">
        <x:f>IF(C454="","",IFERROR(VLOOKUP(C454,'SẢN_PHẨM'!$A$2:$G$500,2,FALSE),""))</x:f>
      </x:c>
      <x:c r="E454" s="36" t="str">
        <x:f>IF(C454="","",IFERROR(VLOOKUP(C454,'SẢN_PHẨM'!$A$2:$G$500,3,FALSE),""))</x:f>
      </x:c>
      <x:c r="F454" s="39"/>
      <x:c r="G454" s="34" t="str">
        <x:f>IF(C454="","",IFERROR(VLOOKUP(C454,'SẢN_PHẨM'!$A$2:$G$500,4,FALSE),""))</x:f>
      </x:c>
      <x:c r="H454" s="43"/>
      <x:c r="I454" s="38" t="str">
        <x:f>IF(C454="","",IFERROR(VLOOKUP(C454,'SẢN_PHẨM'!$A$2:$G$500,6,FALSE),""))</x:f>
      </x:c>
      <x:c r="J454" s="35" t="str">
        <x:f>IF(OR(F454="",G454=""),"",F454*G454)</x:f>
      </x:c>
      <x:c r="K454" s="35" t="str">
        <x:f>IF(J454="","",J454*H454)</x:f>
      </x:c>
      <x:c r="L454" s="35" t="str">
        <x:f>IF(J454="","",J454-K454)</x:f>
      </x:c>
      <x:c r="M454" s="35" t="str">
        <x:f>IF(L454="","",L454*I454)</x:f>
      </x:c>
      <x:c r="N454" s="35" t="str">
        <x:f>IF(L454="","",L454+M454)</x:f>
      </x:c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36" t="str">
        <x:f>IF(C455="","",IFERROR(VLOOKUP(C455,'SẢN_PHẨM'!$A$2:$G$500,2,FALSE),""))</x:f>
      </x:c>
      <x:c r="E455" s="36" t="str">
        <x:f>IF(C455="","",IFERROR(VLOOKUP(C455,'SẢN_PHẨM'!$A$2:$G$500,3,FALSE),""))</x:f>
      </x:c>
      <x:c r="F455" s="39"/>
      <x:c r="G455" s="34" t="str">
        <x:f>IF(C455="","",IFERROR(VLOOKUP(C455,'SẢN_PHẨM'!$A$2:$G$500,4,FALSE),""))</x:f>
      </x:c>
      <x:c r="H455" s="43"/>
      <x:c r="I455" s="38" t="str">
        <x:f>IF(C455="","",IFERROR(VLOOKUP(C455,'SẢN_PHẨM'!$A$2:$G$500,6,FALSE),""))</x:f>
      </x:c>
      <x:c r="J455" s="35" t="str">
        <x:f>IF(OR(F455="",G455=""),"",F455*G455)</x:f>
      </x:c>
      <x:c r="K455" s="35" t="str">
        <x:f>IF(J455="","",J455*H455)</x:f>
      </x:c>
      <x:c r="L455" s="35" t="str">
        <x:f>IF(J455="","",J455-K455)</x:f>
      </x:c>
      <x:c r="M455" s="35" t="str">
        <x:f>IF(L455="","",L455*I455)</x:f>
      </x:c>
      <x:c r="N455" s="35" t="str">
        <x:f>IF(L455="","",L455+M455)</x:f>
      </x:c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36" t="str">
        <x:f>IF(C456="","",IFERROR(VLOOKUP(C456,'SẢN_PHẨM'!$A$2:$G$500,2,FALSE),""))</x:f>
      </x:c>
      <x:c r="E456" s="36" t="str">
        <x:f>IF(C456="","",IFERROR(VLOOKUP(C456,'SẢN_PHẨM'!$A$2:$G$500,3,FALSE),""))</x:f>
      </x:c>
      <x:c r="F456" s="39"/>
      <x:c r="G456" s="34" t="str">
        <x:f>IF(C456="","",IFERROR(VLOOKUP(C456,'SẢN_PHẨM'!$A$2:$G$500,4,FALSE),""))</x:f>
      </x:c>
      <x:c r="H456" s="43"/>
      <x:c r="I456" s="38" t="str">
        <x:f>IF(C456="","",IFERROR(VLOOKUP(C456,'SẢN_PHẨM'!$A$2:$G$500,6,FALSE),""))</x:f>
      </x:c>
      <x:c r="J456" s="35" t="str">
        <x:f>IF(OR(F456="",G456=""),"",F456*G456)</x:f>
      </x:c>
      <x:c r="K456" s="35" t="str">
        <x:f>IF(J456="","",J456*H456)</x:f>
      </x:c>
      <x:c r="L456" s="35" t="str">
        <x:f>IF(J456="","",J456-K456)</x:f>
      </x:c>
      <x:c r="M456" s="35" t="str">
        <x:f>IF(L456="","",L456*I456)</x:f>
      </x:c>
      <x:c r="N456" s="35" t="str">
        <x:f>IF(L456="","",L456+M456)</x:f>
      </x:c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36" t="str">
        <x:f>IF(C457="","",IFERROR(VLOOKUP(C457,'SẢN_PHẨM'!$A$2:$G$500,2,FALSE),""))</x:f>
      </x:c>
      <x:c r="E457" s="36" t="str">
        <x:f>IF(C457="","",IFERROR(VLOOKUP(C457,'SẢN_PHẨM'!$A$2:$G$500,3,FALSE),""))</x:f>
      </x:c>
      <x:c r="F457" s="39"/>
      <x:c r="G457" s="34" t="str">
        <x:f>IF(C457="","",IFERROR(VLOOKUP(C457,'SẢN_PHẨM'!$A$2:$G$500,4,FALSE),""))</x:f>
      </x:c>
      <x:c r="H457" s="43"/>
      <x:c r="I457" s="38" t="str">
        <x:f>IF(C457="","",IFERROR(VLOOKUP(C457,'SẢN_PHẨM'!$A$2:$G$500,6,FALSE),""))</x:f>
      </x:c>
      <x:c r="J457" s="35" t="str">
        <x:f>IF(OR(F457="",G457=""),"",F457*G457)</x:f>
      </x:c>
      <x:c r="K457" s="35" t="str">
        <x:f>IF(J457="","",J457*H457)</x:f>
      </x:c>
      <x:c r="L457" s="35" t="str">
        <x:f>IF(J457="","",J457-K457)</x:f>
      </x:c>
      <x:c r="M457" s="35" t="str">
        <x:f>IF(L457="","",L457*I457)</x:f>
      </x:c>
      <x:c r="N457" s="35" t="str">
        <x:f>IF(L457="","",L457+M457)</x:f>
      </x:c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36" t="str">
        <x:f>IF(C458="","",IFERROR(VLOOKUP(C458,'SẢN_PHẨM'!$A$2:$G$500,2,FALSE),""))</x:f>
      </x:c>
      <x:c r="E458" s="36" t="str">
        <x:f>IF(C458="","",IFERROR(VLOOKUP(C458,'SẢN_PHẨM'!$A$2:$G$500,3,FALSE),""))</x:f>
      </x:c>
      <x:c r="F458" s="39"/>
      <x:c r="G458" s="34" t="str">
        <x:f>IF(C458="","",IFERROR(VLOOKUP(C458,'SẢN_PHẨM'!$A$2:$G$500,4,FALSE),""))</x:f>
      </x:c>
      <x:c r="H458" s="43"/>
      <x:c r="I458" s="38" t="str">
        <x:f>IF(C458="","",IFERROR(VLOOKUP(C458,'SẢN_PHẨM'!$A$2:$G$500,6,FALSE),""))</x:f>
      </x:c>
      <x:c r="J458" s="35" t="str">
        <x:f>IF(OR(F458="",G458=""),"",F458*G458)</x:f>
      </x:c>
      <x:c r="K458" s="35" t="str">
        <x:f>IF(J458="","",J458*H458)</x:f>
      </x:c>
      <x:c r="L458" s="35" t="str">
        <x:f>IF(J458="","",J458-K458)</x:f>
      </x:c>
      <x:c r="M458" s="35" t="str">
        <x:f>IF(L458="","",L458*I458)</x:f>
      </x:c>
      <x:c r="N458" s="35" t="str">
        <x:f>IF(L458="","",L458+M458)</x:f>
      </x:c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36" t="str">
        <x:f>IF(C459="","",IFERROR(VLOOKUP(C459,'SẢN_PHẨM'!$A$2:$G$500,2,FALSE),""))</x:f>
      </x:c>
      <x:c r="E459" s="36" t="str">
        <x:f>IF(C459="","",IFERROR(VLOOKUP(C459,'SẢN_PHẨM'!$A$2:$G$500,3,FALSE),""))</x:f>
      </x:c>
      <x:c r="F459" s="39"/>
      <x:c r="G459" s="34" t="str">
        <x:f>IF(C459="","",IFERROR(VLOOKUP(C459,'SẢN_PHẨM'!$A$2:$G$500,4,FALSE),""))</x:f>
      </x:c>
      <x:c r="H459" s="43"/>
      <x:c r="I459" s="38" t="str">
        <x:f>IF(C459="","",IFERROR(VLOOKUP(C459,'SẢN_PHẨM'!$A$2:$G$500,6,FALSE),""))</x:f>
      </x:c>
      <x:c r="J459" s="35" t="str">
        <x:f>IF(OR(F459="",G459=""),"",F459*G459)</x:f>
      </x:c>
      <x:c r="K459" s="35" t="str">
        <x:f>IF(J459="","",J459*H459)</x:f>
      </x:c>
      <x:c r="L459" s="35" t="str">
        <x:f>IF(J459="","",J459-K459)</x:f>
      </x:c>
      <x:c r="M459" s="35" t="str">
        <x:f>IF(L459="","",L459*I459)</x:f>
      </x:c>
      <x:c r="N459" s="35" t="str">
        <x:f>IF(L459="","",L459+M459)</x:f>
      </x:c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36" t="str">
        <x:f>IF(C460="","",IFERROR(VLOOKUP(C460,'SẢN_PHẨM'!$A$2:$G$500,2,FALSE),""))</x:f>
      </x:c>
      <x:c r="E460" s="36" t="str">
        <x:f>IF(C460="","",IFERROR(VLOOKUP(C460,'SẢN_PHẨM'!$A$2:$G$500,3,FALSE),""))</x:f>
      </x:c>
      <x:c r="F460" s="39"/>
      <x:c r="G460" s="34" t="str">
        <x:f>IF(C460="","",IFERROR(VLOOKUP(C460,'SẢN_PHẨM'!$A$2:$G$500,4,FALSE),""))</x:f>
      </x:c>
      <x:c r="H460" s="43"/>
      <x:c r="I460" s="38" t="str">
        <x:f>IF(C460="","",IFERROR(VLOOKUP(C460,'SẢN_PHẨM'!$A$2:$G$500,6,FALSE),""))</x:f>
      </x:c>
      <x:c r="J460" s="35" t="str">
        <x:f>IF(OR(F460="",G460=""),"",F460*G460)</x:f>
      </x:c>
      <x:c r="K460" s="35" t="str">
        <x:f>IF(J460="","",J460*H460)</x:f>
      </x:c>
      <x:c r="L460" s="35" t="str">
        <x:f>IF(J460="","",J460-K460)</x:f>
      </x:c>
      <x:c r="M460" s="35" t="str">
        <x:f>IF(L460="","",L460*I460)</x:f>
      </x:c>
      <x:c r="N460" s="35" t="str">
        <x:f>IF(L460="","",L460+M460)</x:f>
      </x:c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36" t="str">
        <x:f>IF(C461="","",IFERROR(VLOOKUP(C461,'SẢN_PHẨM'!$A$2:$G$500,2,FALSE),""))</x:f>
      </x:c>
      <x:c r="E461" s="36" t="str">
        <x:f>IF(C461="","",IFERROR(VLOOKUP(C461,'SẢN_PHẨM'!$A$2:$G$500,3,FALSE),""))</x:f>
      </x:c>
      <x:c r="F461" s="39"/>
      <x:c r="G461" s="34" t="str">
        <x:f>IF(C461="","",IFERROR(VLOOKUP(C461,'SẢN_PHẨM'!$A$2:$G$500,4,FALSE),""))</x:f>
      </x:c>
      <x:c r="H461" s="43"/>
      <x:c r="I461" s="38" t="str">
        <x:f>IF(C461="","",IFERROR(VLOOKUP(C461,'SẢN_PHẨM'!$A$2:$G$500,6,FALSE),""))</x:f>
      </x:c>
      <x:c r="J461" s="35" t="str">
        <x:f>IF(OR(F461="",G461=""),"",F461*G461)</x:f>
      </x:c>
      <x:c r="K461" s="35" t="str">
        <x:f>IF(J461="","",J461*H461)</x:f>
      </x:c>
      <x:c r="L461" s="35" t="str">
        <x:f>IF(J461="","",J461-K461)</x:f>
      </x:c>
      <x:c r="M461" s="35" t="str">
        <x:f>IF(L461="","",L461*I461)</x:f>
      </x:c>
      <x:c r="N461" s="35" t="str">
        <x:f>IF(L461="","",L461+M461)</x:f>
      </x:c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36" t="str">
        <x:f>IF(C462="","",IFERROR(VLOOKUP(C462,'SẢN_PHẨM'!$A$2:$G$500,2,FALSE),""))</x:f>
      </x:c>
      <x:c r="E462" s="36" t="str">
        <x:f>IF(C462="","",IFERROR(VLOOKUP(C462,'SẢN_PHẨM'!$A$2:$G$500,3,FALSE),""))</x:f>
      </x:c>
      <x:c r="F462" s="39"/>
      <x:c r="G462" s="34" t="str">
        <x:f>IF(C462="","",IFERROR(VLOOKUP(C462,'SẢN_PHẨM'!$A$2:$G$500,4,FALSE),""))</x:f>
      </x:c>
      <x:c r="H462" s="43"/>
      <x:c r="I462" s="38" t="str">
        <x:f>IF(C462="","",IFERROR(VLOOKUP(C462,'SẢN_PHẨM'!$A$2:$G$500,6,FALSE),""))</x:f>
      </x:c>
      <x:c r="J462" s="35" t="str">
        <x:f>IF(OR(F462="",G462=""),"",F462*G462)</x:f>
      </x:c>
      <x:c r="K462" s="35" t="str">
        <x:f>IF(J462="","",J462*H462)</x:f>
      </x:c>
      <x:c r="L462" s="35" t="str">
        <x:f>IF(J462="","",J462-K462)</x:f>
      </x:c>
      <x:c r="M462" s="35" t="str">
        <x:f>IF(L462="","",L462*I462)</x:f>
      </x:c>
      <x:c r="N462" s="35" t="str">
        <x:f>IF(L462="","",L462+M462)</x:f>
      </x:c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36" t="str">
        <x:f>IF(C463="","",IFERROR(VLOOKUP(C463,'SẢN_PHẨM'!$A$2:$G$500,2,FALSE),""))</x:f>
      </x:c>
      <x:c r="E463" s="36" t="str">
        <x:f>IF(C463="","",IFERROR(VLOOKUP(C463,'SẢN_PHẨM'!$A$2:$G$500,3,FALSE),""))</x:f>
      </x:c>
      <x:c r="F463" s="39"/>
      <x:c r="G463" s="34" t="str">
        <x:f>IF(C463="","",IFERROR(VLOOKUP(C463,'SẢN_PHẨM'!$A$2:$G$500,4,FALSE),""))</x:f>
      </x:c>
      <x:c r="H463" s="43"/>
      <x:c r="I463" s="38" t="str">
        <x:f>IF(C463="","",IFERROR(VLOOKUP(C463,'SẢN_PHẨM'!$A$2:$G$500,6,FALSE),""))</x:f>
      </x:c>
      <x:c r="J463" s="35" t="str">
        <x:f>IF(OR(F463="",G463=""),"",F463*G463)</x:f>
      </x:c>
      <x:c r="K463" s="35" t="str">
        <x:f>IF(J463="","",J463*H463)</x:f>
      </x:c>
      <x:c r="L463" s="35" t="str">
        <x:f>IF(J463="","",J463-K463)</x:f>
      </x:c>
      <x:c r="M463" s="35" t="str">
        <x:f>IF(L463="","",L463*I463)</x:f>
      </x:c>
      <x:c r="N463" s="35" t="str">
        <x:f>IF(L463="","",L463+M463)</x:f>
      </x:c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36" t="str">
        <x:f>IF(C464="","",IFERROR(VLOOKUP(C464,'SẢN_PHẨM'!$A$2:$G$500,2,FALSE),""))</x:f>
      </x:c>
      <x:c r="E464" s="36" t="str">
        <x:f>IF(C464="","",IFERROR(VLOOKUP(C464,'SẢN_PHẨM'!$A$2:$G$500,3,FALSE),""))</x:f>
      </x:c>
      <x:c r="F464" s="39"/>
      <x:c r="G464" s="34" t="str">
        <x:f>IF(C464="","",IFERROR(VLOOKUP(C464,'SẢN_PHẨM'!$A$2:$G$500,4,FALSE),""))</x:f>
      </x:c>
      <x:c r="H464" s="43"/>
      <x:c r="I464" s="38" t="str">
        <x:f>IF(C464="","",IFERROR(VLOOKUP(C464,'SẢN_PHẨM'!$A$2:$G$500,6,FALSE),""))</x:f>
      </x:c>
      <x:c r="J464" s="35" t="str">
        <x:f>IF(OR(F464="",G464=""),"",F464*G464)</x:f>
      </x:c>
      <x:c r="K464" s="35" t="str">
        <x:f>IF(J464="","",J464*H464)</x:f>
      </x:c>
      <x:c r="L464" s="35" t="str">
        <x:f>IF(J464="","",J464-K464)</x:f>
      </x:c>
      <x:c r="M464" s="35" t="str">
        <x:f>IF(L464="","",L464*I464)</x:f>
      </x:c>
      <x:c r="N464" s="35" t="str">
        <x:f>IF(L464="","",L464+M464)</x:f>
      </x:c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36" t="str">
        <x:f>IF(C465="","",IFERROR(VLOOKUP(C465,'SẢN_PHẨM'!$A$2:$G$500,2,FALSE),""))</x:f>
      </x:c>
      <x:c r="E465" s="36" t="str">
        <x:f>IF(C465="","",IFERROR(VLOOKUP(C465,'SẢN_PHẨM'!$A$2:$G$500,3,FALSE),""))</x:f>
      </x:c>
      <x:c r="F465" s="39"/>
      <x:c r="G465" s="34" t="str">
        <x:f>IF(C465="","",IFERROR(VLOOKUP(C465,'SẢN_PHẨM'!$A$2:$G$500,4,FALSE),""))</x:f>
      </x:c>
      <x:c r="H465" s="43"/>
      <x:c r="I465" s="38" t="str">
        <x:f>IF(C465="","",IFERROR(VLOOKUP(C465,'SẢN_PHẨM'!$A$2:$G$500,6,FALSE),""))</x:f>
      </x:c>
      <x:c r="J465" s="35" t="str">
        <x:f>IF(OR(F465="",G465=""),"",F465*G465)</x:f>
      </x:c>
      <x:c r="K465" s="35" t="str">
        <x:f>IF(J465="","",J465*H465)</x:f>
      </x:c>
      <x:c r="L465" s="35" t="str">
        <x:f>IF(J465="","",J465-K465)</x:f>
      </x:c>
      <x:c r="M465" s="35" t="str">
        <x:f>IF(L465="","",L465*I465)</x:f>
      </x:c>
      <x:c r="N465" s="35" t="str">
        <x:f>IF(L465="","",L465+M465)</x:f>
      </x:c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36" t="str">
        <x:f>IF(C466="","",IFERROR(VLOOKUP(C466,'SẢN_PHẨM'!$A$2:$G$500,2,FALSE),""))</x:f>
      </x:c>
      <x:c r="E466" s="36" t="str">
        <x:f>IF(C466="","",IFERROR(VLOOKUP(C466,'SẢN_PHẨM'!$A$2:$G$500,3,FALSE),""))</x:f>
      </x:c>
      <x:c r="F466" s="39"/>
      <x:c r="G466" s="34" t="str">
        <x:f>IF(C466="","",IFERROR(VLOOKUP(C466,'SẢN_PHẨM'!$A$2:$G$500,4,FALSE),""))</x:f>
      </x:c>
      <x:c r="H466" s="43"/>
      <x:c r="I466" s="38" t="str">
        <x:f>IF(C466="","",IFERROR(VLOOKUP(C466,'SẢN_PHẨM'!$A$2:$G$500,6,FALSE),""))</x:f>
      </x:c>
      <x:c r="J466" s="35" t="str">
        <x:f>IF(OR(F466="",G466=""),"",F466*G466)</x:f>
      </x:c>
      <x:c r="K466" s="35" t="str">
        <x:f>IF(J466="","",J466*H466)</x:f>
      </x:c>
      <x:c r="L466" s="35" t="str">
        <x:f>IF(J466="","",J466-K466)</x:f>
      </x:c>
      <x:c r="M466" s="35" t="str">
        <x:f>IF(L466="","",L466*I466)</x:f>
      </x:c>
      <x:c r="N466" s="35" t="str">
        <x:f>IF(L466="","",L466+M466)</x:f>
      </x:c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36" t="str">
        <x:f>IF(C467="","",IFERROR(VLOOKUP(C467,'SẢN_PHẨM'!$A$2:$G$500,2,FALSE),""))</x:f>
      </x:c>
      <x:c r="E467" s="36" t="str">
        <x:f>IF(C467="","",IFERROR(VLOOKUP(C467,'SẢN_PHẨM'!$A$2:$G$500,3,FALSE),""))</x:f>
      </x:c>
      <x:c r="F467" s="39"/>
      <x:c r="G467" s="34" t="str">
        <x:f>IF(C467="","",IFERROR(VLOOKUP(C467,'SẢN_PHẨM'!$A$2:$G$500,4,FALSE),""))</x:f>
      </x:c>
      <x:c r="H467" s="43"/>
      <x:c r="I467" s="38" t="str">
        <x:f>IF(C467="","",IFERROR(VLOOKUP(C467,'SẢN_PHẨM'!$A$2:$G$500,6,FALSE),""))</x:f>
      </x:c>
      <x:c r="J467" s="35" t="str">
        <x:f>IF(OR(F467="",G467=""),"",F467*G467)</x:f>
      </x:c>
      <x:c r="K467" s="35" t="str">
        <x:f>IF(J467="","",J467*H467)</x:f>
      </x:c>
      <x:c r="L467" s="35" t="str">
        <x:f>IF(J467="","",J467-K467)</x:f>
      </x:c>
      <x:c r="M467" s="35" t="str">
        <x:f>IF(L467="","",L467*I467)</x:f>
      </x:c>
      <x:c r="N467" s="35" t="str">
        <x:f>IF(L467="","",L467+M467)</x:f>
      </x:c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36" t="str">
        <x:f>IF(C468="","",IFERROR(VLOOKUP(C468,'SẢN_PHẨM'!$A$2:$G$500,2,FALSE),""))</x:f>
      </x:c>
      <x:c r="E468" s="36" t="str">
        <x:f>IF(C468="","",IFERROR(VLOOKUP(C468,'SẢN_PHẨM'!$A$2:$G$500,3,FALSE),""))</x:f>
      </x:c>
      <x:c r="F468" s="39"/>
      <x:c r="G468" s="34" t="str">
        <x:f>IF(C468="","",IFERROR(VLOOKUP(C468,'SẢN_PHẨM'!$A$2:$G$500,4,FALSE),""))</x:f>
      </x:c>
      <x:c r="H468" s="43"/>
      <x:c r="I468" s="38" t="str">
        <x:f>IF(C468="","",IFERROR(VLOOKUP(C468,'SẢN_PHẨM'!$A$2:$G$500,6,FALSE),""))</x:f>
      </x:c>
      <x:c r="J468" s="35" t="str">
        <x:f>IF(OR(F468="",G468=""),"",F468*G468)</x:f>
      </x:c>
      <x:c r="K468" s="35" t="str">
        <x:f>IF(J468="","",J468*H468)</x:f>
      </x:c>
      <x:c r="L468" s="35" t="str">
        <x:f>IF(J468="","",J468-K468)</x:f>
      </x:c>
      <x:c r="M468" s="35" t="str">
        <x:f>IF(L468="","",L468*I468)</x:f>
      </x:c>
      <x:c r="N468" s="35" t="str">
        <x:f>IF(L468="","",L468+M468)</x:f>
      </x:c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36" t="str">
        <x:f>IF(C469="","",IFERROR(VLOOKUP(C469,'SẢN_PHẨM'!$A$2:$G$500,2,FALSE),""))</x:f>
      </x:c>
      <x:c r="E469" s="36" t="str">
        <x:f>IF(C469="","",IFERROR(VLOOKUP(C469,'SẢN_PHẨM'!$A$2:$G$500,3,FALSE),""))</x:f>
      </x:c>
      <x:c r="F469" s="39"/>
      <x:c r="G469" s="34" t="str">
        <x:f>IF(C469="","",IFERROR(VLOOKUP(C469,'SẢN_PHẨM'!$A$2:$G$500,4,FALSE),""))</x:f>
      </x:c>
      <x:c r="H469" s="43"/>
      <x:c r="I469" s="38" t="str">
        <x:f>IF(C469="","",IFERROR(VLOOKUP(C469,'SẢN_PHẨM'!$A$2:$G$500,6,FALSE),""))</x:f>
      </x:c>
      <x:c r="J469" s="35" t="str">
        <x:f>IF(OR(F469="",G469=""),"",F469*G469)</x:f>
      </x:c>
      <x:c r="K469" s="35" t="str">
        <x:f>IF(J469="","",J469*H469)</x:f>
      </x:c>
      <x:c r="L469" s="35" t="str">
        <x:f>IF(J469="","",J469-K469)</x:f>
      </x:c>
      <x:c r="M469" s="35" t="str">
        <x:f>IF(L469="","",L469*I469)</x:f>
      </x:c>
      <x:c r="N469" s="35" t="str">
        <x:f>IF(L469="","",L469+M469)</x:f>
      </x:c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36" t="str">
        <x:f>IF(C470="","",IFERROR(VLOOKUP(C470,'SẢN_PHẨM'!$A$2:$G$500,2,FALSE),""))</x:f>
      </x:c>
      <x:c r="E470" s="36" t="str">
        <x:f>IF(C470="","",IFERROR(VLOOKUP(C470,'SẢN_PHẨM'!$A$2:$G$500,3,FALSE),""))</x:f>
      </x:c>
      <x:c r="F470" s="39"/>
      <x:c r="G470" s="34" t="str">
        <x:f>IF(C470="","",IFERROR(VLOOKUP(C470,'SẢN_PHẨM'!$A$2:$G$500,4,FALSE),""))</x:f>
      </x:c>
      <x:c r="H470" s="43"/>
      <x:c r="I470" s="38" t="str">
        <x:f>IF(C470="","",IFERROR(VLOOKUP(C470,'SẢN_PHẨM'!$A$2:$G$500,6,FALSE),""))</x:f>
      </x:c>
      <x:c r="J470" s="35" t="str">
        <x:f>IF(OR(F470="",G470=""),"",F470*G470)</x:f>
      </x:c>
      <x:c r="K470" s="35" t="str">
        <x:f>IF(J470="","",J470*H470)</x:f>
      </x:c>
      <x:c r="L470" s="35" t="str">
        <x:f>IF(J470="","",J470-K470)</x:f>
      </x:c>
      <x:c r="M470" s="35" t="str">
        <x:f>IF(L470="","",L470*I470)</x:f>
      </x:c>
      <x:c r="N470" s="35" t="str">
        <x:f>IF(L470="","",L470+M470)</x:f>
      </x:c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36" t="str">
        <x:f>IF(C471="","",IFERROR(VLOOKUP(C471,'SẢN_PHẨM'!$A$2:$G$500,2,FALSE),""))</x:f>
      </x:c>
      <x:c r="E471" s="36" t="str">
        <x:f>IF(C471="","",IFERROR(VLOOKUP(C471,'SẢN_PHẨM'!$A$2:$G$500,3,FALSE),""))</x:f>
      </x:c>
      <x:c r="F471" s="39"/>
      <x:c r="G471" s="34" t="str">
        <x:f>IF(C471="","",IFERROR(VLOOKUP(C471,'SẢN_PHẨM'!$A$2:$G$500,4,FALSE),""))</x:f>
      </x:c>
      <x:c r="H471" s="43"/>
      <x:c r="I471" s="38" t="str">
        <x:f>IF(C471="","",IFERROR(VLOOKUP(C471,'SẢN_PHẨM'!$A$2:$G$500,6,FALSE),""))</x:f>
      </x:c>
      <x:c r="J471" s="35" t="str">
        <x:f>IF(OR(F471="",G471=""),"",F471*G471)</x:f>
      </x:c>
      <x:c r="K471" s="35" t="str">
        <x:f>IF(J471="","",J471*H471)</x:f>
      </x:c>
      <x:c r="L471" s="35" t="str">
        <x:f>IF(J471="","",J471-K471)</x:f>
      </x:c>
      <x:c r="M471" s="35" t="str">
        <x:f>IF(L471="","",L471*I471)</x:f>
      </x:c>
      <x:c r="N471" s="35" t="str">
        <x:f>IF(L471="","",L471+M471)</x:f>
      </x:c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36" t="str">
        <x:f>IF(C472="","",IFERROR(VLOOKUP(C472,'SẢN_PHẨM'!$A$2:$G$500,2,FALSE),""))</x:f>
      </x:c>
      <x:c r="E472" s="36" t="str">
        <x:f>IF(C472="","",IFERROR(VLOOKUP(C472,'SẢN_PHẨM'!$A$2:$G$500,3,FALSE),""))</x:f>
      </x:c>
      <x:c r="F472" s="39"/>
      <x:c r="G472" s="34" t="str">
        <x:f>IF(C472="","",IFERROR(VLOOKUP(C472,'SẢN_PHẨM'!$A$2:$G$500,4,FALSE),""))</x:f>
      </x:c>
      <x:c r="H472" s="43"/>
      <x:c r="I472" s="38" t="str">
        <x:f>IF(C472="","",IFERROR(VLOOKUP(C472,'SẢN_PHẨM'!$A$2:$G$500,6,FALSE),""))</x:f>
      </x:c>
      <x:c r="J472" s="35" t="str">
        <x:f>IF(OR(F472="",G472=""),"",F472*G472)</x:f>
      </x:c>
      <x:c r="K472" s="35" t="str">
        <x:f>IF(J472="","",J472*H472)</x:f>
      </x:c>
      <x:c r="L472" s="35" t="str">
        <x:f>IF(J472="","",J472-K472)</x:f>
      </x:c>
      <x:c r="M472" s="35" t="str">
        <x:f>IF(L472="","",L472*I472)</x:f>
      </x:c>
      <x:c r="N472" s="35" t="str">
        <x:f>IF(L472="","",L472+M472)</x:f>
      </x:c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36" t="str">
        <x:f>IF(C473="","",IFERROR(VLOOKUP(C473,'SẢN_PHẨM'!$A$2:$G$500,2,FALSE),""))</x:f>
      </x:c>
      <x:c r="E473" s="36" t="str">
        <x:f>IF(C473="","",IFERROR(VLOOKUP(C473,'SẢN_PHẨM'!$A$2:$G$500,3,FALSE),""))</x:f>
      </x:c>
      <x:c r="F473" s="39"/>
      <x:c r="G473" s="34" t="str">
        <x:f>IF(C473="","",IFERROR(VLOOKUP(C473,'SẢN_PHẨM'!$A$2:$G$500,4,FALSE),""))</x:f>
      </x:c>
      <x:c r="H473" s="43"/>
      <x:c r="I473" s="38" t="str">
        <x:f>IF(C473="","",IFERROR(VLOOKUP(C473,'SẢN_PHẨM'!$A$2:$G$500,6,FALSE),""))</x:f>
      </x:c>
      <x:c r="J473" s="35" t="str">
        <x:f>IF(OR(F473="",G473=""),"",F473*G473)</x:f>
      </x:c>
      <x:c r="K473" s="35" t="str">
        <x:f>IF(J473="","",J473*H473)</x:f>
      </x:c>
      <x:c r="L473" s="35" t="str">
        <x:f>IF(J473="","",J473-K473)</x:f>
      </x:c>
      <x:c r="M473" s="35" t="str">
        <x:f>IF(L473="","",L473*I473)</x:f>
      </x:c>
      <x:c r="N473" s="35" t="str">
        <x:f>IF(L473="","",L473+M473)</x:f>
      </x:c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36" t="str">
        <x:f>IF(C474="","",IFERROR(VLOOKUP(C474,'SẢN_PHẨM'!$A$2:$G$500,2,FALSE),""))</x:f>
      </x:c>
      <x:c r="E474" s="36" t="str">
        <x:f>IF(C474="","",IFERROR(VLOOKUP(C474,'SẢN_PHẨM'!$A$2:$G$500,3,FALSE),""))</x:f>
      </x:c>
      <x:c r="F474" s="39"/>
      <x:c r="G474" s="34" t="str">
        <x:f>IF(C474="","",IFERROR(VLOOKUP(C474,'SẢN_PHẨM'!$A$2:$G$500,4,FALSE),""))</x:f>
      </x:c>
      <x:c r="H474" s="43"/>
      <x:c r="I474" s="38" t="str">
        <x:f>IF(C474="","",IFERROR(VLOOKUP(C474,'SẢN_PHẨM'!$A$2:$G$500,6,FALSE),""))</x:f>
      </x:c>
      <x:c r="J474" s="35" t="str">
        <x:f>IF(OR(F474="",G474=""),"",F474*G474)</x:f>
      </x:c>
      <x:c r="K474" s="35" t="str">
        <x:f>IF(J474="","",J474*H474)</x:f>
      </x:c>
      <x:c r="L474" s="35" t="str">
        <x:f>IF(J474="","",J474-K474)</x:f>
      </x:c>
      <x:c r="M474" s="35" t="str">
        <x:f>IF(L474="","",L474*I474)</x:f>
      </x:c>
      <x:c r="N474" s="35" t="str">
        <x:f>IF(L474="","",L474+M474)</x:f>
      </x:c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36" t="str">
        <x:f>IF(C475="","",IFERROR(VLOOKUP(C475,'SẢN_PHẨM'!$A$2:$G$500,2,FALSE),""))</x:f>
      </x:c>
      <x:c r="E475" s="36" t="str">
        <x:f>IF(C475="","",IFERROR(VLOOKUP(C475,'SẢN_PHẨM'!$A$2:$G$500,3,FALSE),""))</x:f>
      </x:c>
      <x:c r="F475" s="39"/>
      <x:c r="G475" s="34" t="str">
        <x:f>IF(C475="","",IFERROR(VLOOKUP(C475,'SẢN_PHẨM'!$A$2:$G$500,4,FALSE),""))</x:f>
      </x:c>
      <x:c r="H475" s="43"/>
      <x:c r="I475" s="38" t="str">
        <x:f>IF(C475="","",IFERROR(VLOOKUP(C475,'SẢN_PHẨM'!$A$2:$G$500,6,FALSE),""))</x:f>
      </x:c>
      <x:c r="J475" s="35" t="str">
        <x:f>IF(OR(F475="",G475=""),"",F475*G475)</x:f>
      </x:c>
      <x:c r="K475" s="35" t="str">
        <x:f>IF(J475="","",J475*H475)</x:f>
      </x:c>
      <x:c r="L475" s="35" t="str">
        <x:f>IF(J475="","",J475-K475)</x:f>
      </x:c>
      <x:c r="M475" s="35" t="str">
        <x:f>IF(L475="","",L475*I475)</x:f>
      </x:c>
      <x:c r="N475" s="35" t="str">
        <x:f>IF(L475="","",L475+M475)</x:f>
      </x:c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36" t="str">
        <x:f>IF(C476="","",IFERROR(VLOOKUP(C476,'SẢN_PHẨM'!$A$2:$G$500,2,FALSE),""))</x:f>
      </x:c>
      <x:c r="E476" s="36" t="str">
        <x:f>IF(C476="","",IFERROR(VLOOKUP(C476,'SẢN_PHẨM'!$A$2:$G$500,3,FALSE),""))</x:f>
      </x:c>
      <x:c r="F476" s="39"/>
      <x:c r="G476" s="34" t="str">
        <x:f>IF(C476="","",IFERROR(VLOOKUP(C476,'SẢN_PHẨM'!$A$2:$G$500,4,FALSE),""))</x:f>
      </x:c>
      <x:c r="H476" s="43"/>
      <x:c r="I476" s="38" t="str">
        <x:f>IF(C476="","",IFERROR(VLOOKUP(C476,'SẢN_PHẨM'!$A$2:$G$500,6,FALSE),""))</x:f>
      </x:c>
      <x:c r="J476" s="35" t="str">
        <x:f>IF(OR(F476="",G476=""),"",F476*G476)</x:f>
      </x:c>
      <x:c r="K476" s="35" t="str">
        <x:f>IF(J476="","",J476*H476)</x:f>
      </x:c>
      <x:c r="L476" s="35" t="str">
        <x:f>IF(J476="","",J476-K476)</x:f>
      </x:c>
      <x:c r="M476" s="35" t="str">
        <x:f>IF(L476="","",L476*I476)</x:f>
      </x:c>
      <x:c r="N476" s="35" t="str">
        <x:f>IF(L476="","",L476+M476)</x:f>
      </x:c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36" t="str">
        <x:f>IF(C477="","",IFERROR(VLOOKUP(C477,'SẢN_PHẨM'!$A$2:$G$500,2,FALSE),""))</x:f>
      </x:c>
      <x:c r="E477" s="36" t="str">
        <x:f>IF(C477="","",IFERROR(VLOOKUP(C477,'SẢN_PHẨM'!$A$2:$G$500,3,FALSE),""))</x:f>
      </x:c>
      <x:c r="F477" s="39"/>
      <x:c r="G477" s="34" t="str">
        <x:f>IF(C477="","",IFERROR(VLOOKUP(C477,'SẢN_PHẨM'!$A$2:$G$500,4,FALSE),""))</x:f>
      </x:c>
      <x:c r="H477" s="43"/>
      <x:c r="I477" s="38" t="str">
        <x:f>IF(C477="","",IFERROR(VLOOKUP(C477,'SẢN_PHẨM'!$A$2:$G$500,6,FALSE),""))</x:f>
      </x:c>
      <x:c r="J477" s="35" t="str">
        <x:f>IF(OR(F477="",G477=""),"",F477*G477)</x:f>
      </x:c>
      <x:c r="K477" s="35" t="str">
        <x:f>IF(J477="","",J477*H477)</x:f>
      </x:c>
      <x:c r="L477" s="35" t="str">
        <x:f>IF(J477="","",J477-K477)</x:f>
      </x:c>
      <x:c r="M477" s="35" t="str">
        <x:f>IF(L477="","",L477*I477)</x:f>
      </x:c>
      <x:c r="N477" s="35" t="str">
        <x:f>IF(L477="","",L477+M477)</x:f>
      </x:c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36" t="str">
        <x:f>IF(C478="","",IFERROR(VLOOKUP(C478,'SẢN_PHẨM'!$A$2:$G$500,2,FALSE),""))</x:f>
      </x:c>
      <x:c r="E478" s="36" t="str">
        <x:f>IF(C478="","",IFERROR(VLOOKUP(C478,'SẢN_PHẨM'!$A$2:$G$500,3,FALSE),""))</x:f>
      </x:c>
      <x:c r="F478" s="39"/>
      <x:c r="G478" s="34" t="str">
        <x:f>IF(C478="","",IFERROR(VLOOKUP(C478,'SẢN_PHẨM'!$A$2:$G$500,4,FALSE),""))</x:f>
      </x:c>
      <x:c r="H478" s="43"/>
      <x:c r="I478" s="38" t="str">
        <x:f>IF(C478="","",IFERROR(VLOOKUP(C478,'SẢN_PHẨM'!$A$2:$G$500,6,FALSE),""))</x:f>
      </x:c>
      <x:c r="J478" s="35" t="str">
        <x:f>IF(OR(F478="",G478=""),"",F478*G478)</x:f>
      </x:c>
      <x:c r="K478" s="35" t="str">
        <x:f>IF(J478="","",J478*H478)</x:f>
      </x:c>
      <x:c r="L478" s="35" t="str">
        <x:f>IF(J478="","",J478-K478)</x:f>
      </x:c>
      <x:c r="M478" s="35" t="str">
        <x:f>IF(L478="","",L478*I478)</x:f>
      </x:c>
      <x:c r="N478" s="35" t="str">
        <x:f>IF(L478="","",L478+M478)</x:f>
      </x:c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36" t="str">
        <x:f>IF(C479="","",IFERROR(VLOOKUP(C479,'SẢN_PHẨM'!$A$2:$G$500,2,FALSE),""))</x:f>
      </x:c>
      <x:c r="E479" s="36" t="str">
        <x:f>IF(C479="","",IFERROR(VLOOKUP(C479,'SẢN_PHẨM'!$A$2:$G$500,3,FALSE),""))</x:f>
      </x:c>
      <x:c r="F479" s="39"/>
      <x:c r="G479" s="34" t="str">
        <x:f>IF(C479="","",IFERROR(VLOOKUP(C479,'SẢN_PHẨM'!$A$2:$G$500,4,FALSE),""))</x:f>
      </x:c>
      <x:c r="H479" s="43"/>
      <x:c r="I479" s="38" t="str">
        <x:f>IF(C479="","",IFERROR(VLOOKUP(C479,'SẢN_PHẨM'!$A$2:$G$500,6,FALSE),""))</x:f>
      </x:c>
      <x:c r="J479" s="35" t="str">
        <x:f>IF(OR(F479="",G479=""),"",F479*G479)</x:f>
      </x:c>
      <x:c r="K479" s="35" t="str">
        <x:f>IF(J479="","",J479*H479)</x:f>
      </x:c>
      <x:c r="L479" s="35" t="str">
        <x:f>IF(J479="","",J479-K479)</x:f>
      </x:c>
      <x:c r="M479" s="35" t="str">
        <x:f>IF(L479="","",L479*I479)</x:f>
      </x:c>
      <x:c r="N479" s="35" t="str">
        <x:f>IF(L479="","",L479+M479)</x:f>
      </x:c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36" t="str">
        <x:f>IF(C480="","",IFERROR(VLOOKUP(C480,'SẢN_PHẨM'!$A$2:$G$500,2,FALSE),""))</x:f>
      </x:c>
      <x:c r="E480" s="36" t="str">
        <x:f>IF(C480="","",IFERROR(VLOOKUP(C480,'SẢN_PHẨM'!$A$2:$G$500,3,FALSE),""))</x:f>
      </x:c>
      <x:c r="F480" s="39"/>
      <x:c r="G480" s="34" t="str">
        <x:f>IF(C480="","",IFERROR(VLOOKUP(C480,'SẢN_PHẨM'!$A$2:$G$500,4,FALSE),""))</x:f>
      </x:c>
      <x:c r="H480" s="43"/>
      <x:c r="I480" s="38" t="str">
        <x:f>IF(C480="","",IFERROR(VLOOKUP(C480,'SẢN_PHẨM'!$A$2:$G$500,6,FALSE),""))</x:f>
      </x:c>
      <x:c r="J480" s="35" t="str">
        <x:f>IF(OR(F480="",G480=""),"",F480*G480)</x:f>
      </x:c>
      <x:c r="K480" s="35" t="str">
        <x:f>IF(J480="","",J480*H480)</x:f>
      </x:c>
      <x:c r="L480" s="35" t="str">
        <x:f>IF(J480="","",J480-K480)</x:f>
      </x:c>
      <x:c r="M480" s="35" t="str">
        <x:f>IF(L480="","",L480*I480)</x:f>
      </x:c>
      <x:c r="N480" s="35" t="str">
        <x:f>IF(L480="","",L480+M480)</x:f>
      </x:c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36" t="str">
        <x:f>IF(C481="","",IFERROR(VLOOKUP(C481,'SẢN_PHẨM'!$A$2:$G$500,2,FALSE),""))</x:f>
      </x:c>
      <x:c r="E481" s="36" t="str">
        <x:f>IF(C481="","",IFERROR(VLOOKUP(C481,'SẢN_PHẨM'!$A$2:$G$500,3,FALSE),""))</x:f>
      </x:c>
      <x:c r="F481" s="39"/>
      <x:c r="G481" s="34" t="str">
        <x:f>IF(C481="","",IFERROR(VLOOKUP(C481,'SẢN_PHẨM'!$A$2:$G$500,4,FALSE),""))</x:f>
      </x:c>
      <x:c r="H481" s="43"/>
      <x:c r="I481" s="38" t="str">
        <x:f>IF(C481="","",IFERROR(VLOOKUP(C481,'SẢN_PHẨM'!$A$2:$G$500,6,FALSE),""))</x:f>
      </x:c>
      <x:c r="J481" s="35" t="str">
        <x:f>IF(OR(F481="",G481=""),"",F481*G481)</x:f>
      </x:c>
      <x:c r="K481" s="35" t="str">
        <x:f>IF(J481="","",J481*H481)</x:f>
      </x:c>
      <x:c r="L481" s="35" t="str">
        <x:f>IF(J481="","",J481-K481)</x:f>
      </x:c>
      <x:c r="M481" s="35" t="str">
        <x:f>IF(L481="","",L481*I481)</x:f>
      </x:c>
      <x:c r="N481" s="35" t="str">
        <x:f>IF(L481="","",L481+M481)</x:f>
      </x:c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36" t="str">
        <x:f>IF(C482="","",IFERROR(VLOOKUP(C482,'SẢN_PHẨM'!$A$2:$G$500,2,FALSE),""))</x:f>
      </x:c>
      <x:c r="E482" s="36" t="str">
        <x:f>IF(C482="","",IFERROR(VLOOKUP(C482,'SẢN_PHẨM'!$A$2:$G$500,3,FALSE),""))</x:f>
      </x:c>
      <x:c r="F482" s="39"/>
      <x:c r="G482" s="34" t="str">
        <x:f>IF(C482="","",IFERROR(VLOOKUP(C482,'SẢN_PHẨM'!$A$2:$G$500,4,FALSE),""))</x:f>
      </x:c>
      <x:c r="H482" s="43"/>
      <x:c r="I482" s="38" t="str">
        <x:f>IF(C482="","",IFERROR(VLOOKUP(C482,'SẢN_PHẨM'!$A$2:$G$500,6,FALSE),""))</x:f>
      </x:c>
      <x:c r="J482" s="35" t="str">
        <x:f>IF(OR(F482="",G482=""),"",F482*G482)</x:f>
      </x:c>
      <x:c r="K482" s="35" t="str">
        <x:f>IF(J482="","",J482*H482)</x:f>
      </x:c>
      <x:c r="L482" s="35" t="str">
        <x:f>IF(J482="","",J482-K482)</x:f>
      </x:c>
      <x:c r="M482" s="35" t="str">
        <x:f>IF(L482="","",L482*I482)</x:f>
      </x:c>
      <x:c r="N482" s="35" t="str">
        <x:f>IF(L482="","",L482+M482)</x:f>
      </x:c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36" t="str">
        <x:f>IF(C483="","",IFERROR(VLOOKUP(C483,'SẢN_PHẨM'!$A$2:$G$500,2,FALSE),""))</x:f>
      </x:c>
      <x:c r="E483" s="36" t="str">
        <x:f>IF(C483="","",IFERROR(VLOOKUP(C483,'SẢN_PHẨM'!$A$2:$G$500,3,FALSE),""))</x:f>
      </x:c>
      <x:c r="F483" s="39"/>
      <x:c r="G483" s="34" t="str">
        <x:f>IF(C483="","",IFERROR(VLOOKUP(C483,'SẢN_PHẨM'!$A$2:$G$500,4,FALSE),""))</x:f>
      </x:c>
      <x:c r="H483" s="43"/>
      <x:c r="I483" s="38" t="str">
        <x:f>IF(C483="","",IFERROR(VLOOKUP(C483,'SẢN_PHẨM'!$A$2:$G$500,6,FALSE),""))</x:f>
      </x:c>
      <x:c r="J483" s="35" t="str">
        <x:f>IF(OR(F483="",G483=""),"",F483*G483)</x:f>
      </x:c>
      <x:c r="K483" s="35" t="str">
        <x:f>IF(J483="","",J483*H483)</x:f>
      </x:c>
      <x:c r="L483" s="35" t="str">
        <x:f>IF(J483="","",J483-K483)</x:f>
      </x:c>
      <x:c r="M483" s="35" t="str">
        <x:f>IF(L483="","",L483*I483)</x:f>
      </x:c>
      <x:c r="N483" s="35" t="str">
        <x:f>IF(L483="","",L483+M483)</x:f>
      </x:c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36" t="str">
        <x:f>IF(C484="","",IFERROR(VLOOKUP(C484,'SẢN_PHẨM'!$A$2:$G$500,2,FALSE),""))</x:f>
      </x:c>
      <x:c r="E484" s="36" t="str">
        <x:f>IF(C484="","",IFERROR(VLOOKUP(C484,'SẢN_PHẨM'!$A$2:$G$500,3,FALSE),""))</x:f>
      </x:c>
      <x:c r="F484" s="39"/>
      <x:c r="G484" s="34" t="str">
        <x:f>IF(C484="","",IFERROR(VLOOKUP(C484,'SẢN_PHẨM'!$A$2:$G$500,4,FALSE),""))</x:f>
      </x:c>
      <x:c r="H484" s="43"/>
      <x:c r="I484" s="38" t="str">
        <x:f>IF(C484="","",IFERROR(VLOOKUP(C484,'SẢN_PHẨM'!$A$2:$G$500,6,FALSE),""))</x:f>
      </x:c>
      <x:c r="J484" s="35" t="str">
        <x:f>IF(OR(F484="",G484=""),"",F484*G484)</x:f>
      </x:c>
      <x:c r="K484" s="35" t="str">
        <x:f>IF(J484="","",J484*H484)</x:f>
      </x:c>
      <x:c r="L484" s="35" t="str">
        <x:f>IF(J484="","",J484-K484)</x:f>
      </x:c>
      <x:c r="M484" s="35" t="str">
        <x:f>IF(L484="","",L484*I484)</x:f>
      </x:c>
      <x:c r="N484" s="35" t="str">
        <x:f>IF(L484="","",L484+M484)</x:f>
      </x:c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36" t="str">
        <x:f>IF(C485="","",IFERROR(VLOOKUP(C485,'SẢN_PHẨM'!$A$2:$G$500,2,FALSE),""))</x:f>
      </x:c>
      <x:c r="E485" s="36" t="str">
        <x:f>IF(C485="","",IFERROR(VLOOKUP(C485,'SẢN_PHẨM'!$A$2:$G$500,3,FALSE),""))</x:f>
      </x:c>
      <x:c r="F485" s="39"/>
      <x:c r="G485" s="34" t="str">
        <x:f>IF(C485="","",IFERROR(VLOOKUP(C485,'SẢN_PHẨM'!$A$2:$G$500,4,FALSE),""))</x:f>
      </x:c>
      <x:c r="H485" s="43"/>
      <x:c r="I485" s="38" t="str">
        <x:f>IF(C485="","",IFERROR(VLOOKUP(C485,'SẢN_PHẨM'!$A$2:$G$500,6,FALSE),""))</x:f>
      </x:c>
      <x:c r="J485" s="35" t="str">
        <x:f>IF(OR(F485="",G485=""),"",F485*G485)</x:f>
      </x:c>
      <x:c r="K485" s="35" t="str">
        <x:f>IF(J485="","",J485*H485)</x:f>
      </x:c>
      <x:c r="L485" s="35" t="str">
        <x:f>IF(J485="","",J485-K485)</x:f>
      </x:c>
      <x:c r="M485" s="35" t="str">
        <x:f>IF(L485="","",L485*I485)</x:f>
      </x:c>
      <x:c r="N485" s="35" t="str">
        <x:f>IF(L485="","",L485+M485)</x:f>
      </x:c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36" t="str">
        <x:f>IF(C486="","",IFERROR(VLOOKUP(C486,'SẢN_PHẨM'!$A$2:$G$500,2,FALSE),""))</x:f>
      </x:c>
      <x:c r="E486" s="36" t="str">
        <x:f>IF(C486="","",IFERROR(VLOOKUP(C486,'SẢN_PHẨM'!$A$2:$G$500,3,FALSE),""))</x:f>
      </x:c>
      <x:c r="F486" s="39"/>
      <x:c r="G486" s="34" t="str">
        <x:f>IF(C486="","",IFERROR(VLOOKUP(C486,'SẢN_PHẨM'!$A$2:$G$500,4,FALSE),""))</x:f>
      </x:c>
      <x:c r="H486" s="43"/>
      <x:c r="I486" s="38" t="str">
        <x:f>IF(C486="","",IFERROR(VLOOKUP(C486,'SẢN_PHẨM'!$A$2:$G$500,6,FALSE),""))</x:f>
      </x:c>
      <x:c r="J486" s="35" t="str">
        <x:f>IF(OR(F486="",G486=""),"",F486*G486)</x:f>
      </x:c>
      <x:c r="K486" s="35" t="str">
        <x:f>IF(J486="","",J486*H486)</x:f>
      </x:c>
      <x:c r="L486" s="35" t="str">
        <x:f>IF(J486="","",J486-K486)</x:f>
      </x:c>
      <x:c r="M486" s="35" t="str">
        <x:f>IF(L486="","",L486*I486)</x:f>
      </x:c>
      <x:c r="N486" s="35" t="str">
        <x:f>IF(L486="","",L486+M486)</x:f>
      </x:c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36" t="str">
        <x:f>IF(C487="","",IFERROR(VLOOKUP(C487,'SẢN_PHẨM'!$A$2:$G$500,2,FALSE),""))</x:f>
      </x:c>
      <x:c r="E487" s="36" t="str">
        <x:f>IF(C487="","",IFERROR(VLOOKUP(C487,'SẢN_PHẨM'!$A$2:$G$500,3,FALSE),""))</x:f>
      </x:c>
      <x:c r="F487" s="39"/>
      <x:c r="G487" s="34" t="str">
        <x:f>IF(C487="","",IFERROR(VLOOKUP(C487,'SẢN_PHẨM'!$A$2:$G$500,4,FALSE),""))</x:f>
      </x:c>
      <x:c r="H487" s="43"/>
      <x:c r="I487" s="38" t="str">
        <x:f>IF(C487="","",IFERROR(VLOOKUP(C487,'SẢN_PHẨM'!$A$2:$G$500,6,FALSE),""))</x:f>
      </x:c>
      <x:c r="J487" s="35" t="str">
        <x:f>IF(OR(F487="",G487=""),"",F487*G487)</x:f>
      </x:c>
      <x:c r="K487" s="35" t="str">
        <x:f>IF(J487="","",J487*H487)</x:f>
      </x:c>
      <x:c r="L487" s="35" t="str">
        <x:f>IF(J487="","",J487-K487)</x:f>
      </x:c>
      <x:c r="M487" s="35" t="str">
        <x:f>IF(L487="","",L487*I487)</x:f>
      </x:c>
      <x:c r="N487" s="35" t="str">
        <x:f>IF(L487="","",L487+M487)</x:f>
      </x:c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36" t="str">
        <x:f>IF(C488="","",IFERROR(VLOOKUP(C488,'SẢN_PHẨM'!$A$2:$G$500,2,FALSE),""))</x:f>
      </x:c>
      <x:c r="E488" s="36" t="str">
        <x:f>IF(C488="","",IFERROR(VLOOKUP(C488,'SẢN_PHẨM'!$A$2:$G$500,3,FALSE),""))</x:f>
      </x:c>
      <x:c r="F488" s="39"/>
      <x:c r="G488" s="34" t="str">
        <x:f>IF(C488="","",IFERROR(VLOOKUP(C488,'SẢN_PHẨM'!$A$2:$G$500,4,FALSE),""))</x:f>
      </x:c>
      <x:c r="H488" s="43"/>
      <x:c r="I488" s="38" t="str">
        <x:f>IF(C488="","",IFERROR(VLOOKUP(C488,'SẢN_PHẨM'!$A$2:$G$500,6,FALSE),""))</x:f>
      </x:c>
      <x:c r="J488" s="35" t="str">
        <x:f>IF(OR(F488="",G488=""),"",F488*G488)</x:f>
      </x:c>
      <x:c r="K488" s="35" t="str">
        <x:f>IF(J488="","",J488*H488)</x:f>
      </x:c>
      <x:c r="L488" s="35" t="str">
        <x:f>IF(J488="","",J488-K488)</x:f>
      </x:c>
      <x:c r="M488" s="35" t="str">
        <x:f>IF(L488="","",L488*I488)</x:f>
      </x:c>
      <x:c r="N488" s="35" t="str">
        <x:f>IF(L488="","",L488+M488)</x:f>
      </x:c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36" t="str">
        <x:f>IF(C489="","",IFERROR(VLOOKUP(C489,'SẢN_PHẨM'!$A$2:$G$500,2,FALSE),""))</x:f>
      </x:c>
      <x:c r="E489" s="36" t="str">
        <x:f>IF(C489="","",IFERROR(VLOOKUP(C489,'SẢN_PHẨM'!$A$2:$G$500,3,FALSE),""))</x:f>
      </x:c>
      <x:c r="F489" s="39"/>
      <x:c r="G489" s="34" t="str">
        <x:f>IF(C489="","",IFERROR(VLOOKUP(C489,'SẢN_PHẨM'!$A$2:$G$500,4,FALSE),""))</x:f>
      </x:c>
      <x:c r="H489" s="43"/>
      <x:c r="I489" s="38" t="str">
        <x:f>IF(C489="","",IFERROR(VLOOKUP(C489,'SẢN_PHẨM'!$A$2:$G$500,6,FALSE),""))</x:f>
      </x:c>
      <x:c r="J489" s="35" t="str">
        <x:f>IF(OR(F489="",G489=""),"",F489*G489)</x:f>
      </x:c>
      <x:c r="K489" s="35" t="str">
        <x:f>IF(J489="","",J489*H489)</x:f>
      </x:c>
      <x:c r="L489" s="35" t="str">
        <x:f>IF(J489="","",J489-K489)</x:f>
      </x:c>
      <x:c r="M489" s="35" t="str">
        <x:f>IF(L489="","",L489*I489)</x:f>
      </x:c>
      <x:c r="N489" s="35" t="str">
        <x:f>IF(L489="","",L489+M489)</x:f>
      </x:c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36" t="str">
        <x:f>IF(C490="","",IFERROR(VLOOKUP(C490,'SẢN_PHẨM'!$A$2:$G$500,2,FALSE),""))</x:f>
      </x:c>
      <x:c r="E490" s="36" t="str">
        <x:f>IF(C490="","",IFERROR(VLOOKUP(C490,'SẢN_PHẨM'!$A$2:$G$500,3,FALSE),""))</x:f>
      </x:c>
      <x:c r="F490" s="39"/>
      <x:c r="G490" s="34" t="str">
        <x:f>IF(C490="","",IFERROR(VLOOKUP(C490,'SẢN_PHẨM'!$A$2:$G$500,4,FALSE),""))</x:f>
      </x:c>
      <x:c r="H490" s="43"/>
      <x:c r="I490" s="38" t="str">
        <x:f>IF(C490="","",IFERROR(VLOOKUP(C490,'SẢN_PHẨM'!$A$2:$G$500,6,FALSE),""))</x:f>
      </x:c>
      <x:c r="J490" s="35" t="str">
        <x:f>IF(OR(F490="",G490=""),"",F490*G490)</x:f>
      </x:c>
      <x:c r="K490" s="35" t="str">
        <x:f>IF(J490="","",J490*H490)</x:f>
      </x:c>
      <x:c r="L490" s="35" t="str">
        <x:f>IF(J490="","",J490-K490)</x:f>
      </x:c>
      <x:c r="M490" s="35" t="str">
        <x:f>IF(L490="","",L490*I490)</x:f>
      </x:c>
      <x:c r="N490" s="35" t="str">
        <x:f>IF(L490="","",L490+M490)</x:f>
      </x:c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36" t="str">
        <x:f>IF(C491="","",IFERROR(VLOOKUP(C491,'SẢN_PHẨM'!$A$2:$G$500,2,FALSE),""))</x:f>
      </x:c>
      <x:c r="E491" s="36" t="str">
        <x:f>IF(C491="","",IFERROR(VLOOKUP(C491,'SẢN_PHẨM'!$A$2:$G$500,3,FALSE),""))</x:f>
      </x:c>
      <x:c r="F491" s="39"/>
      <x:c r="G491" s="34" t="str">
        <x:f>IF(C491="","",IFERROR(VLOOKUP(C491,'SẢN_PHẨM'!$A$2:$G$500,4,FALSE),""))</x:f>
      </x:c>
      <x:c r="H491" s="43"/>
      <x:c r="I491" s="38" t="str">
        <x:f>IF(C491="","",IFERROR(VLOOKUP(C491,'SẢN_PHẨM'!$A$2:$G$500,6,FALSE),""))</x:f>
      </x:c>
      <x:c r="J491" s="35" t="str">
        <x:f>IF(OR(F491="",G491=""),"",F491*G491)</x:f>
      </x:c>
      <x:c r="K491" s="35" t="str">
        <x:f>IF(J491="","",J491*H491)</x:f>
      </x:c>
      <x:c r="L491" s="35" t="str">
        <x:f>IF(J491="","",J491-K491)</x:f>
      </x:c>
      <x:c r="M491" s="35" t="str">
        <x:f>IF(L491="","",L491*I491)</x:f>
      </x:c>
      <x:c r="N491" s="35" t="str">
        <x:f>IF(L491="","",L491+M491)</x:f>
      </x:c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36" t="str">
        <x:f>IF(C492="","",IFERROR(VLOOKUP(C492,'SẢN_PHẨM'!$A$2:$G$500,2,FALSE),""))</x:f>
      </x:c>
      <x:c r="E492" s="36" t="str">
        <x:f>IF(C492="","",IFERROR(VLOOKUP(C492,'SẢN_PHẨM'!$A$2:$G$500,3,FALSE),""))</x:f>
      </x:c>
      <x:c r="F492" s="39"/>
      <x:c r="G492" s="34" t="str">
        <x:f>IF(C492="","",IFERROR(VLOOKUP(C492,'SẢN_PHẨM'!$A$2:$G$500,4,FALSE),""))</x:f>
      </x:c>
      <x:c r="H492" s="43"/>
      <x:c r="I492" s="38" t="str">
        <x:f>IF(C492="","",IFERROR(VLOOKUP(C492,'SẢN_PHẨM'!$A$2:$G$500,6,FALSE),""))</x:f>
      </x:c>
      <x:c r="J492" s="35" t="str">
        <x:f>IF(OR(F492="",G492=""),"",F492*G492)</x:f>
      </x:c>
      <x:c r="K492" s="35" t="str">
        <x:f>IF(J492="","",J492*H492)</x:f>
      </x:c>
      <x:c r="L492" s="35" t="str">
        <x:f>IF(J492="","",J492-K492)</x:f>
      </x:c>
      <x:c r="M492" s="35" t="str">
        <x:f>IF(L492="","",L492*I492)</x:f>
      </x:c>
      <x:c r="N492" s="35" t="str">
        <x:f>IF(L492="","",L492+M492)</x:f>
      </x:c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36" t="str">
        <x:f>IF(C493="","",IFERROR(VLOOKUP(C493,'SẢN_PHẨM'!$A$2:$G$500,2,FALSE),""))</x:f>
      </x:c>
      <x:c r="E493" s="36" t="str">
        <x:f>IF(C493="","",IFERROR(VLOOKUP(C493,'SẢN_PHẨM'!$A$2:$G$500,3,FALSE),""))</x:f>
      </x:c>
      <x:c r="F493" s="39"/>
      <x:c r="G493" s="34" t="str">
        <x:f>IF(C493="","",IFERROR(VLOOKUP(C493,'SẢN_PHẨM'!$A$2:$G$500,4,FALSE),""))</x:f>
      </x:c>
      <x:c r="H493" s="43"/>
      <x:c r="I493" s="38" t="str">
        <x:f>IF(C493="","",IFERROR(VLOOKUP(C493,'SẢN_PHẨM'!$A$2:$G$500,6,FALSE),""))</x:f>
      </x:c>
      <x:c r="J493" s="35" t="str">
        <x:f>IF(OR(F493="",G493=""),"",F493*G493)</x:f>
      </x:c>
      <x:c r="K493" s="35" t="str">
        <x:f>IF(J493="","",J493*H493)</x:f>
      </x:c>
      <x:c r="L493" s="35" t="str">
        <x:f>IF(J493="","",J493-K493)</x:f>
      </x:c>
      <x:c r="M493" s="35" t="str">
        <x:f>IF(L493="","",L493*I493)</x:f>
      </x:c>
      <x:c r="N493" s="35" t="str">
        <x:f>IF(L493="","",L493+M493)</x:f>
      </x:c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36" t="str">
        <x:f>IF(C494="","",IFERROR(VLOOKUP(C494,'SẢN_PHẨM'!$A$2:$G$500,2,FALSE),""))</x:f>
      </x:c>
      <x:c r="E494" s="36" t="str">
        <x:f>IF(C494="","",IFERROR(VLOOKUP(C494,'SẢN_PHẨM'!$A$2:$G$500,3,FALSE),""))</x:f>
      </x:c>
      <x:c r="F494" s="39"/>
      <x:c r="G494" s="34" t="str">
        <x:f>IF(C494="","",IFERROR(VLOOKUP(C494,'SẢN_PHẨM'!$A$2:$G$500,4,FALSE),""))</x:f>
      </x:c>
      <x:c r="H494" s="43"/>
      <x:c r="I494" s="38" t="str">
        <x:f>IF(C494="","",IFERROR(VLOOKUP(C494,'SẢN_PHẨM'!$A$2:$G$500,6,FALSE),""))</x:f>
      </x:c>
      <x:c r="J494" s="35" t="str">
        <x:f>IF(OR(F494="",G494=""),"",F494*G494)</x:f>
      </x:c>
      <x:c r="K494" s="35" t="str">
        <x:f>IF(J494="","",J494*H494)</x:f>
      </x:c>
      <x:c r="L494" s="35" t="str">
        <x:f>IF(J494="","",J494-K494)</x:f>
      </x:c>
      <x:c r="M494" s="35" t="str">
        <x:f>IF(L494="","",L494*I494)</x:f>
      </x:c>
      <x:c r="N494" s="35" t="str">
        <x:f>IF(L494="","",L494+M494)</x:f>
      </x:c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36" t="str">
        <x:f>IF(C495="","",IFERROR(VLOOKUP(C495,'SẢN_PHẨM'!$A$2:$G$500,2,FALSE),""))</x:f>
      </x:c>
      <x:c r="E495" s="36" t="str">
        <x:f>IF(C495="","",IFERROR(VLOOKUP(C495,'SẢN_PHẨM'!$A$2:$G$500,3,FALSE),""))</x:f>
      </x:c>
      <x:c r="F495" s="39"/>
      <x:c r="G495" s="34" t="str">
        <x:f>IF(C495="","",IFERROR(VLOOKUP(C495,'SẢN_PHẨM'!$A$2:$G$500,4,FALSE),""))</x:f>
      </x:c>
      <x:c r="H495" s="43"/>
      <x:c r="I495" s="38" t="str">
        <x:f>IF(C495="","",IFERROR(VLOOKUP(C495,'SẢN_PHẨM'!$A$2:$G$500,6,FALSE),""))</x:f>
      </x:c>
      <x:c r="J495" s="35" t="str">
        <x:f>IF(OR(F495="",G495=""),"",F495*G495)</x:f>
      </x:c>
      <x:c r="K495" s="35" t="str">
        <x:f>IF(J495="","",J495*H495)</x:f>
      </x:c>
      <x:c r="L495" s="35" t="str">
        <x:f>IF(J495="","",J495-K495)</x:f>
      </x:c>
      <x:c r="M495" s="35" t="str">
        <x:f>IF(L495="","",L495*I495)</x:f>
      </x:c>
      <x:c r="N495" s="35" t="str">
        <x:f>IF(L495="","",L495+M495)</x:f>
      </x:c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36" t="str">
        <x:f>IF(C496="","",IFERROR(VLOOKUP(C496,'SẢN_PHẨM'!$A$2:$G$500,2,FALSE),""))</x:f>
      </x:c>
      <x:c r="E496" s="36" t="str">
        <x:f>IF(C496="","",IFERROR(VLOOKUP(C496,'SẢN_PHẨM'!$A$2:$G$500,3,FALSE),""))</x:f>
      </x:c>
      <x:c r="F496" s="39"/>
      <x:c r="G496" s="34" t="str">
        <x:f>IF(C496="","",IFERROR(VLOOKUP(C496,'SẢN_PHẨM'!$A$2:$G$500,4,FALSE),""))</x:f>
      </x:c>
      <x:c r="H496" s="43"/>
      <x:c r="I496" s="38" t="str">
        <x:f>IF(C496="","",IFERROR(VLOOKUP(C496,'SẢN_PHẨM'!$A$2:$G$500,6,FALSE),""))</x:f>
      </x:c>
      <x:c r="J496" s="35" t="str">
        <x:f>IF(OR(F496="",G496=""),"",F496*G496)</x:f>
      </x:c>
      <x:c r="K496" s="35" t="str">
        <x:f>IF(J496="","",J496*H496)</x:f>
      </x:c>
      <x:c r="L496" s="35" t="str">
        <x:f>IF(J496="","",J496-K496)</x:f>
      </x:c>
      <x:c r="M496" s="35" t="str">
        <x:f>IF(L496="","",L496*I496)</x:f>
      </x:c>
      <x:c r="N496" s="35" t="str">
        <x:f>IF(L496="","",L496+M496)</x:f>
      </x:c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36" t="str">
        <x:f>IF(C497="","",IFERROR(VLOOKUP(C497,'SẢN_PHẨM'!$A$2:$G$500,2,FALSE),""))</x:f>
      </x:c>
      <x:c r="E497" s="36" t="str">
        <x:f>IF(C497="","",IFERROR(VLOOKUP(C497,'SẢN_PHẨM'!$A$2:$G$500,3,FALSE),""))</x:f>
      </x:c>
      <x:c r="F497" s="39"/>
      <x:c r="G497" s="34" t="str">
        <x:f>IF(C497="","",IFERROR(VLOOKUP(C497,'SẢN_PHẨM'!$A$2:$G$500,4,FALSE),""))</x:f>
      </x:c>
      <x:c r="H497" s="43"/>
      <x:c r="I497" s="38" t="str">
        <x:f>IF(C497="","",IFERROR(VLOOKUP(C497,'SẢN_PHẨM'!$A$2:$G$500,6,FALSE),""))</x:f>
      </x:c>
      <x:c r="J497" s="35" t="str">
        <x:f>IF(OR(F497="",G497=""),"",F497*G497)</x:f>
      </x:c>
      <x:c r="K497" s="35" t="str">
        <x:f>IF(J497="","",J497*H497)</x:f>
      </x:c>
      <x:c r="L497" s="35" t="str">
        <x:f>IF(J497="","",J497-K497)</x:f>
      </x:c>
      <x:c r="M497" s="35" t="str">
        <x:f>IF(L497="","",L497*I497)</x:f>
      </x:c>
      <x:c r="N497" s="35" t="str">
        <x:f>IF(L497="","",L497+M497)</x:f>
      </x:c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36" t="str">
        <x:f>IF(C498="","",IFERROR(VLOOKUP(C498,'SẢN_PHẨM'!$A$2:$G$500,2,FALSE),""))</x:f>
      </x:c>
      <x:c r="E498" s="36" t="str">
        <x:f>IF(C498="","",IFERROR(VLOOKUP(C498,'SẢN_PHẨM'!$A$2:$G$500,3,FALSE),""))</x:f>
      </x:c>
      <x:c r="F498" s="39"/>
      <x:c r="G498" s="34" t="str">
        <x:f>IF(C498="","",IFERROR(VLOOKUP(C498,'SẢN_PHẨM'!$A$2:$G$500,4,FALSE),""))</x:f>
      </x:c>
      <x:c r="H498" s="43"/>
      <x:c r="I498" s="38" t="str">
        <x:f>IF(C498="","",IFERROR(VLOOKUP(C498,'SẢN_PHẨM'!$A$2:$G$500,6,FALSE),""))</x:f>
      </x:c>
      <x:c r="J498" s="35" t="str">
        <x:f>IF(OR(F498="",G498=""),"",F498*G498)</x:f>
      </x:c>
      <x:c r="K498" s="35" t="str">
        <x:f>IF(J498="","",J498*H498)</x:f>
      </x:c>
      <x:c r="L498" s="35" t="str">
        <x:f>IF(J498="","",J498-K498)</x:f>
      </x:c>
      <x:c r="M498" s="35" t="str">
        <x:f>IF(L498="","",L498*I498)</x:f>
      </x:c>
      <x:c r="N498" s="35" t="str">
        <x:f>IF(L498="","",L498+M498)</x:f>
      </x:c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36" t="str">
        <x:f>IF(C499="","",IFERROR(VLOOKUP(C499,'SẢN_PHẨM'!$A$2:$G$500,2,FALSE),""))</x:f>
      </x:c>
      <x:c r="E499" s="36" t="str">
        <x:f>IF(C499="","",IFERROR(VLOOKUP(C499,'SẢN_PHẨM'!$A$2:$G$500,3,FALSE),""))</x:f>
      </x:c>
      <x:c r="F499" s="39"/>
      <x:c r="G499" s="34" t="str">
        <x:f>IF(C499="","",IFERROR(VLOOKUP(C499,'SẢN_PHẨM'!$A$2:$G$500,4,FALSE),""))</x:f>
      </x:c>
      <x:c r="H499" s="43"/>
      <x:c r="I499" s="38" t="str">
        <x:f>IF(C499="","",IFERROR(VLOOKUP(C499,'SẢN_PHẨM'!$A$2:$G$500,6,FALSE),""))</x:f>
      </x:c>
      <x:c r="J499" s="35" t="str">
        <x:f>IF(OR(F499="",G499=""),"",F499*G499)</x:f>
      </x:c>
      <x:c r="K499" s="35" t="str">
        <x:f>IF(J499="","",J499*H499)</x:f>
      </x:c>
      <x:c r="L499" s="35" t="str">
        <x:f>IF(J499="","",J499-K499)</x:f>
      </x:c>
      <x:c r="M499" s="35" t="str">
        <x:f>IF(L499="","",L499*I499)</x:f>
      </x:c>
      <x:c r="N499" s="35" t="str">
        <x:f>IF(L499="","",L499+M499)</x:f>
      </x:c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36" t="str">
        <x:f>IF(C500="","",IFERROR(VLOOKUP(C500,'SẢN_PHẨM'!$A$2:$G$500,2,FALSE),""))</x:f>
      </x:c>
      <x:c r="E500" s="36" t="str">
        <x:f>IF(C500="","",IFERROR(VLOOKUP(C500,'SẢN_PHẨM'!$A$2:$G$500,3,FALSE),""))</x:f>
      </x:c>
      <x:c r="F500" s="39"/>
      <x:c r="G500" s="34" t="str">
        <x:f>IF(C500="","",IFERROR(VLOOKUP(C500,'SẢN_PHẨM'!$A$2:$G$500,4,FALSE),""))</x:f>
      </x:c>
      <x:c r="H500" s="43"/>
      <x:c r="I500" s="38" t="str">
        <x:f>IF(C500="","",IFERROR(VLOOKUP(C500,'SẢN_PHẨM'!$A$2:$G$500,6,FALSE),""))</x:f>
      </x:c>
      <x:c r="J500" s="35" t="str">
        <x:f>IF(OR(F500="",G500=""),"",F500*G500)</x:f>
      </x:c>
      <x:c r="K500" s="35" t="str">
        <x:f>IF(J500="","",J500*H500)</x:f>
      </x:c>
      <x:c r="L500" s="35" t="str">
        <x:f>IF(J500="","",J500-K500)</x:f>
      </x:c>
      <x:c r="M500" s="35" t="str">
        <x:f>IF(L500="","",L500*I500)</x:f>
      </x:c>
      <x:c r="N500" s="35" t="str">
        <x:f>IF(L500="","",L500+M500)</x:f>
      </x:c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1">
    <x:dataValidation type="decimal" operator="between" sqref="H2:H500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</x:cols>
  <x:sheetData>
    <x:row r="1" ht="27" customHeight="1">
      <x:c r="A1" s="6" t="str">
        <x:v>Mã đơn hàng</x:v>
      </x:c>
      <x:c r="B1" s="6" t="str">
        <x:v>Mã báo giá revision</x:v>
      </x:c>
      <x:c r="C1" s="6" t="str">
        <x:v>Mã khách hàng</x:v>
      </x:c>
      <x:c r="D1" s="6" t="str">
        <x:v>Ngày đặt</x:v>
      </x:c>
      <x:c r="E1" s="6" t="str">
        <x:v>Hạn thanh toán</x:v>
      </x:c>
      <x:c r="F1" s="6" t="str">
        <x:v>Kênh bán</x:v>
      </x:c>
      <x:c r="G1" s="6" t="str">
        <x:v>Tổng đơn hàng</x:v>
      </x:c>
      <x:c r="H1" s="6" t="str">
        <x:v>Thực thu</x:v>
      </x:c>
      <x:c r="I1" s="6" t="str">
        <x:v>Công nợ</x:v>
      </x:c>
      <x:c r="J1" s="6" t="str">
        <x:v>Cảnh báo</x:v>
      </x:c>
      <x:c r="K1" s="6" t="str">
        <x:v>Trạng thái</x:v>
      </x:c>
      <x:c r="L1" s="6" t="str">
        <x:v>Người phụ trách</x:v>
      </x:c>
      <x:c r="M1" s="6" t="str">
        <x:v>Phiên bản dòng</x:v>
      </x:c>
      <x:c r="N1" s="6" t="str">
        <x:v>Người tạo</x:v>
      </x:c>
      <x:c r="O1" s="6" t="str">
        <x:v>Cập nhật lúc</x:v>
      </x:c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DH-001</x:v>
      </x:c>
      <x:c r="B2" s="39" t="str">
        <x:v>BG-001-R2</x:v>
      </x:c>
      <x:c r="C2" s="39" t="str">
        <x:v>KH-001</x:v>
      </x:c>
      <x:c r="D2" s="41" t="d">
        <x:v>2026-08-21T00:00:00.000Z</x:v>
      </x:c>
      <x:c r="E2" s="41" t="d">
        <x:v>2026-09-20T00:00:00.000Z</x:v>
      </x:c>
      <x:c r="F2" s="39" t="str">
        <x:v>TRỰC TIẾP</x:v>
      </x:c>
      <x:c r="G2" s="35" t="n">
        <x:f>IF(A2="","",SUMIFS('CHI_TIẾT_ĐƠN_HÀNG'!$H$2:$H$500,'CHI_TIẾT_ĐƠN_HÀNG'!$B$2:$B$500,A2))</x:f>
        <x:v>800000</x:v>
      </x:c>
      <x:c r="H2" s="35" t="n">
        <x:f>IF(A2="","",SUMIFS('THANH_TOÁN'!$D$2:$D$500,'THANH_TOÁN'!$B$2:$B$500,A2,'THANH_TOÁN'!$F$2:$F$500,"ĐÃ XÁC NHẬN"))</x:f>
        <x:v>500000</x:v>
      </x:c>
      <x:c r="I2" s="35" t="n">
        <x:f>IF(A2="","",MAX(0,G2-H2))</x:f>
        <x:v>300000</x:v>
      </x:c>
      <x:c r="J2" s="36" t="str">
        <x:f>IF(A2="","",IF(AND(E2&lt;TODAY(),I2&gt;0,K2&lt;&gt;"HỦY"),"QUÁ HẠN",""))</x:f>
        <x:v>QUÁ HẠN</x:v>
      </x:c>
      <x:c r="K2" s="39" t="str">
        <x:v>XÁC NHẬN</x:v>
      </x:c>
      <x:c r="L2" s="39" t="str">
        <x:v>NV-003</x:v>
      </x:c>
      <x:c r="M2" s="39" t="n">
        <x:v>2</x:v>
      </x:c>
      <x:c r="N2" s="39" t="str">
        <x:v>NV-003</x:v>
      </x:c>
      <x:c r="O2" s="42" t="d">
        <x:v>2026-08-21T02:00:00.000Z</x:v>
      </x:c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DH-002</x:v>
      </x:c>
      <x:c r="B3" s="39" t="str"/>
      <x:c r="C3" s="39" t="str">
        <x:v>KH-002</x:v>
      </x:c>
      <x:c r="D3" s="41" t="d">
        <x:v>2026-09-05T00:00:00.000Z</x:v>
      </x:c>
      <x:c r="E3" s="41" t="d">
        <x:v>2026-10-05T00:00:00.000Z</x:v>
      </x:c>
      <x:c r="F3" s="39" t="str">
        <x:v>ĐIỆN THOẠI</x:v>
      </x:c>
      <x:c r="G3" s="35" t="n">
        <x:f>IF(A3="","",SUMIFS('CHI_TIẾT_ĐƠN_HÀNG'!$H$2:$H$500,'CHI_TIẾT_ĐƠN_HÀNG'!$B$2:$B$500,A3))</x:f>
        <x:v>1300000</x:v>
      </x:c>
      <x:c r="H3" s="35" t="n">
        <x:f>IF(A3="","",SUMIFS('THANH_TOÁN'!$D$2:$D$500,'THANH_TOÁN'!$B$2:$B$500,A3,'THANH_TOÁN'!$F$2:$F$500,"ĐÃ XÁC NHẬN"))</x:f>
        <x:v>0</x:v>
      </x:c>
      <x:c r="I3" s="35" t="n">
        <x:f>IF(A3="","",MAX(0,G3-H3))</x:f>
        <x:v>1300000</x:v>
      </x:c>
      <x:c r="J3" s="36" t="str">
        <x:f>IF(A3="","",IF(AND(E3&lt;TODAY(),I3&gt;0,K3&lt;&gt;"HỦY"),"QUÁ HẠN",""))</x:f>
        <x:v>QUÁ HẠN</x:v>
      </x:c>
      <x:c r="K3" s="39" t="str">
        <x:v>ĐANG GIAO</x:v>
      </x:c>
      <x:c r="L3" s="39" t="str">
        <x:v>NV-004</x:v>
      </x:c>
      <x:c r="M3" s="39" t="n">
        <x:v>3</x:v>
      </x:c>
      <x:c r="N3" s="39" t="str">
        <x:v>NV-004</x:v>
      </x:c>
      <x:c r="O3" s="42" t="d">
        <x:v>2026-09-20T02:00:00.000Z</x:v>
      </x:c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DH-003</x:v>
      </x:c>
      <x:c r="B4" s="39" t="str"/>
      <x:c r="C4" s="39" t="str">
        <x:v>KH-003</x:v>
      </x:c>
      <x:c r="D4" s="41" t="d">
        <x:v>2026-08-10T00:00:00.000Z</x:v>
      </x:c>
      <x:c r="E4" s="41" t="d">
        <x:v>2026-09-10T00:00:00.000Z</x:v>
      </x:c>
      <x:c r="F4" s="39" t="str">
        <x:v>ĐỐI TÁC</x:v>
      </x:c>
      <x:c r="G4" s="35" t="n">
        <x:f>IF(A4="","",SUMIFS('CHI_TIẾT_ĐƠN_HÀNG'!$H$2:$H$500,'CHI_TIẾT_ĐƠN_HÀNG'!$B$2:$B$500,A4))</x:f>
        <x:v>700000</x:v>
      </x:c>
      <x:c r="H4" s="35" t="n">
        <x:f>IF(A4="","",SUMIFS('THANH_TOÁN'!$D$2:$D$500,'THANH_TOÁN'!$B$2:$B$500,A4,'THANH_TOÁN'!$F$2:$F$500,"ĐÃ XÁC NHẬN"))</x:f>
        <x:v>700000</x:v>
      </x:c>
      <x:c r="I4" s="35" t="n">
        <x:f>IF(A4="","",MAX(0,G4-H4))</x:f>
        <x:v>0</x:v>
      </x:c>
      <x:c r="J4" s="36" t="str">
        <x:f>IF(A4="","",IF(AND(E4&lt;TODAY(),I4&gt;0,K4&lt;&gt;"HỦY"),"QUÁ HẠN",""))</x:f>
      </x:c>
      <x:c r="K4" s="39" t="str">
        <x:v>HOÀN TẤT</x:v>
      </x:c>
      <x:c r="L4" s="39" t="str">
        <x:v>NV-003</x:v>
      </x:c>
      <x:c r="M4" s="39" t="n">
        <x:v>4</x:v>
      </x:c>
      <x:c r="N4" s="39" t="str">
        <x:v>NV-003</x:v>
      </x:c>
      <x:c r="O4" s="42" t="d">
        <x:v>2026-08-25T02:00:00.000Z</x:v>
      </x:c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DH-004</x:v>
      </x:c>
      <x:c r="B5" s="39" t="str"/>
      <x:c r="C5" s="39" t="str">
        <x:v>KH-004</x:v>
      </x:c>
      <x:c r="D5" s="41" t="d">
        <x:v>2026-09-18T00:00:00.000Z</x:v>
      </x:c>
      <x:c r="E5" s="41" t="d">
        <x:v>2026-10-18T00:00:00.000Z</x:v>
      </x:c>
      <x:c r="F5" s="39" t="str">
        <x:v>WEBSITE</x:v>
      </x:c>
      <x:c r="G5" s="35" t="n">
        <x:f>IF(A5="","",SUMIFS('CHI_TIẾT_ĐƠN_HÀNG'!$H$2:$H$500,'CHI_TIẾT_ĐƠN_HÀNG'!$B$2:$B$500,A5))</x:f>
        <x:v>250000</x:v>
      </x:c>
      <x:c r="H5" s="35" t="n">
        <x:f>IF(A5="","",SUMIFS('THANH_TOÁN'!$D$2:$D$500,'THANH_TOÁN'!$B$2:$B$500,A5,'THANH_TOÁN'!$F$2:$F$500,"ĐÃ XÁC NHẬN"))</x:f>
        <x:v>0</x:v>
      </x:c>
      <x:c r="I5" s="35" t="n">
        <x:f>IF(A5="","",MAX(0,G5-H5))</x:f>
        <x:v>250000</x:v>
      </x:c>
      <x:c r="J5" s="36" t="str">
        <x:f>IF(A5="","",IF(AND(E5&lt;TODAY(),I5&gt;0,K5&lt;&gt;"HỦY"),"QUÁ HẠN",""))</x:f>
      </x:c>
      <x:c r="K5" s="39" t="str">
        <x:v>HỦY</x:v>
      </x:c>
      <x:c r="L5" s="39" t="str">
        <x:v>NV-004</x:v>
      </x:c>
      <x:c r="M5" s="39" t="n">
        <x:v>2</x:v>
      </x:c>
      <x:c r="N5" s="39" t="str">
        <x:v>NV-004</x:v>
      </x:c>
      <x:c r="O5" s="42" t="d">
        <x:v>2026-09-19T02:00:00.000Z</x:v>
      </x:c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DH-005</x:v>
      </x:c>
      <x:c r="B6" s="39" t="str"/>
      <x:c r="C6" s="39" t="str">
        <x:v>KH-006</x:v>
      </x:c>
      <x:c r="D6" s="41" t="d">
        <x:v>2026-08-15T00:00:00.000Z</x:v>
      </x:c>
      <x:c r="E6" s="41" t="d">
        <x:v>2026-09-15T00:00:00.000Z</x:v>
      </x:c>
      <x:c r="F6" s="39" t="str">
        <x:v>TRỰC TIẾP</x:v>
      </x:c>
      <x:c r="G6" s="35" t="n">
        <x:f>IF(A6="","",SUMIFS('CHI_TIẾT_ĐƠN_HÀNG'!$H$2:$H$500,'CHI_TIẾT_ĐƠN_HÀNG'!$B$2:$B$500,A6))</x:f>
        <x:v>900000</x:v>
      </x:c>
      <x:c r="H6" s="35" t="n">
        <x:f>IF(A6="","",SUMIFS('THANH_TOÁN'!$D$2:$D$500,'THANH_TOÁN'!$B$2:$B$500,A6,'THANH_TOÁN'!$F$2:$F$500,"ĐÃ XÁC NHẬN"))</x:f>
        <x:v>200000</x:v>
      </x:c>
      <x:c r="I6" s="35" t="n">
        <x:f>IF(A6="","",MAX(0,G6-H6))</x:f>
        <x:v>700000</x:v>
      </x:c>
      <x:c r="J6" s="36" t="str">
        <x:f>IF(A6="","",IF(AND(E6&lt;TODAY(),I6&gt;0,K6&lt;&gt;"HỦY"),"QUÁ HẠN",""))</x:f>
        <x:v>QUÁ HẠN</x:v>
      </x:c>
      <x:c r="K6" s="39" t="str">
        <x:v>GIAO MỘT PHẦN</x:v>
      </x:c>
      <x:c r="L6" s="39" t="str">
        <x:v>NV-003</x:v>
      </x:c>
      <x:c r="M6" s="39" t="n">
        <x:v>4</x:v>
      </x:c>
      <x:c r="N6" s="39" t="str">
        <x:v>NV-003</x:v>
      </x:c>
      <x:c r="O6" s="42" t="d">
        <x:v>2026-09-10T02:00:00.000Z</x:v>
      </x:c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/>
      <x:c r="B7" s="39"/>
      <x:c r="C7" s="39"/>
      <x:c r="D7" s="41"/>
      <x:c r="E7" s="41"/>
      <x:c r="F7" s="39"/>
      <x:c r="G7" s="35" t="str">
        <x:f>IF(A7="","",SUMIFS('CHI_TIẾT_ĐƠN_HÀNG'!$H$2:$H$500,'CHI_TIẾT_ĐƠN_HÀNG'!$B$2:$B$500,A7))</x:f>
      </x:c>
      <x:c r="H7" s="35" t="str">
        <x:f>IF(A7="","",SUMIFS('THANH_TOÁN'!$D$2:$D$500,'THANH_TOÁN'!$B$2:$B$500,A7,'THANH_TOÁN'!$F$2:$F$500,"ĐÃ XÁC NHẬN"))</x:f>
      </x:c>
      <x:c r="I7" s="35" t="str">
        <x:f>IF(A7="","",MAX(0,G7-H7))</x:f>
      </x:c>
      <x:c r="J7" s="36" t="str">
        <x:f>IF(A7="","",IF(AND(E7&lt;TODAY(),I7&gt;0,K7&lt;&gt;"HỦY"),"QUÁ HẠN",""))</x:f>
      </x:c>
      <x:c r="K7" s="39"/>
      <x:c r="L7" s="39"/>
      <x:c r="M7" s="39"/>
      <x:c r="N7" s="39"/>
      <x:c r="O7" s="42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39"/>
      <x:c r="D8" s="41"/>
      <x:c r="E8" s="41"/>
      <x:c r="F8" s="39"/>
      <x:c r="G8" s="35" t="str">
        <x:f>IF(A8="","",SUMIFS('CHI_TIẾT_ĐƠN_HÀNG'!$H$2:$H$500,'CHI_TIẾT_ĐƠN_HÀNG'!$B$2:$B$500,A8))</x:f>
      </x:c>
      <x:c r="H8" s="35" t="str">
        <x:f>IF(A8="","",SUMIFS('THANH_TOÁN'!$D$2:$D$500,'THANH_TOÁN'!$B$2:$B$500,A8,'THANH_TOÁN'!$F$2:$F$500,"ĐÃ XÁC NHẬN"))</x:f>
      </x:c>
      <x:c r="I8" s="35" t="str">
        <x:f>IF(A8="","",MAX(0,G8-H8))</x:f>
      </x:c>
      <x:c r="J8" s="36" t="str">
        <x:f>IF(A8="","",IF(AND(E8&lt;TODAY(),I8&gt;0,K8&lt;&gt;"HỦY"),"QUÁ HẠN",""))</x:f>
      </x:c>
      <x:c r="K8" s="39"/>
      <x:c r="L8" s="39"/>
      <x:c r="M8" s="39"/>
      <x:c r="N8" s="39"/>
      <x:c r="O8" s="42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39"/>
      <x:c r="D9" s="41"/>
      <x:c r="E9" s="41"/>
      <x:c r="F9" s="39"/>
      <x:c r="G9" s="35" t="str">
        <x:f>IF(A9="","",SUMIFS('CHI_TIẾT_ĐƠN_HÀNG'!$H$2:$H$500,'CHI_TIẾT_ĐƠN_HÀNG'!$B$2:$B$500,A9))</x:f>
      </x:c>
      <x:c r="H9" s="35" t="str">
        <x:f>IF(A9="","",SUMIFS('THANH_TOÁN'!$D$2:$D$500,'THANH_TOÁN'!$B$2:$B$500,A9,'THANH_TOÁN'!$F$2:$F$500,"ĐÃ XÁC NHẬN"))</x:f>
      </x:c>
      <x:c r="I9" s="35" t="str">
        <x:f>IF(A9="","",MAX(0,G9-H9))</x:f>
      </x:c>
      <x:c r="J9" s="36" t="str">
        <x:f>IF(A9="","",IF(AND(E9&lt;TODAY(),I9&gt;0,K9&lt;&gt;"HỦY"),"QUÁ HẠN",""))</x:f>
      </x:c>
      <x:c r="K9" s="39"/>
      <x:c r="L9" s="39"/>
      <x:c r="M9" s="39"/>
      <x:c r="N9" s="39"/>
      <x:c r="O9" s="42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41"/>
      <x:c r="E10" s="41"/>
      <x:c r="F10" s="39"/>
      <x:c r="G10" s="35" t="str">
        <x:f>IF(A10="","",SUMIFS('CHI_TIẾT_ĐƠN_HÀNG'!$H$2:$H$500,'CHI_TIẾT_ĐƠN_HÀNG'!$B$2:$B$500,A10))</x:f>
      </x:c>
      <x:c r="H10" s="35" t="str">
        <x:f>IF(A10="","",SUMIFS('THANH_TOÁN'!$D$2:$D$500,'THANH_TOÁN'!$B$2:$B$500,A10,'THANH_TOÁN'!$F$2:$F$500,"ĐÃ XÁC NHẬN"))</x:f>
      </x:c>
      <x:c r="I10" s="35" t="str">
        <x:f>IF(A10="","",MAX(0,G10-H10))</x:f>
      </x:c>
      <x:c r="J10" s="36" t="str">
        <x:f>IF(A10="","",IF(AND(E10&lt;TODAY(),I10&gt;0,K10&lt;&gt;"HỦY"),"QUÁ HẠN",""))</x:f>
      </x:c>
      <x:c r="K10" s="39"/>
      <x:c r="L10" s="39"/>
      <x:c r="M10" s="39"/>
      <x:c r="N10" s="39"/>
      <x:c r="O10" s="42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41"/>
      <x:c r="E11" s="41"/>
      <x:c r="F11" s="39"/>
      <x:c r="G11" s="35" t="str">
        <x:f>IF(A11="","",SUMIFS('CHI_TIẾT_ĐƠN_HÀNG'!$H$2:$H$500,'CHI_TIẾT_ĐƠN_HÀNG'!$B$2:$B$500,A11))</x:f>
      </x:c>
      <x:c r="H11" s="35" t="str">
        <x:f>IF(A11="","",SUMIFS('THANH_TOÁN'!$D$2:$D$500,'THANH_TOÁN'!$B$2:$B$500,A11,'THANH_TOÁN'!$F$2:$F$500,"ĐÃ XÁC NHẬN"))</x:f>
      </x:c>
      <x:c r="I11" s="35" t="str">
        <x:f>IF(A11="","",MAX(0,G11-H11))</x:f>
      </x:c>
      <x:c r="J11" s="36" t="str">
        <x:f>IF(A11="","",IF(AND(E11&lt;TODAY(),I11&gt;0,K11&lt;&gt;"HỦY"),"QUÁ HẠN",""))</x:f>
      </x:c>
      <x:c r="K11" s="39"/>
      <x:c r="L11" s="39"/>
      <x:c r="M11" s="39"/>
      <x:c r="N11" s="39"/>
      <x:c r="O11" s="42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41"/>
      <x:c r="E12" s="41"/>
      <x:c r="F12" s="39"/>
      <x:c r="G12" s="35" t="str">
        <x:f>IF(A12="","",SUMIFS('CHI_TIẾT_ĐƠN_HÀNG'!$H$2:$H$500,'CHI_TIẾT_ĐƠN_HÀNG'!$B$2:$B$500,A12))</x:f>
      </x:c>
      <x:c r="H12" s="35" t="str">
        <x:f>IF(A12="","",SUMIFS('THANH_TOÁN'!$D$2:$D$500,'THANH_TOÁN'!$B$2:$B$500,A12,'THANH_TOÁN'!$F$2:$F$500,"ĐÃ XÁC NHẬN"))</x:f>
      </x:c>
      <x:c r="I12" s="35" t="str">
        <x:f>IF(A12="","",MAX(0,G12-H12))</x:f>
      </x:c>
      <x:c r="J12" s="36" t="str">
        <x:f>IF(A12="","",IF(AND(E12&lt;TODAY(),I12&gt;0,K12&lt;&gt;"HỦY"),"QUÁ HẠN",""))</x:f>
      </x:c>
      <x:c r="K12" s="39"/>
      <x:c r="L12" s="39"/>
      <x:c r="M12" s="39"/>
      <x:c r="N12" s="39"/>
      <x:c r="O12" s="42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41"/>
      <x:c r="E13" s="41"/>
      <x:c r="F13" s="39"/>
      <x:c r="G13" s="35" t="str">
        <x:f>IF(A13="","",SUMIFS('CHI_TIẾT_ĐƠN_HÀNG'!$H$2:$H$500,'CHI_TIẾT_ĐƠN_HÀNG'!$B$2:$B$500,A13))</x:f>
      </x:c>
      <x:c r="H13" s="35" t="str">
        <x:f>IF(A13="","",SUMIFS('THANH_TOÁN'!$D$2:$D$500,'THANH_TOÁN'!$B$2:$B$500,A13,'THANH_TOÁN'!$F$2:$F$500,"ĐÃ XÁC NHẬN"))</x:f>
      </x:c>
      <x:c r="I13" s="35" t="str">
        <x:f>IF(A13="","",MAX(0,G13-H13))</x:f>
      </x:c>
      <x:c r="J13" s="36" t="str">
        <x:f>IF(A13="","",IF(AND(E13&lt;TODAY(),I13&gt;0,K13&lt;&gt;"HỦY"),"QUÁ HẠN",""))</x:f>
      </x:c>
      <x:c r="K13" s="39"/>
      <x:c r="L13" s="39"/>
      <x:c r="M13" s="39"/>
      <x:c r="N13" s="39"/>
      <x:c r="O13" s="42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41"/>
      <x:c r="E14" s="41"/>
      <x:c r="F14" s="39"/>
      <x:c r="G14" s="35" t="str">
        <x:f>IF(A14="","",SUMIFS('CHI_TIẾT_ĐƠN_HÀNG'!$H$2:$H$500,'CHI_TIẾT_ĐƠN_HÀNG'!$B$2:$B$500,A14))</x:f>
      </x:c>
      <x:c r="H14" s="35" t="str">
        <x:f>IF(A14="","",SUMIFS('THANH_TOÁN'!$D$2:$D$500,'THANH_TOÁN'!$B$2:$B$500,A14,'THANH_TOÁN'!$F$2:$F$500,"ĐÃ XÁC NHẬN"))</x:f>
      </x:c>
      <x:c r="I14" s="35" t="str">
        <x:f>IF(A14="","",MAX(0,G14-H14))</x:f>
      </x:c>
      <x:c r="J14" s="36" t="str">
        <x:f>IF(A14="","",IF(AND(E14&lt;TODAY(),I14&gt;0,K14&lt;&gt;"HỦY"),"QUÁ HẠN",""))</x:f>
      </x:c>
      <x:c r="K14" s="39"/>
      <x:c r="L14" s="39"/>
      <x:c r="M14" s="39"/>
      <x:c r="N14" s="39"/>
      <x:c r="O14" s="42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41"/>
      <x:c r="E15" s="41"/>
      <x:c r="F15" s="39"/>
      <x:c r="G15" s="35" t="str">
        <x:f>IF(A15="","",SUMIFS('CHI_TIẾT_ĐƠN_HÀNG'!$H$2:$H$500,'CHI_TIẾT_ĐƠN_HÀNG'!$B$2:$B$500,A15))</x:f>
      </x:c>
      <x:c r="H15" s="35" t="str">
        <x:f>IF(A15="","",SUMIFS('THANH_TOÁN'!$D$2:$D$500,'THANH_TOÁN'!$B$2:$B$500,A15,'THANH_TOÁN'!$F$2:$F$500,"ĐÃ XÁC NHẬN"))</x:f>
      </x:c>
      <x:c r="I15" s="35" t="str">
        <x:f>IF(A15="","",MAX(0,G15-H15))</x:f>
      </x:c>
      <x:c r="J15" s="36" t="str">
        <x:f>IF(A15="","",IF(AND(E15&lt;TODAY(),I15&gt;0,K15&lt;&gt;"HỦY"),"QUÁ HẠN",""))</x:f>
      </x:c>
      <x:c r="K15" s="39"/>
      <x:c r="L15" s="39"/>
      <x:c r="M15" s="39"/>
      <x:c r="N15" s="39"/>
      <x:c r="O15" s="42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41"/>
      <x:c r="E16" s="41"/>
      <x:c r="F16" s="39"/>
      <x:c r="G16" s="35" t="str">
        <x:f>IF(A16="","",SUMIFS('CHI_TIẾT_ĐƠN_HÀNG'!$H$2:$H$500,'CHI_TIẾT_ĐƠN_HÀNG'!$B$2:$B$500,A16))</x:f>
      </x:c>
      <x:c r="H16" s="35" t="str">
        <x:f>IF(A16="","",SUMIFS('THANH_TOÁN'!$D$2:$D$500,'THANH_TOÁN'!$B$2:$B$500,A16,'THANH_TOÁN'!$F$2:$F$500,"ĐÃ XÁC NHẬN"))</x:f>
      </x:c>
      <x:c r="I16" s="35" t="str">
        <x:f>IF(A16="","",MAX(0,G16-H16))</x:f>
      </x:c>
      <x:c r="J16" s="36" t="str">
        <x:f>IF(A16="","",IF(AND(E16&lt;TODAY(),I16&gt;0,K16&lt;&gt;"HỦY"),"QUÁ HẠN",""))</x:f>
      </x:c>
      <x:c r="K16" s="39"/>
      <x:c r="L16" s="39"/>
      <x:c r="M16" s="39"/>
      <x:c r="N16" s="39"/>
      <x:c r="O16" s="42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41"/>
      <x:c r="E17" s="41"/>
      <x:c r="F17" s="39"/>
      <x:c r="G17" s="35" t="str">
        <x:f>IF(A17="","",SUMIFS('CHI_TIẾT_ĐƠN_HÀNG'!$H$2:$H$500,'CHI_TIẾT_ĐƠN_HÀNG'!$B$2:$B$500,A17))</x:f>
      </x:c>
      <x:c r="H17" s="35" t="str">
        <x:f>IF(A17="","",SUMIFS('THANH_TOÁN'!$D$2:$D$500,'THANH_TOÁN'!$B$2:$B$500,A17,'THANH_TOÁN'!$F$2:$F$500,"ĐÃ XÁC NHẬN"))</x:f>
      </x:c>
      <x:c r="I17" s="35" t="str">
        <x:f>IF(A17="","",MAX(0,G17-H17))</x:f>
      </x:c>
      <x:c r="J17" s="36" t="str">
        <x:f>IF(A17="","",IF(AND(E17&lt;TODAY(),I17&gt;0,K17&lt;&gt;"HỦY"),"QUÁ HẠN",""))</x:f>
      </x:c>
      <x:c r="K17" s="39"/>
      <x:c r="L17" s="39"/>
      <x:c r="M17" s="39"/>
      <x:c r="N17" s="39"/>
      <x:c r="O17" s="42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41"/>
      <x:c r="E18" s="41"/>
      <x:c r="F18" s="39"/>
      <x:c r="G18" s="35" t="str">
        <x:f>IF(A18="","",SUMIFS('CHI_TIẾT_ĐƠN_HÀNG'!$H$2:$H$500,'CHI_TIẾT_ĐƠN_HÀNG'!$B$2:$B$500,A18))</x:f>
      </x:c>
      <x:c r="H18" s="35" t="str">
        <x:f>IF(A18="","",SUMIFS('THANH_TOÁN'!$D$2:$D$500,'THANH_TOÁN'!$B$2:$B$500,A18,'THANH_TOÁN'!$F$2:$F$500,"ĐÃ XÁC NHẬN"))</x:f>
      </x:c>
      <x:c r="I18" s="35" t="str">
        <x:f>IF(A18="","",MAX(0,G18-H18))</x:f>
      </x:c>
      <x:c r="J18" s="36" t="str">
        <x:f>IF(A18="","",IF(AND(E18&lt;TODAY(),I18&gt;0,K18&lt;&gt;"HỦY"),"QUÁ HẠN",""))</x:f>
      </x:c>
      <x:c r="K18" s="39"/>
      <x:c r="L18" s="39"/>
      <x:c r="M18" s="39"/>
      <x:c r="N18" s="39"/>
      <x:c r="O18" s="42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41"/>
      <x:c r="E19" s="41"/>
      <x:c r="F19" s="39"/>
      <x:c r="G19" s="35" t="str">
        <x:f>IF(A19="","",SUMIFS('CHI_TIẾT_ĐƠN_HÀNG'!$H$2:$H$500,'CHI_TIẾT_ĐƠN_HÀNG'!$B$2:$B$500,A19))</x:f>
      </x:c>
      <x:c r="H19" s="35" t="str">
        <x:f>IF(A19="","",SUMIFS('THANH_TOÁN'!$D$2:$D$500,'THANH_TOÁN'!$B$2:$B$500,A19,'THANH_TOÁN'!$F$2:$F$500,"ĐÃ XÁC NHẬN"))</x:f>
      </x:c>
      <x:c r="I19" s="35" t="str">
        <x:f>IF(A19="","",MAX(0,G19-H19))</x:f>
      </x:c>
      <x:c r="J19" s="36" t="str">
        <x:f>IF(A19="","",IF(AND(E19&lt;TODAY(),I19&gt;0,K19&lt;&gt;"HỦY"),"QUÁ HẠN",""))</x:f>
      </x:c>
      <x:c r="K19" s="39"/>
      <x:c r="L19" s="39"/>
      <x:c r="M19" s="39"/>
      <x:c r="N19" s="39"/>
      <x:c r="O19" s="42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41"/>
      <x:c r="E20" s="41"/>
      <x:c r="F20" s="39"/>
      <x:c r="G20" s="35" t="str">
        <x:f>IF(A20="","",SUMIFS('CHI_TIẾT_ĐƠN_HÀNG'!$H$2:$H$500,'CHI_TIẾT_ĐƠN_HÀNG'!$B$2:$B$500,A20))</x:f>
      </x:c>
      <x:c r="H20" s="35" t="str">
        <x:f>IF(A20="","",SUMIFS('THANH_TOÁN'!$D$2:$D$500,'THANH_TOÁN'!$B$2:$B$500,A20,'THANH_TOÁN'!$F$2:$F$500,"ĐÃ XÁC NHẬN"))</x:f>
      </x:c>
      <x:c r="I20" s="35" t="str">
        <x:f>IF(A20="","",MAX(0,G20-H20))</x:f>
      </x:c>
      <x:c r="J20" s="36" t="str">
        <x:f>IF(A20="","",IF(AND(E20&lt;TODAY(),I20&gt;0,K20&lt;&gt;"HỦY"),"QUÁ HẠN",""))</x:f>
      </x:c>
      <x:c r="K20" s="39"/>
      <x:c r="L20" s="39"/>
      <x:c r="M20" s="39"/>
      <x:c r="N20" s="39"/>
      <x:c r="O20" s="42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41"/>
      <x:c r="E21" s="41"/>
      <x:c r="F21" s="39"/>
      <x:c r="G21" s="35" t="str">
        <x:f>IF(A21="","",SUMIFS('CHI_TIẾT_ĐƠN_HÀNG'!$H$2:$H$500,'CHI_TIẾT_ĐƠN_HÀNG'!$B$2:$B$500,A21))</x:f>
      </x:c>
      <x:c r="H21" s="35" t="str">
        <x:f>IF(A21="","",SUMIFS('THANH_TOÁN'!$D$2:$D$500,'THANH_TOÁN'!$B$2:$B$500,A21,'THANH_TOÁN'!$F$2:$F$500,"ĐÃ XÁC NHẬN"))</x:f>
      </x:c>
      <x:c r="I21" s="35" t="str">
        <x:f>IF(A21="","",MAX(0,G21-H21))</x:f>
      </x:c>
      <x:c r="J21" s="36" t="str">
        <x:f>IF(A21="","",IF(AND(E21&lt;TODAY(),I21&gt;0,K21&lt;&gt;"HỦY"),"QUÁ HẠN",""))</x:f>
      </x:c>
      <x:c r="K21" s="39"/>
      <x:c r="L21" s="39"/>
      <x:c r="M21" s="39"/>
      <x:c r="N21" s="39"/>
      <x:c r="O21" s="42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41"/>
      <x:c r="E22" s="41"/>
      <x:c r="F22" s="39"/>
      <x:c r="G22" s="35" t="str">
        <x:f>IF(A22="","",SUMIFS('CHI_TIẾT_ĐƠN_HÀNG'!$H$2:$H$500,'CHI_TIẾT_ĐƠN_HÀNG'!$B$2:$B$500,A22))</x:f>
      </x:c>
      <x:c r="H22" s="35" t="str">
        <x:f>IF(A22="","",SUMIFS('THANH_TOÁN'!$D$2:$D$500,'THANH_TOÁN'!$B$2:$B$500,A22,'THANH_TOÁN'!$F$2:$F$500,"ĐÃ XÁC NHẬN"))</x:f>
      </x:c>
      <x:c r="I22" s="35" t="str">
        <x:f>IF(A22="","",MAX(0,G22-H22))</x:f>
      </x:c>
      <x:c r="J22" s="36" t="str">
        <x:f>IF(A22="","",IF(AND(E22&lt;TODAY(),I22&gt;0,K22&lt;&gt;"HỦY"),"QUÁ HẠN",""))</x:f>
      </x:c>
      <x:c r="K22" s="39"/>
      <x:c r="L22" s="39"/>
      <x:c r="M22" s="39"/>
      <x:c r="N22" s="39"/>
      <x:c r="O22" s="42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41"/>
      <x:c r="E23" s="41"/>
      <x:c r="F23" s="39"/>
      <x:c r="G23" s="35" t="str">
        <x:f>IF(A23="","",SUMIFS('CHI_TIẾT_ĐƠN_HÀNG'!$H$2:$H$500,'CHI_TIẾT_ĐƠN_HÀNG'!$B$2:$B$500,A23))</x:f>
      </x:c>
      <x:c r="H23" s="35" t="str">
        <x:f>IF(A23="","",SUMIFS('THANH_TOÁN'!$D$2:$D$500,'THANH_TOÁN'!$B$2:$B$500,A23,'THANH_TOÁN'!$F$2:$F$500,"ĐÃ XÁC NHẬN"))</x:f>
      </x:c>
      <x:c r="I23" s="35" t="str">
        <x:f>IF(A23="","",MAX(0,G23-H23))</x:f>
      </x:c>
      <x:c r="J23" s="36" t="str">
        <x:f>IF(A23="","",IF(AND(E23&lt;TODAY(),I23&gt;0,K23&lt;&gt;"HỦY"),"QUÁ HẠN",""))</x:f>
      </x:c>
      <x:c r="K23" s="39"/>
      <x:c r="L23" s="39"/>
      <x:c r="M23" s="39"/>
      <x:c r="N23" s="39"/>
      <x:c r="O23" s="42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41"/>
      <x:c r="E24" s="41"/>
      <x:c r="F24" s="39"/>
      <x:c r="G24" s="35" t="str">
        <x:f>IF(A24="","",SUMIFS('CHI_TIẾT_ĐƠN_HÀNG'!$H$2:$H$500,'CHI_TIẾT_ĐƠN_HÀNG'!$B$2:$B$500,A24))</x:f>
      </x:c>
      <x:c r="H24" s="35" t="str">
        <x:f>IF(A24="","",SUMIFS('THANH_TOÁN'!$D$2:$D$500,'THANH_TOÁN'!$B$2:$B$500,A24,'THANH_TOÁN'!$F$2:$F$500,"ĐÃ XÁC NHẬN"))</x:f>
      </x:c>
      <x:c r="I24" s="35" t="str">
        <x:f>IF(A24="","",MAX(0,G24-H24))</x:f>
      </x:c>
      <x:c r="J24" s="36" t="str">
        <x:f>IF(A24="","",IF(AND(E24&lt;TODAY(),I24&gt;0,K24&lt;&gt;"HỦY"),"QUÁ HẠN",""))</x:f>
      </x:c>
      <x:c r="K24" s="39"/>
      <x:c r="L24" s="39"/>
      <x:c r="M24" s="39"/>
      <x:c r="N24" s="39"/>
      <x:c r="O24" s="42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41"/>
      <x:c r="E25" s="41"/>
      <x:c r="F25" s="39"/>
      <x:c r="G25" s="35" t="str">
        <x:f>IF(A25="","",SUMIFS('CHI_TIẾT_ĐƠN_HÀNG'!$H$2:$H$500,'CHI_TIẾT_ĐƠN_HÀNG'!$B$2:$B$500,A25))</x:f>
      </x:c>
      <x:c r="H25" s="35" t="str">
        <x:f>IF(A25="","",SUMIFS('THANH_TOÁN'!$D$2:$D$500,'THANH_TOÁN'!$B$2:$B$500,A25,'THANH_TOÁN'!$F$2:$F$500,"ĐÃ XÁC NHẬN"))</x:f>
      </x:c>
      <x:c r="I25" s="35" t="str">
        <x:f>IF(A25="","",MAX(0,G25-H25))</x:f>
      </x:c>
      <x:c r="J25" s="36" t="str">
        <x:f>IF(A25="","",IF(AND(E25&lt;TODAY(),I25&gt;0,K25&lt;&gt;"HỦY"),"QUÁ HẠN",""))</x:f>
      </x:c>
      <x:c r="K25" s="39"/>
      <x:c r="L25" s="39"/>
      <x:c r="M25" s="39"/>
      <x:c r="N25" s="39"/>
      <x:c r="O25" s="42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41"/>
      <x:c r="E26" s="41"/>
      <x:c r="F26" s="39"/>
      <x:c r="G26" s="35" t="str">
        <x:f>IF(A26="","",SUMIFS('CHI_TIẾT_ĐƠN_HÀNG'!$H$2:$H$500,'CHI_TIẾT_ĐƠN_HÀNG'!$B$2:$B$500,A26))</x:f>
      </x:c>
      <x:c r="H26" s="35" t="str">
        <x:f>IF(A26="","",SUMIFS('THANH_TOÁN'!$D$2:$D$500,'THANH_TOÁN'!$B$2:$B$500,A26,'THANH_TOÁN'!$F$2:$F$500,"ĐÃ XÁC NHẬN"))</x:f>
      </x:c>
      <x:c r="I26" s="35" t="str">
        <x:f>IF(A26="","",MAX(0,G26-H26))</x:f>
      </x:c>
      <x:c r="J26" s="36" t="str">
        <x:f>IF(A26="","",IF(AND(E26&lt;TODAY(),I26&gt;0,K26&lt;&gt;"HỦY"),"QUÁ HẠN",""))</x:f>
      </x:c>
      <x:c r="K26" s="39"/>
      <x:c r="L26" s="39"/>
      <x:c r="M26" s="39"/>
      <x:c r="N26" s="39"/>
      <x:c r="O26" s="42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41"/>
      <x:c r="E27" s="41"/>
      <x:c r="F27" s="39"/>
      <x:c r="G27" s="35" t="str">
        <x:f>IF(A27="","",SUMIFS('CHI_TIẾT_ĐƠN_HÀNG'!$H$2:$H$500,'CHI_TIẾT_ĐƠN_HÀNG'!$B$2:$B$500,A27))</x:f>
      </x:c>
      <x:c r="H27" s="35" t="str">
        <x:f>IF(A27="","",SUMIFS('THANH_TOÁN'!$D$2:$D$500,'THANH_TOÁN'!$B$2:$B$500,A27,'THANH_TOÁN'!$F$2:$F$500,"ĐÃ XÁC NHẬN"))</x:f>
      </x:c>
      <x:c r="I27" s="35" t="str">
        <x:f>IF(A27="","",MAX(0,G27-H27))</x:f>
      </x:c>
      <x:c r="J27" s="36" t="str">
        <x:f>IF(A27="","",IF(AND(E27&lt;TODAY(),I27&gt;0,K27&lt;&gt;"HỦY"),"QUÁ HẠN",""))</x:f>
      </x:c>
      <x:c r="K27" s="39"/>
      <x:c r="L27" s="39"/>
      <x:c r="M27" s="39"/>
      <x:c r="N27" s="39"/>
      <x:c r="O27" s="42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41"/>
      <x:c r="E28" s="41"/>
      <x:c r="F28" s="39"/>
      <x:c r="G28" s="35" t="str">
        <x:f>IF(A28="","",SUMIFS('CHI_TIẾT_ĐƠN_HÀNG'!$H$2:$H$500,'CHI_TIẾT_ĐƠN_HÀNG'!$B$2:$B$500,A28))</x:f>
      </x:c>
      <x:c r="H28" s="35" t="str">
        <x:f>IF(A28="","",SUMIFS('THANH_TOÁN'!$D$2:$D$500,'THANH_TOÁN'!$B$2:$B$500,A28,'THANH_TOÁN'!$F$2:$F$500,"ĐÃ XÁC NHẬN"))</x:f>
      </x:c>
      <x:c r="I28" s="35" t="str">
        <x:f>IF(A28="","",MAX(0,G28-H28))</x:f>
      </x:c>
      <x:c r="J28" s="36" t="str">
        <x:f>IF(A28="","",IF(AND(E28&lt;TODAY(),I28&gt;0,K28&lt;&gt;"HỦY"),"QUÁ HẠN",""))</x:f>
      </x:c>
      <x:c r="K28" s="39"/>
      <x:c r="L28" s="39"/>
      <x:c r="M28" s="39"/>
      <x:c r="N28" s="39"/>
      <x:c r="O28" s="42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41"/>
      <x:c r="E29" s="41"/>
      <x:c r="F29" s="39"/>
      <x:c r="G29" s="35" t="str">
        <x:f>IF(A29="","",SUMIFS('CHI_TIẾT_ĐƠN_HÀNG'!$H$2:$H$500,'CHI_TIẾT_ĐƠN_HÀNG'!$B$2:$B$500,A29))</x:f>
      </x:c>
      <x:c r="H29" s="35" t="str">
        <x:f>IF(A29="","",SUMIFS('THANH_TOÁN'!$D$2:$D$500,'THANH_TOÁN'!$B$2:$B$500,A29,'THANH_TOÁN'!$F$2:$F$500,"ĐÃ XÁC NHẬN"))</x:f>
      </x:c>
      <x:c r="I29" s="35" t="str">
        <x:f>IF(A29="","",MAX(0,G29-H29))</x:f>
      </x:c>
      <x:c r="J29" s="36" t="str">
        <x:f>IF(A29="","",IF(AND(E29&lt;TODAY(),I29&gt;0,K29&lt;&gt;"HỦY"),"QUÁ HẠN",""))</x:f>
      </x:c>
      <x:c r="K29" s="39"/>
      <x:c r="L29" s="39"/>
      <x:c r="M29" s="39"/>
      <x:c r="N29" s="39"/>
      <x:c r="O29" s="42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41"/>
      <x:c r="E30" s="41"/>
      <x:c r="F30" s="39"/>
      <x:c r="G30" s="35" t="str">
        <x:f>IF(A30="","",SUMIFS('CHI_TIẾT_ĐƠN_HÀNG'!$H$2:$H$500,'CHI_TIẾT_ĐƠN_HÀNG'!$B$2:$B$500,A30))</x:f>
      </x:c>
      <x:c r="H30" s="35" t="str">
        <x:f>IF(A30="","",SUMIFS('THANH_TOÁN'!$D$2:$D$500,'THANH_TOÁN'!$B$2:$B$500,A30,'THANH_TOÁN'!$F$2:$F$500,"ĐÃ XÁC NHẬN"))</x:f>
      </x:c>
      <x:c r="I30" s="35" t="str">
        <x:f>IF(A30="","",MAX(0,G30-H30))</x:f>
      </x:c>
      <x:c r="J30" s="36" t="str">
        <x:f>IF(A30="","",IF(AND(E30&lt;TODAY(),I30&gt;0,K30&lt;&gt;"HỦY"),"QUÁ HẠN",""))</x:f>
      </x:c>
      <x:c r="K30" s="39"/>
      <x:c r="L30" s="39"/>
      <x:c r="M30" s="39"/>
      <x:c r="N30" s="39"/>
      <x:c r="O30" s="42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41"/>
      <x:c r="E31" s="41"/>
      <x:c r="F31" s="39"/>
      <x:c r="G31" s="35" t="str">
        <x:f>IF(A31="","",SUMIFS('CHI_TIẾT_ĐƠN_HÀNG'!$H$2:$H$500,'CHI_TIẾT_ĐƠN_HÀNG'!$B$2:$B$500,A31))</x:f>
      </x:c>
      <x:c r="H31" s="35" t="str">
        <x:f>IF(A31="","",SUMIFS('THANH_TOÁN'!$D$2:$D$500,'THANH_TOÁN'!$B$2:$B$500,A31,'THANH_TOÁN'!$F$2:$F$500,"ĐÃ XÁC NHẬN"))</x:f>
      </x:c>
      <x:c r="I31" s="35" t="str">
        <x:f>IF(A31="","",MAX(0,G31-H31))</x:f>
      </x:c>
      <x:c r="J31" s="36" t="str">
        <x:f>IF(A31="","",IF(AND(E31&lt;TODAY(),I31&gt;0,K31&lt;&gt;"HỦY"),"QUÁ HẠN",""))</x:f>
      </x:c>
      <x:c r="K31" s="39"/>
      <x:c r="L31" s="39"/>
      <x:c r="M31" s="39"/>
      <x:c r="N31" s="39"/>
      <x:c r="O31" s="42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41"/>
      <x:c r="E32" s="41"/>
      <x:c r="F32" s="39"/>
      <x:c r="G32" s="35" t="str">
        <x:f>IF(A32="","",SUMIFS('CHI_TIẾT_ĐƠN_HÀNG'!$H$2:$H$500,'CHI_TIẾT_ĐƠN_HÀNG'!$B$2:$B$500,A32))</x:f>
      </x:c>
      <x:c r="H32" s="35" t="str">
        <x:f>IF(A32="","",SUMIFS('THANH_TOÁN'!$D$2:$D$500,'THANH_TOÁN'!$B$2:$B$500,A32,'THANH_TOÁN'!$F$2:$F$500,"ĐÃ XÁC NHẬN"))</x:f>
      </x:c>
      <x:c r="I32" s="35" t="str">
        <x:f>IF(A32="","",MAX(0,G32-H32))</x:f>
      </x:c>
      <x:c r="J32" s="36" t="str">
        <x:f>IF(A32="","",IF(AND(E32&lt;TODAY(),I32&gt;0,K32&lt;&gt;"HỦY"),"QUÁ HẠN",""))</x:f>
      </x:c>
      <x:c r="K32" s="39"/>
      <x:c r="L32" s="39"/>
      <x:c r="M32" s="39"/>
      <x:c r="N32" s="39"/>
      <x:c r="O32" s="42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41"/>
      <x:c r="E33" s="41"/>
      <x:c r="F33" s="39"/>
      <x:c r="G33" s="35" t="str">
        <x:f>IF(A33="","",SUMIFS('CHI_TIẾT_ĐƠN_HÀNG'!$H$2:$H$500,'CHI_TIẾT_ĐƠN_HÀNG'!$B$2:$B$500,A33))</x:f>
      </x:c>
      <x:c r="H33" s="35" t="str">
        <x:f>IF(A33="","",SUMIFS('THANH_TOÁN'!$D$2:$D$500,'THANH_TOÁN'!$B$2:$B$500,A33,'THANH_TOÁN'!$F$2:$F$500,"ĐÃ XÁC NHẬN"))</x:f>
      </x:c>
      <x:c r="I33" s="35" t="str">
        <x:f>IF(A33="","",MAX(0,G33-H33))</x:f>
      </x:c>
      <x:c r="J33" s="36" t="str">
        <x:f>IF(A33="","",IF(AND(E33&lt;TODAY(),I33&gt;0,K33&lt;&gt;"HỦY"),"QUÁ HẠN",""))</x:f>
      </x:c>
      <x:c r="K33" s="39"/>
      <x:c r="L33" s="39"/>
      <x:c r="M33" s="39"/>
      <x:c r="N33" s="39"/>
      <x:c r="O33" s="42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41"/>
      <x:c r="E34" s="41"/>
      <x:c r="F34" s="39"/>
      <x:c r="G34" s="35" t="str">
        <x:f>IF(A34="","",SUMIFS('CHI_TIẾT_ĐƠN_HÀNG'!$H$2:$H$500,'CHI_TIẾT_ĐƠN_HÀNG'!$B$2:$B$500,A34))</x:f>
      </x:c>
      <x:c r="H34" s="35" t="str">
        <x:f>IF(A34="","",SUMIFS('THANH_TOÁN'!$D$2:$D$500,'THANH_TOÁN'!$B$2:$B$500,A34,'THANH_TOÁN'!$F$2:$F$500,"ĐÃ XÁC NHẬN"))</x:f>
      </x:c>
      <x:c r="I34" s="35" t="str">
        <x:f>IF(A34="","",MAX(0,G34-H34))</x:f>
      </x:c>
      <x:c r="J34" s="36" t="str">
        <x:f>IF(A34="","",IF(AND(E34&lt;TODAY(),I34&gt;0,K34&lt;&gt;"HỦY"),"QUÁ HẠN",""))</x:f>
      </x:c>
      <x:c r="K34" s="39"/>
      <x:c r="L34" s="39"/>
      <x:c r="M34" s="39"/>
      <x:c r="N34" s="39"/>
      <x:c r="O34" s="42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41"/>
      <x:c r="E35" s="41"/>
      <x:c r="F35" s="39"/>
      <x:c r="G35" s="35" t="str">
        <x:f>IF(A35="","",SUMIFS('CHI_TIẾT_ĐƠN_HÀNG'!$H$2:$H$500,'CHI_TIẾT_ĐƠN_HÀNG'!$B$2:$B$500,A35))</x:f>
      </x:c>
      <x:c r="H35" s="35" t="str">
        <x:f>IF(A35="","",SUMIFS('THANH_TOÁN'!$D$2:$D$500,'THANH_TOÁN'!$B$2:$B$500,A35,'THANH_TOÁN'!$F$2:$F$500,"ĐÃ XÁC NHẬN"))</x:f>
      </x:c>
      <x:c r="I35" s="35" t="str">
        <x:f>IF(A35="","",MAX(0,G35-H35))</x:f>
      </x:c>
      <x:c r="J35" s="36" t="str">
        <x:f>IF(A35="","",IF(AND(E35&lt;TODAY(),I35&gt;0,K35&lt;&gt;"HỦY"),"QUÁ HẠN",""))</x:f>
      </x:c>
      <x:c r="K35" s="39"/>
      <x:c r="L35" s="39"/>
      <x:c r="M35" s="39"/>
      <x:c r="N35" s="39"/>
      <x:c r="O35" s="42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41"/>
      <x:c r="E36" s="41"/>
      <x:c r="F36" s="39"/>
      <x:c r="G36" s="35" t="str">
        <x:f>IF(A36="","",SUMIFS('CHI_TIẾT_ĐƠN_HÀNG'!$H$2:$H$500,'CHI_TIẾT_ĐƠN_HÀNG'!$B$2:$B$500,A36))</x:f>
      </x:c>
      <x:c r="H36" s="35" t="str">
        <x:f>IF(A36="","",SUMIFS('THANH_TOÁN'!$D$2:$D$500,'THANH_TOÁN'!$B$2:$B$500,A36,'THANH_TOÁN'!$F$2:$F$500,"ĐÃ XÁC NHẬN"))</x:f>
      </x:c>
      <x:c r="I36" s="35" t="str">
        <x:f>IF(A36="","",MAX(0,G36-H36))</x:f>
      </x:c>
      <x:c r="J36" s="36" t="str">
        <x:f>IF(A36="","",IF(AND(E36&lt;TODAY(),I36&gt;0,K36&lt;&gt;"HỦY"),"QUÁ HẠN",""))</x:f>
      </x:c>
      <x:c r="K36" s="39"/>
      <x:c r="L36" s="39"/>
      <x:c r="M36" s="39"/>
      <x:c r="N36" s="39"/>
      <x:c r="O36" s="42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41"/>
      <x:c r="E37" s="41"/>
      <x:c r="F37" s="39"/>
      <x:c r="G37" s="35" t="str">
        <x:f>IF(A37="","",SUMIFS('CHI_TIẾT_ĐƠN_HÀNG'!$H$2:$H$500,'CHI_TIẾT_ĐƠN_HÀNG'!$B$2:$B$500,A37))</x:f>
      </x:c>
      <x:c r="H37" s="35" t="str">
        <x:f>IF(A37="","",SUMIFS('THANH_TOÁN'!$D$2:$D$500,'THANH_TOÁN'!$B$2:$B$500,A37,'THANH_TOÁN'!$F$2:$F$500,"ĐÃ XÁC NHẬN"))</x:f>
      </x:c>
      <x:c r="I37" s="35" t="str">
        <x:f>IF(A37="","",MAX(0,G37-H37))</x:f>
      </x:c>
      <x:c r="J37" s="36" t="str">
        <x:f>IF(A37="","",IF(AND(E37&lt;TODAY(),I37&gt;0,K37&lt;&gt;"HỦY"),"QUÁ HẠN",""))</x:f>
      </x:c>
      <x:c r="K37" s="39"/>
      <x:c r="L37" s="39"/>
      <x:c r="M37" s="39"/>
      <x:c r="N37" s="39"/>
      <x:c r="O37" s="42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41"/>
      <x:c r="E38" s="41"/>
      <x:c r="F38" s="39"/>
      <x:c r="G38" s="35" t="str">
        <x:f>IF(A38="","",SUMIFS('CHI_TIẾT_ĐƠN_HÀNG'!$H$2:$H$500,'CHI_TIẾT_ĐƠN_HÀNG'!$B$2:$B$500,A38))</x:f>
      </x:c>
      <x:c r="H38" s="35" t="str">
        <x:f>IF(A38="","",SUMIFS('THANH_TOÁN'!$D$2:$D$500,'THANH_TOÁN'!$B$2:$B$500,A38,'THANH_TOÁN'!$F$2:$F$500,"ĐÃ XÁC NHẬN"))</x:f>
      </x:c>
      <x:c r="I38" s="35" t="str">
        <x:f>IF(A38="","",MAX(0,G38-H38))</x:f>
      </x:c>
      <x:c r="J38" s="36" t="str">
        <x:f>IF(A38="","",IF(AND(E38&lt;TODAY(),I38&gt;0,K38&lt;&gt;"HỦY"),"QUÁ HẠN",""))</x:f>
      </x:c>
      <x:c r="K38" s="39"/>
      <x:c r="L38" s="39"/>
      <x:c r="M38" s="39"/>
      <x:c r="N38" s="39"/>
      <x:c r="O38" s="42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41"/>
      <x:c r="E39" s="41"/>
      <x:c r="F39" s="39"/>
      <x:c r="G39" s="35" t="str">
        <x:f>IF(A39="","",SUMIFS('CHI_TIẾT_ĐƠN_HÀNG'!$H$2:$H$500,'CHI_TIẾT_ĐƠN_HÀNG'!$B$2:$B$500,A39))</x:f>
      </x:c>
      <x:c r="H39" s="35" t="str">
        <x:f>IF(A39="","",SUMIFS('THANH_TOÁN'!$D$2:$D$500,'THANH_TOÁN'!$B$2:$B$500,A39,'THANH_TOÁN'!$F$2:$F$500,"ĐÃ XÁC NHẬN"))</x:f>
      </x:c>
      <x:c r="I39" s="35" t="str">
        <x:f>IF(A39="","",MAX(0,G39-H39))</x:f>
      </x:c>
      <x:c r="J39" s="36" t="str">
        <x:f>IF(A39="","",IF(AND(E39&lt;TODAY(),I39&gt;0,K39&lt;&gt;"HỦY"),"QUÁ HẠN",""))</x:f>
      </x:c>
      <x:c r="K39" s="39"/>
      <x:c r="L39" s="39"/>
      <x:c r="M39" s="39"/>
      <x:c r="N39" s="39"/>
      <x:c r="O39" s="42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41"/>
      <x:c r="E40" s="41"/>
      <x:c r="F40" s="39"/>
      <x:c r="G40" s="35" t="str">
        <x:f>IF(A40="","",SUMIFS('CHI_TIẾT_ĐƠN_HÀNG'!$H$2:$H$500,'CHI_TIẾT_ĐƠN_HÀNG'!$B$2:$B$500,A40))</x:f>
      </x:c>
      <x:c r="H40" s="35" t="str">
        <x:f>IF(A40="","",SUMIFS('THANH_TOÁN'!$D$2:$D$500,'THANH_TOÁN'!$B$2:$B$500,A40,'THANH_TOÁN'!$F$2:$F$500,"ĐÃ XÁC NHẬN"))</x:f>
      </x:c>
      <x:c r="I40" s="35" t="str">
        <x:f>IF(A40="","",MAX(0,G40-H40))</x:f>
      </x:c>
      <x:c r="J40" s="36" t="str">
        <x:f>IF(A40="","",IF(AND(E40&lt;TODAY(),I40&gt;0,K40&lt;&gt;"HỦY"),"QUÁ HẠN",""))</x:f>
      </x:c>
      <x:c r="K40" s="39"/>
      <x:c r="L40" s="39"/>
      <x:c r="M40" s="39"/>
      <x:c r="N40" s="39"/>
      <x:c r="O40" s="42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41"/>
      <x:c r="E41" s="41"/>
      <x:c r="F41" s="39"/>
      <x:c r="G41" s="35" t="str">
        <x:f>IF(A41="","",SUMIFS('CHI_TIẾT_ĐƠN_HÀNG'!$H$2:$H$500,'CHI_TIẾT_ĐƠN_HÀNG'!$B$2:$B$500,A41))</x:f>
      </x:c>
      <x:c r="H41" s="35" t="str">
        <x:f>IF(A41="","",SUMIFS('THANH_TOÁN'!$D$2:$D$500,'THANH_TOÁN'!$B$2:$B$500,A41,'THANH_TOÁN'!$F$2:$F$500,"ĐÃ XÁC NHẬN"))</x:f>
      </x:c>
      <x:c r="I41" s="35" t="str">
        <x:f>IF(A41="","",MAX(0,G41-H41))</x:f>
      </x:c>
      <x:c r="J41" s="36" t="str">
        <x:f>IF(A41="","",IF(AND(E41&lt;TODAY(),I41&gt;0,K41&lt;&gt;"HỦY"),"QUÁ HẠN",""))</x:f>
      </x:c>
      <x:c r="K41" s="39"/>
      <x:c r="L41" s="39"/>
      <x:c r="M41" s="39"/>
      <x:c r="N41" s="39"/>
      <x:c r="O41" s="42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41"/>
      <x:c r="E42" s="41"/>
      <x:c r="F42" s="39"/>
      <x:c r="G42" s="35" t="str">
        <x:f>IF(A42="","",SUMIFS('CHI_TIẾT_ĐƠN_HÀNG'!$H$2:$H$500,'CHI_TIẾT_ĐƠN_HÀNG'!$B$2:$B$500,A42))</x:f>
      </x:c>
      <x:c r="H42" s="35" t="str">
        <x:f>IF(A42="","",SUMIFS('THANH_TOÁN'!$D$2:$D$500,'THANH_TOÁN'!$B$2:$B$500,A42,'THANH_TOÁN'!$F$2:$F$500,"ĐÃ XÁC NHẬN"))</x:f>
      </x:c>
      <x:c r="I42" s="35" t="str">
        <x:f>IF(A42="","",MAX(0,G42-H42))</x:f>
      </x:c>
      <x:c r="J42" s="36" t="str">
        <x:f>IF(A42="","",IF(AND(E42&lt;TODAY(),I42&gt;0,K42&lt;&gt;"HỦY"),"QUÁ HẠN",""))</x:f>
      </x:c>
      <x:c r="K42" s="39"/>
      <x:c r="L42" s="39"/>
      <x:c r="M42" s="39"/>
      <x:c r="N42" s="39"/>
      <x:c r="O42" s="42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41"/>
      <x:c r="E43" s="41"/>
      <x:c r="F43" s="39"/>
      <x:c r="G43" s="35" t="str">
        <x:f>IF(A43="","",SUMIFS('CHI_TIẾT_ĐƠN_HÀNG'!$H$2:$H$500,'CHI_TIẾT_ĐƠN_HÀNG'!$B$2:$B$500,A43))</x:f>
      </x:c>
      <x:c r="H43" s="35" t="str">
        <x:f>IF(A43="","",SUMIFS('THANH_TOÁN'!$D$2:$D$500,'THANH_TOÁN'!$B$2:$B$500,A43,'THANH_TOÁN'!$F$2:$F$500,"ĐÃ XÁC NHẬN"))</x:f>
      </x:c>
      <x:c r="I43" s="35" t="str">
        <x:f>IF(A43="","",MAX(0,G43-H43))</x:f>
      </x:c>
      <x:c r="J43" s="36" t="str">
        <x:f>IF(A43="","",IF(AND(E43&lt;TODAY(),I43&gt;0,K43&lt;&gt;"HỦY"),"QUÁ HẠN",""))</x:f>
      </x:c>
      <x:c r="K43" s="39"/>
      <x:c r="L43" s="39"/>
      <x:c r="M43" s="39"/>
      <x:c r="N43" s="39"/>
      <x:c r="O43" s="42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41"/>
      <x:c r="E44" s="41"/>
      <x:c r="F44" s="39"/>
      <x:c r="G44" s="35" t="str">
        <x:f>IF(A44="","",SUMIFS('CHI_TIẾT_ĐƠN_HÀNG'!$H$2:$H$500,'CHI_TIẾT_ĐƠN_HÀNG'!$B$2:$B$500,A44))</x:f>
      </x:c>
      <x:c r="H44" s="35" t="str">
        <x:f>IF(A44="","",SUMIFS('THANH_TOÁN'!$D$2:$D$500,'THANH_TOÁN'!$B$2:$B$500,A44,'THANH_TOÁN'!$F$2:$F$500,"ĐÃ XÁC NHẬN"))</x:f>
      </x:c>
      <x:c r="I44" s="35" t="str">
        <x:f>IF(A44="","",MAX(0,G44-H44))</x:f>
      </x:c>
      <x:c r="J44" s="36" t="str">
        <x:f>IF(A44="","",IF(AND(E44&lt;TODAY(),I44&gt;0,K44&lt;&gt;"HỦY"),"QUÁ HẠN",""))</x:f>
      </x:c>
      <x:c r="K44" s="39"/>
      <x:c r="L44" s="39"/>
      <x:c r="M44" s="39"/>
      <x:c r="N44" s="39"/>
      <x:c r="O44" s="42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41"/>
      <x:c r="E45" s="41"/>
      <x:c r="F45" s="39"/>
      <x:c r="G45" s="35" t="str">
        <x:f>IF(A45="","",SUMIFS('CHI_TIẾT_ĐƠN_HÀNG'!$H$2:$H$500,'CHI_TIẾT_ĐƠN_HÀNG'!$B$2:$B$500,A45))</x:f>
      </x:c>
      <x:c r="H45" s="35" t="str">
        <x:f>IF(A45="","",SUMIFS('THANH_TOÁN'!$D$2:$D$500,'THANH_TOÁN'!$B$2:$B$500,A45,'THANH_TOÁN'!$F$2:$F$500,"ĐÃ XÁC NHẬN"))</x:f>
      </x:c>
      <x:c r="I45" s="35" t="str">
        <x:f>IF(A45="","",MAX(0,G45-H45))</x:f>
      </x:c>
      <x:c r="J45" s="36" t="str">
        <x:f>IF(A45="","",IF(AND(E45&lt;TODAY(),I45&gt;0,K45&lt;&gt;"HỦY"),"QUÁ HẠN",""))</x:f>
      </x:c>
      <x:c r="K45" s="39"/>
      <x:c r="L45" s="39"/>
      <x:c r="M45" s="39"/>
      <x:c r="N45" s="39"/>
      <x:c r="O45" s="42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41"/>
      <x:c r="E46" s="41"/>
      <x:c r="F46" s="39"/>
      <x:c r="G46" s="35" t="str">
        <x:f>IF(A46="","",SUMIFS('CHI_TIẾT_ĐƠN_HÀNG'!$H$2:$H$500,'CHI_TIẾT_ĐƠN_HÀNG'!$B$2:$B$500,A46))</x:f>
      </x:c>
      <x:c r="H46" s="35" t="str">
        <x:f>IF(A46="","",SUMIFS('THANH_TOÁN'!$D$2:$D$500,'THANH_TOÁN'!$B$2:$B$500,A46,'THANH_TOÁN'!$F$2:$F$500,"ĐÃ XÁC NHẬN"))</x:f>
      </x:c>
      <x:c r="I46" s="35" t="str">
        <x:f>IF(A46="","",MAX(0,G46-H46))</x:f>
      </x:c>
      <x:c r="J46" s="36" t="str">
        <x:f>IF(A46="","",IF(AND(E46&lt;TODAY(),I46&gt;0,K46&lt;&gt;"HỦY"),"QUÁ HẠN",""))</x:f>
      </x:c>
      <x:c r="K46" s="39"/>
      <x:c r="L46" s="39"/>
      <x:c r="M46" s="39"/>
      <x:c r="N46" s="39"/>
      <x:c r="O46" s="42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41"/>
      <x:c r="E47" s="41"/>
      <x:c r="F47" s="39"/>
      <x:c r="G47" s="35" t="str">
        <x:f>IF(A47="","",SUMIFS('CHI_TIẾT_ĐƠN_HÀNG'!$H$2:$H$500,'CHI_TIẾT_ĐƠN_HÀNG'!$B$2:$B$500,A47))</x:f>
      </x:c>
      <x:c r="H47" s="35" t="str">
        <x:f>IF(A47="","",SUMIFS('THANH_TOÁN'!$D$2:$D$500,'THANH_TOÁN'!$B$2:$B$500,A47,'THANH_TOÁN'!$F$2:$F$500,"ĐÃ XÁC NHẬN"))</x:f>
      </x:c>
      <x:c r="I47" s="35" t="str">
        <x:f>IF(A47="","",MAX(0,G47-H47))</x:f>
      </x:c>
      <x:c r="J47" s="36" t="str">
        <x:f>IF(A47="","",IF(AND(E47&lt;TODAY(),I47&gt;0,K47&lt;&gt;"HỦY"),"QUÁ HẠN",""))</x:f>
      </x:c>
      <x:c r="K47" s="39"/>
      <x:c r="L47" s="39"/>
      <x:c r="M47" s="39"/>
      <x:c r="N47" s="39"/>
      <x:c r="O47" s="42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41"/>
      <x:c r="E48" s="41"/>
      <x:c r="F48" s="39"/>
      <x:c r="G48" s="35" t="str">
        <x:f>IF(A48="","",SUMIFS('CHI_TIẾT_ĐƠN_HÀNG'!$H$2:$H$500,'CHI_TIẾT_ĐƠN_HÀNG'!$B$2:$B$500,A48))</x:f>
      </x:c>
      <x:c r="H48" s="35" t="str">
        <x:f>IF(A48="","",SUMIFS('THANH_TOÁN'!$D$2:$D$500,'THANH_TOÁN'!$B$2:$B$500,A48,'THANH_TOÁN'!$F$2:$F$500,"ĐÃ XÁC NHẬN"))</x:f>
      </x:c>
      <x:c r="I48" s="35" t="str">
        <x:f>IF(A48="","",MAX(0,G48-H48))</x:f>
      </x:c>
      <x:c r="J48" s="36" t="str">
        <x:f>IF(A48="","",IF(AND(E48&lt;TODAY(),I48&gt;0,K48&lt;&gt;"HỦY"),"QUÁ HẠN",""))</x:f>
      </x:c>
      <x:c r="K48" s="39"/>
      <x:c r="L48" s="39"/>
      <x:c r="M48" s="39"/>
      <x:c r="N48" s="39"/>
      <x:c r="O48" s="42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41"/>
      <x:c r="E49" s="41"/>
      <x:c r="F49" s="39"/>
      <x:c r="G49" s="35" t="str">
        <x:f>IF(A49="","",SUMIFS('CHI_TIẾT_ĐƠN_HÀNG'!$H$2:$H$500,'CHI_TIẾT_ĐƠN_HÀNG'!$B$2:$B$500,A49))</x:f>
      </x:c>
      <x:c r="H49" s="35" t="str">
        <x:f>IF(A49="","",SUMIFS('THANH_TOÁN'!$D$2:$D$500,'THANH_TOÁN'!$B$2:$B$500,A49,'THANH_TOÁN'!$F$2:$F$500,"ĐÃ XÁC NHẬN"))</x:f>
      </x:c>
      <x:c r="I49" s="35" t="str">
        <x:f>IF(A49="","",MAX(0,G49-H49))</x:f>
      </x:c>
      <x:c r="J49" s="36" t="str">
        <x:f>IF(A49="","",IF(AND(E49&lt;TODAY(),I49&gt;0,K49&lt;&gt;"HỦY"),"QUÁ HẠN",""))</x:f>
      </x:c>
      <x:c r="K49" s="39"/>
      <x:c r="L49" s="39"/>
      <x:c r="M49" s="39"/>
      <x:c r="N49" s="39"/>
      <x:c r="O49" s="42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41"/>
      <x:c r="E50" s="41"/>
      <x:c r="F50" s="39"/>
      <x:c r="G50" s="35" t="str">
        <x:f>IF(A50="","",SUMIFS('CHI_TIẾT_ĐƠN_HÀNG'!$H$2:$H$500,'CHI_TIẾT_ĐƠN_HÀNG'!$B$2:$B$500,A50))</x:f>
      </x:c>
      <x:c r="H50" s="35" t="str">
        <x:f>IF(A50="","",SUMIFS('THANH_TOÁN'!$D$2:$D$500,'THANH_TOÁN'!$B$2:$B$500,A50,'THANH_TOÁN'!$F$2:$F$500,"ĐÃ XÁC NHẬN"))</x:f>
      </x:c>
      <x:c r="I50" s="35" t="str">
        <x:f>IF(A50="","",MAX(0,G50-H50))</x:f>
      </x:c>
      <x:c r="J50" s="36" t="str">
        <x:f>IF(A50="","",IF(AND(E50&lt;TODAY(),I50&gt;0,K50&lt;&gt;"HỦY"),"QUÁ HẠN",""))</x:f>
      </x:c>
      <x:c r="K50" s="39"/>
      <x:c r="L50" s="39"/>
      <x:c r="M50" s="39"/>
      <x:c r="N50" s="39"/>
      <x:c r="O50" s="42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41"/>
      <x:c r="E51" s="41"/>
      <x:c r="F51" s="39"/>
      <x:c r="G51" s="35" t="str">
        <x:f>IF(A51="","",SUMIFS('CHI_TIẾT_ĐƠN_HÀNG'!$H$2:$H$500,'CHI_TIẾT_ĐƠN_HÀNG'!$B$2:$B$500,A51))</x:f>
      </x:c>
      <x:c r="H51" s="35" t="str">
        <x:f>IF(A51="","",SUMIFS('THANH_TOÁN'!$D$2:$D$500,'THANH_TOÁN'!$B$2:$B$500,A51,'THANH_TOÁN'!$F$2:$F$500,"ĐÃ XÁC NHẬN"))</x:f>
      </x:c>
      <x:c r="I51" s="35" t="str">
        <x:f>IF(A51="","",MAX(0,G51-H51))</x:f>
      </x:c>
      <x:c r="J51" s="36" t="str">
        <x:f>IF(A51="","",IF(AND(E51&lt;TODAY(),I51&gt;0,K51&lt;&gt;"HỦY"),"QUÁ HẠN",""))</x:f>
      </x:c>
      <x:c r="K51" s="39"/>
      <x:c r="L51" s="39"/>
      <x:c r="M51" s="39"/>
      <x:c r="N51" s="39"/>
      <x:c r="O51" s="42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41"/>
      <x:c r="E52" s="41"/>
      <x:c r="F52" s="39"/>
      <x:c r="G52" s="35" t="str">
        <x:f>IF(A52="","",SUMIFS('CHI_TIẾT_ĐƠN_HÀNG'!$H$2:$H$500,'CHI_TIẾT_ĐƠN_HÀNG'!$B$2:$B$500,A52))</x:f>
      </x:c>
      <x:c r="H52" s="35" t="str">
        <x:f>IF(A52="","",SUMIFS('THANH_TOÁN'!$D$2:$D$500,'THANH_TOÁN'!$B$2:$B$500,A52,'THANH_TOÁN'!$F$2:$F$500,"ĐÃ XÁC NHẬN"))</x:f>
      </x:c>
      <x:c r="I52" s="35" t="str">
        <x:f>IF(A52="","",MAX(0,G52-H52))</x:f>
      </x:c>
      <x:c r="J52" s="36" t="str">
        <x:f>IF(A52="","",IF(AND(E52&lt;TODAY(),I52&gt;0,K52&lt;&gt;"HỦY"),"QUÁ HẠN",""))</x:f>
      </x:c>
      <x:c r="K52" s="39"/>
      <x:c r="L52" s="39"/>
      <x:c r="M52" s="39"/>
      <x:c r="N52" s="39"/>
      <x:c r="O52" s="42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41"/>
      <x:c r="E53" s="41"/>
      <x:c r="F53" s="39"/>
      <x:c r="G53" s="35" t="str">
        <x:f>IF(A53="","",SUMIFS('CHI_TIẾT_ĐƠN_HÀNG'!$H$2:$H$500,'CHI_TIẾT_ĐƠN_HÀNG'!$B$2:$B$500,A53))</x:f>
      </x:c>
      <x:c r="H53" s="35" t="str">
        <x:f>IF(A53="","",SUMIFS('THANH_TOÁN'!$D$2:$D$500,'THANH_TOÁN'!$B$2:$B$500,A53,'THANH_TOÁN'!$F$2:$F$500,"ĐÃ XÁC NHẬN"))</x:f>
      </x:c>
      <x:c r="I53" s="35" t="str">
        <x:f>IF(A53="","",MAX(0,G53-H53))</x:f>
      </x:c>
      <x:c r="J53" s="36" t="str">
        <x:f>IF(A53="","",IF(AND(E53&lt;TODAY(),I53&gt;0,K53&lt;&gt;"HỦY"),"QUÁ HẠN",""))</x:f>
      </x:c>
      <x:c r="K53" s="39"/>
      <x:c r="L53" s="39"/>
      <x:c r="M53" s="39"/>
      <x:c r="N53" s="39"/>
      <x:c r="O53" s="42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41"/>
      <x:c r="E54" s="41"/>
      <x:c r="F54" s="39"/>
      <x:c r="G54" s="35" t="str">
        <x:f>IF(A54="","",SUMIFS('CHI_TIẾT_ĐƠN_HÀNG'!$H$2:$H$500,'CHI_TIẾT_ĐƠN_HÀNG'!$B$2:$B$500,A54))</x:f>
      </x:c>
      <x:c r="H54" s="35" t="str">
        <x:f>IF(A54="","",SUMIFS('THANH_TOÁN'!$D$2:$D$500,'THANH_TOÁN'!$B$2:$B$500,A54,'THANH_TOÁN'!$F$2:$F$500,"ĐÃ XÁC NHẬN"))</x:f>
      </x:c>
      <x:c r="I54" s="35" t="str">
        <x:f>IF(A54="","",MAX(0,G54-H54))</x:f>
      </x:c>
      <x:c r="J54" s="36" t="str">
        <x:f>IF(A54="","",IF(AND(E54&lt;TODAY(),I54&gt;0,K54&lt;&gt;"HỦY"),"QUÁ HẠN",""))</x:f>
      </x:c>
      <x:c r="K54" s="39"/>
      <x:c r="L54" s="39"/>
      <x:c r="M54" s="39"/>
      <x:c r="N54" s="39"/>
      <x:c r="O54" s="42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41"/>
      <x:c r="E55" s="41"/>
      <x:c r="F55" s="39"/>
      <x:c r="G55" s="35" t="str">
        <x:f>IF(A55="","",SUMIFS('CHI_TIẾT_ĐƠN_HÀNG'!$H$2:$H$500,'CHI_TIẾT_ĐƠN_HÀNG'!$B$2:$B$500,A55))</x:f>
      </x:c>
      <x:c r="H55" s="35" t="str">
        <x:f>IF(A55="","",SUMIFS('THANH_TOÁN'!$D$2:$D$500,'THANH_TOÁN'!$B$2:$B$500,A55,'THANH_TOÁN'!$F$2:$F$500,"ĐÃ XÁC NHẬN"))</x:f>
      </x:c>
      <x:c r="I55" s="35" t="str">
        <x:f>IF(A55="","",MAX(0,G55-H55))</x:f>
      </x:c>
      <x:c r="J55" s="36" t="str">
        <x:f>IF(A55="","",IF(AND(E55&lt;TODAY(),I55&gt;0,K55&lt;&gt;"HỦY"),"QUÁ HẠN",""))</x:f>
      </x:c>
      <x:c r="K55" s="39"/>
      <x:c r="L55" s="39"/>
      <x:c r="M55" s="39"/>
      <x:c r="N55" s="39"/>
      <x:c r="O55" s="42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41"/>
      <x:c r="E56" s="41"/>
      <x:c r="F56" s="39"/>
      <x:c r="G56" s="35" t="str">
        <x:f>IF(A56="","",SUMIFS('CHI_TIẾT_ĐƠN_HÀNG'!$H$2:$H$500,'CHI_TIẾT_ĐƠN_HÀNG'!$B$2:$B$500,A56))</x:f>
      </x:c>
      <x:c r="H56" s="35" t="str">
        <x:f>IF(A56="","",SUMIFS('THANH_TOÁN'!$D$2:$D$500,'THANH_TOÁN'!$B$2:$B$500,A56,'THANH_TOÁN'!$F$2:$F$500,"ĐÃ XÁC NHẬN"))</x:f>
      </x:c>
      <x:c r="I56" s="35" t="str">
        <x:f>IF(A56="","",MAX(0,G56-H56))</x:f>
      </x:c>
      <x:c r="J56" s="36" t="str">
        <x:f>IF(A56="","",IF(AND(E56&lt;TODAY(),I56&gt;0,K56&lt;&gt;"HỦY"),"QUÁ HẠN",""))</x:f>
      </x:c>
      <x:c r="K56" s="39"/>
      <x:c r="L56" s="39"/>
      <x:c r="M56" s="39"/>
      <x:c r="N56" s="39"/>
      <x:c r="O56" s="42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41"/>
      <x:c r="E57" s="41"/>
      <x:c r="F57" s="39"/>
      <x:c r="G57" s="35" t="str">
        <x:f>IF(A57="","",SUMIFS('CHI_TIẾT_ĐƠN_HÀNG'!$H$2:$H$500,'CHI_TIẾT_ĐƠN_HÀNG'!$B$2:$B$500,A57))</x:f>
      </x:c>
      <x:c r="H57" s="35" t="str">
        <x:f>IF(A57="","",SUMIFS('THANH_TOÁN'!$D$2:$D$500,'THANH_TOÁN'!$B$2:$B$500,A57,'THANH_TOÁN'!$F$2:$F$500,"ĐÃ XÁC NHẬN"))</x:f>
      </x:c>
      <x:c r="I57" s="35" t="str">
        <x:f>IF(A57="","",MAX(0,G57-H57))</x:f>
      </x:c>
      <x:c r="J57" s="36" t="str">
        <x:f>IF(A57="","",IF(AND(E57&lt;TODAY(),I57&gt;0,K57&lt;&gt;"HỦY"),"QUÁ HẠN",""))</x:f>
      </x:c>
      <x:c r="K57" s="39"/>
      <x:c r="L57" s="39"/>
      <x:c r="M57" s="39"/>
      <x:c r="N57" s="39"/>
      <x:c r="O57" s="42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41"/>
      <x:c r="E58" s="41"/>
      <x:c r="F58" s="39"/>
      <x:c r="G58" s="35" t="str">
        <x:f>IF(A58="","",SUMIFS('CHI_TIẾT_ĐƠN_HÀNG'!$H$2:$H$500,'CHI_TIẾT_ĐƠN_HÀNG'!$B$2:$B$500,A58))</x:f>
      </x:c>
      <x:c r="H58" s="35" t="str">
        <x:f>IF(A58="","",SUMIFS('THANH_TOÁN'!$D$2:$D$500,'THANH_TOÁN'!$B$2:$B$500,A58,'THANH_TOÁN'!$F$2:$F$500,"ĐÃ XÁC NHẬN"))</x:f>
      </x:c>
      <x:c r="I58" s="35" t="str">
        <x:f>IF(A58="","",MAX(0,G58-H58))</x:f>
      </x:c>
      <x:c r="J58" s="36" t="str">
        <x:f>IF(A58="","",IF(AND(E58&lt;TODAY(),I58&gt;0,K58&lt;&gt;"HỦY"),"QUÁ HẠN",""))</x:f>
      </x:c>
      <x:c r="K58" s="39"/>
      <x:c r="L58" s="39"/>
      <x:c r="M58" s="39"/>
      <x:c r="N58" s="39"/>
      <x:c r="O58" s="42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41"/>
      <x:c r="E59" s="41"/>
      <x:c r="F59" s="39"/>
      <x:c r="G59" s="35" t="str">
        <x:f>IF(A59="","",SUMIFS('CHI_TIẾT_ĐƠN_HÀNG'!$H$2:$H$500,'CHI_TIẾT_ĐƠN_HÀNG'!$B$2:$B$500,A59))</x:f>
      </x:c>
      <x:c r="H59" s="35" t="str">
        <x:f>IF(A59="","",SUMIFS('THANH_TOÁN'!$D$2:$D$500,'THANH_TOÁN'!$B$2:$B$500,A59,'THANH_TOÁN'!$F$2:$F$500,"ĐÃ XÁC NHẬN"))</x:f>
      </x:c>
      <x:c r="I59" s="35" t="str">
        <x:f>IF(A59="","",MAX(0,G59-H59))</x:f>
      </x:c>
      <x:c r="J59" s="36" t="str">
        <x:f>IF(A59="","",IF(AND(E59&lt;TODAY(),I59&gt;0,K59&lt;&gt;"HỦY"),"QUÁ HẠN",""))</x:f>
      </x:c>
      <x:c r="K59" s="39"/>
      <x:c r="L59" s="39"/>
      <x:c r="M59" s="39"/>
      <x:c r="N59" s="39"/>
      <x:c r="O59" s="42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41"/>
      <x:c r="E60" s="41"/>
      <x:c r="F60" s="39"/>
      <x:c r="G60" s="35" t="str">
        <x:f>IF(A60="","",SUMIFS('CHI_TIẾT_ĐƠN_HÀNG'!$H$2:$H$500,'CHI_TIẾT_ĐƠN_HÀNG'!$B$2:$B$500,A60))</x:f>
      </x:c>
      <x:c r="H60" s="35" t="str">
        <x:f>IF(A60="","",SUMIFS('THANH_TOÁN'!$D$2:$D$500,'THANH_TOÁN'!$B$2:$B$500,A60,'THANH_TOÁN'!$F$2:$F$500,"ĐÃ XÁC NHẬN"))</x:f>
      </x:c>
      <x:c r="I60" s="35" t="str">
        <x:f>IF(A60="","",MAX(0,G60-H60))</x:f>
      </x:c>
      <x:c r="J60" s="36" t="str">
        <x:f>IF(A60="","",IF(AND(E60&lt;TODAY(),I60&gt;0,K60&lt;&gt;"HỦY"),"QUÁ HẠN",""))</x:f>
      </x:c>
      <x:c r="K60" s="39"/>
      <x:c r="L60" s="39"/>
      <x:c r="M60" s="39"/>
      <x:c r="N60" s="39"/>
      <x:c r="O60" s="42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41"/>
      <x:c r="E61" s="41"/>
      <x:c r="F61" s="39"/>
      <x:c r="G61" s="35" t="str">
        <x:f>IF(A61="","",SUMIFS('CHI_TIẾT_ĐƠN_HÀNG'!$H$2:$H$500,'CHI_TIẾT_ĐƠN_HÀNG'!$B$2:$B$500,A61))</x:f>
      </x:c>
      <x:c r="H61" s="35" t="str">
        <x:f>IF(A61="","",SUMIFS('THANH_TOÁN'!$D$2:$D$500,'THANH_TOÁN'!$B$2:$B$500,A61,'THANH_TOÁN'!$F$2:$F$500,"ĐÃ XÁC NHẬN"))</x:f>
      </x:c>
      <x:c r="I61" s="35" t="str">
        <x:f>IF(A61="","",MAX(0,G61-H61))</x:f>
      </x:c>
      <x:c r="J61" s="36" t="str">
        <x:f>IF(A61="","",IF(AND(E61&lt;TODAY(),I61&gt;0,K61&lt;&gt;"HỦY"),"QUÁ HẠN",""))</x:f>
      </x:c>
      <x:c r="K61" s="39"/>
      <x:c r="L61" s="39"/>
      <x:c r="M61" s="39"/>
      <x:c r="N61" s="39"/>
      <x:c r="O61" s="42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41"/>
      <x:c r="E62" s="41"/>
      <x:c r="F62" s="39"/>
      <x:c r="G62" s="35" t="str">
        <x:f>IF(A62="","",SUMIFS('CHI_TIẾT_ĐƠN_HÀNG'!$H$2:$H$500,'CHI_TIẾT_ĐƠN_HÀNG'!$B$2:$B$500,A62))</x:f>
      </x:c>
      <x:c r="H62" s="35" t="str">
        <x:f>IF(A62="","",SUMIFS('THANH_TOÁN'!$D$2:$D$500,'THANH_TOÁN'!$B$2:$B$500,A62,'THANH_TOÁN'!$F$2:$F$500,"ĐÃ XÁC NHẬN"))</x:f>
      </x:c>
      <x:c r="I62" s="35" t="str">
        <x:f>IF(A62="","",MAX(0,G62-H62))</x:f>
      </x:c>
      <x:c r="J62" s="36" t="str">
        <x:f>IF(A62="","",IF(AND(E62&lt;TODAY(),I62&gt;0,K62&lt;&gt;"HỦY"),"QUÁ HẠN",""))</x:f>
      </x:c>
      <x:c r="K62" s="39"/>
      <x:c r="L62" s="39"/>
      <x:c r="M62" s="39"/>
      <x:c r="N62" s="39"/>
      <x:c r="O62" s="42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41"/>
      <x:c r="E63" s="41"/>
      <x:c r="F63" s="39"/>
      <x:c r="G63" s="35" t="str">
        <x:f>IF(A63="","",SUMIFS('CHI_TIẾT_ĐƠN_HÀNG'!$H$2:$H$500,'CHI_TIẾT_ĐƠN_HÀNG'!$B$2:$B$500,A63))</x:f>
      </x:c>
      <x:c r="H63" s="35" t="str">
        <x:f>IF(A63="","",SUMIFS('THANH_TOÁN'!$D$2:$D$500,'THANH_TOÁN'!$B$2:$B$500,A63,'THANH_TOÁN'!$F$2:$F$500,"ĐÃ XÁC NHẬN"))</x:f>
      </x:c>
      <x:c r="I63" s="35" t="str">
        <x:f>IF(A63="","",MAX(0,G63-H63))</x:f>
      </x:c>
      <x:c r="J63" s="36" t="str">
        <x:f>IF(A63="","",IF(AND(E63&lt;TODAY(),I63&gt;0,K63&lt;&gt;"HỦY"),"QUÁ HẠN",""))</x:f>
      </x:c>
      <x:c r="K63" s="39"/>
      <x:c r="L63" s="39"/>
      <x:c r="M63" s="39"/>
      <x:c r="N63" s="39"/>
      <x:c r="O63" s="42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41"/>
      <x:c r="E64" s="41"/>
      <x:c r="F64" s="39"/>
      <x:c r="G64" s="35" t="str">
        <x:f>IF(A64="","",SUMIFS('CHI_TIẾT_ĐƠN_HÀNG'!$H$2:$H$500,'CHI_TIẾT_ĐƠN_HÀNG'!$B$2:$B$500,A64))</x:f>
      </x:c>
      <x:c r="H64" s="35" t="str">
        <x:f>IF(A64="","",SUMIFS('THANH_TOÁN'!$D$2:$D$500,'THANH_TOÁN'!$B$2:$B$500,A64,'THANH_TOÁN'!$F$2:$F$500,"ĐÃ XÁC NHẬN"))</x:f>
      </x:c>
      <x:c r="I64" s="35" t="str">
        <x:f>IF(A64="","",MAX(0,G64-H64))</x:f>
      </x:c>
      <x:c r="J64" s="36" t="str">
        <x:f>IF(A64="","",IF(AND(E64&lt;TODAY(),I64&gt;0,K64&lt;&gt;"HỦY"),"QUÁ HẠN",""))</x:f>
      </x:c>
      <x:c r="K64" s="39"/>
      <x:c r="L64" s="39"/>
      <x:c r="M64" s="39"/>
      <x:c r="N64" s="39"/>
      <x:c r="O64" s="42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41"/>
      <x:c r="E65" s="41"/>
      <x:c r="F65" s="39"/>
      <x:c r="G65" s="35" t="str">
        <x:f>IF(A65="","",SUMIFS('CHI_TIẾT_ĐƠN_HÀNG'!$H$2:$H$500,'CHI_TIẾT_ĐƠN_HÀNG'!$B$2:$B$500,A65))</x:f>
      </x:c>
      <x:c r="H65" s="35" t="str">
        <x:f>IF(A65="","",SUMIFS('THANH_TOÁN'!$D$2:$D$500,'THANH_TOÁN'!$B$2:$B$500,A65,'THANH_TOÁN'!$F$2:$F$500,"ĐÃ XÁC NHẬN"))</x:f>
      </x:c>
      <x:c r="I65" s="35" t="str">
        <x:f>IF(A65="","",MAX(0,G65-H65))</x:f>
      </x:c>
      <x:c r="J65" s="36" t="str">
        <x:f>IF(A65="","",IF(AND(E65&lt;TODAY(),I65&gt;0,K65&lt;&gt;"HỦY"),"QUÁ HẠN",""))</x:f>
      </x:c>
      <x:c r="K65" s="39"/>
      <x:c r="L65" s="39"/>
      <x:c r="M65" s="39"/>
      <x:c r="N65" s="39"/>
      <x:c r="O65" s="42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41"/>
      <x:c r="E66" s="41"/>
      <x:c r="F66" s="39"/>
      <x:c r="G66" s="35" t="str">
        <x:f>IF(A66="","",SUMIFS('CHI_TIẾT_ĐƠN_HÀNG'!$H$2:$H$500,'CHI_TIẾT_ĐƠN_HÀNG'!$B$2:$B$500,A66))</x:f>
      </x:c>
      <x:c r="H66" s="35" t="str">
        <x:f>IF(A66="","",SUMIFS('THANH_TOÁN'!$D$2:$D$500,'THANH_TOÁN'!$B$2:$B$500,A66,'THANH_TOÁN'!$F$2:$F$500,"ĐÃ XÁC NHẬN"))</x:f>
      </x:c>
      <x:c r="I66" s="35" t="str">
        <x:f>IF(A66="","",MAX(0,G66-H66))</x:f>
      </x:c>
      <x:c r="J66" s="36" t="str">
        <x:f>IF(A66="","",IF(AND(E66&lt;TODAY(),I66&gt;0,K66&lt;&gt;"HỦY"),"QUÁ HẠN",""))</x:f>
      </x:c>
      <x:c r="K66" s="39"/>
      <x:c r="L66" s="39"/>
      <x:c r="M66" s="39"/>
      <x:c r="N66" s="39"/>
      <x:c r="O66" s="42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41"/>
      <x:c r="E67" s="41"/>
      <x:c r="F67" s="39"/>
      <x:c r="G67" s="35" t="str">
        <x:f>IF(A67="","",SUMIFS('CHI_TIẾT_ĐƠN_HÀNG'!$H$2:$H$500,'CHI_TIẾT_ĐƠN_HÀNG'!$B$2:$B$500,A67))</x:f>
      </x:c>
      <x:c r="H67" s="35" t="str">
        <x:f>IF(A67="","",SUMIFS('THANH_TOÁN'!$D$2:$D$500,'THANH_TOÁN'!$B$2:$B$500,A67,'THANH_TOÁN'!$F$2:$F$500,"ĐÃ XÁC NHẬN"))</x:f>
      </x:c>
      <x:c r="I67" s="35" t="str">
        <x:f>IF(A67="","",MAX(0,G67-H67))</x:f>
      </x:c>
      <x:c r="J67" s="36" t="str">
        <x:f>IF(A67="","",IF(AND(E67&lt;TODAY(),I67&gt;0,K67&lt;&gt;"HỦY"),"QUÁ HẠN",""))</x:f>
      </x:c>
      <x:c r="K67" s="39"/>
      <x:c r="L67" s="39"/>
      <x:c r="M67" s="39"/>
      <x:c r="N67" s="39"/>
      <x:c r="O67" s="42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41"/>
      <x:c r="E68" s="41"/>
      <x:c r="F68" s="39"/>
      <x:c r="G68" s="35" t="str">
        <x:f>IF(A68="","",SUMIFS('CHI_TIẾT_ĐƠN_HÀNG'!$H$2:$H$500,'CHI_TIẾT_ĐƠN_HÀNG'!$B$2:$B$500,A68))</x:f>
      </x:c>
      <x:c r="H68" s="35" t="str">
        <x:f>IF(A68="","",SUMIFS('THANH_TOÁN'!$D$2:$D$500,'THANH_TOÁN'!$B$2:$B$500,A68,'THANH_TOÁN'!$F$2:$F$500,"ĐÃ XÁC NHẬN"))</x:f>
      </x:c>
      <x:c r="I68" s="35" t="str">
        <x:f>IF(A68="","",MAX(0,G68-H68))</x:f>
      </x:c>
      <x:c r="J68" s="36" t="str">
        <x:f>IF(A68="","",IF(AND(E68&lt;TODAY(),I68&gt;0,K68&lt;&gt;"HỦY"),"QUÁ HẠN",""))</x:f>
      </x:c>
      <x:c r="K68" s="39"/>
      <x:c r="L68" s="39"/>
      <x:c r="M68" s="39"/>
      <x:c r="N68" s="39"/>
      <x:c r="O68" s="42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41"/>
      <x:c r="E69" s="41"/>
      <x:c r="F69" s="39"/>
      <x:c r="G69" s="35" t="str">
        <x:f>IF(A69="","",SUMIFS('CHI_TIẾT_ĐƠN_HÀNG'!$H$2:$H$500,'CHI_TIẾT_ĐƠN_HÀNG'!$B$2:$B$500,A69))</x:f>
      </x:c>
      <x:c r="H69" s="35" t="str">
        <x:f>IF(A69="","",SUMIFS('THANH_TOÁN'!$D$2:$D$500,'THANH_TOÁN'!$B$2:$B$500,A69,'THANH_TOÁN'!$F$2:$F$500,"ĐÃ XÁC NHẬN"))</x:f>
      </x:c>
      <x:c r="I69" s="35" t="str">
        <x:f>IF(A69="","",MAX(0,G69-H69))</x:f>
      </x:c>
      <x:c r="J69" s="36" t="str">
        <x:f>IF(A69="","",IF(AND(E69&lt;TODAY(),I69&gt;0,K69&lt;&gt;"HỦY"),"QUÁ HẠN",""))</x:f>
      </x:c>
      <x:c r="K69" s="39"/>
      <x:c r="L69" s="39"/>
      <x:c r="M69" s="39"/>
      <x:c r="N69" s="39"/>
      <x:c r="O69" s="42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41"/>
      <x:c r="E70" s="41"/>
      <x:c r="F70" s="39"/>
      <x:c r="G70" s="35" t="str">
        <x:f>IF(A70="","",SUMIFS('CHI_TIẾT_ĐƠN_HÀNG'!$H$2:$H$500,'CHI_TIẾT_ĐƠN_HÀNG'!$B$2:$B$500,A70))</x:f>
      </x:c>
      <x:c r="H70" s="35" t="str">
        <x:f>IF(A70="","",SUMIFS('THANH_TOÁN'!$D$2:$D$500,'THANH_TOÁN'!$B$2:$B$500,A70,'THANH_TOÁN'!$F$2:$F$500,"ĐÃ XÁC NHẬN"))</x:f>
      </x:c>
      <x:c r="I70" s="35" t="str">
        <x:f>IF(A70="","",MAX(0,G70-H70))</x:f>
      </x:c>
      <x:c r="J70" s="36" t="str">
        <x:f>IF(A70="","",IF(AND(E70&lt;TODAY(),I70&gt;0,K70&lt;&gt;"HỦY"),"QUÁ HẠN",""))</x:f>
      </x:c>
      <x:c r="K70" s="39"/>
      <x:c r="L70" s="39"/>
      <x:c r="M70" s="39"/>
      <x:c r="N70" s="39"/>
      <x:c r="O70" s="42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41"/>
      <x:c r="E71" s="41"/>
      <x:c r="F71" s="39"/>
      <x:c r="G71" s="35" t="str">
        <x:f>IF(A71="","",SUMIFS('CHI_TIẾT_ĐƠN_HÀNG'!$H$2:$H$500,'CHI_TIẾT_ĐƠN_HÀNG'!$B$2:$B$500,A71))</x:f>
      </x:c>
      <x:c r="H71" s="35" t="str">
        <x:f>IF(A71="","",SUMIFS('THANH_TOÁN'!$D$2:$D$500,'THANH_TOÁN'!$B$2:$B$500,A71,'THANH_TOÁN'!$F$2:$F$500,"ĐÃ XÁC NHẬN"))</x:f>
      </x:c>
      <x:c r="I71" s="35" t="str">
        <x:f>IF(A71="","",MAX(0,G71-H71))</x:f>
      </x:c>
      <x:c r="J71" s="36" t="str">
        <x:f>IF(A71="","",IF(AND(E71&lt;TODAY(),I71&gt;0,K71&lt;&gt;"HỦY"),"QUÁ HẠN",""))</x:f>
      </x:c>
      <x:c r="K71" s="39"/>
      <x:c r="L71" s="39"/>
      <x:c r="M71" s="39"/>
      <x:c r="N71" s="39"/>
      <x:c r="O71" s="42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41"/>
      <x:c r="E72" s="41"/>
      <x:c r="F72" s="39"/>
      <x:c r="G72" s="35" t="str">
        <x:f>IF(A72="","",SUMIFS('CHI_TIẾT_ĐƠN_HÀNG'!$H$2:$H$500,'CHI_TIẾT_ĐƠN_HÀNG'!$B$2:$B$500,A72))</x:f>
      </x:c>
      <x:c r="H72" s="35" t="str">
        <x:f>IF(A72="","",SUMIFS('THANH_TOÁN'!$D$2:$D$500,'THANH_TOÁN'!$B$2:$B$500,A72,'THANH_TOÁN'!$F$2:$F$500,"ĐÃ XÁC NHẬN"))</x:f>
      </x:c>
      <x:c r="I72" s="35" t="str">
        <x:f>IF(A72="","",MAX(0,G72-H72))</x:f>
      </x:c>
      <x:c r="J72" s="36" t="str">
        <x:f>IF(A72="","",IF(AND(E72&lt;TODAY(),I72&gt;0,K72&lt;&gt;"HỦY"),"QUÁ HẠN",""))</x:f>
      </x:c>
      <x:c r="K72" s="39"/>
      <x:c r="L72" s="39"/>
      <x:c r="M72" s="39"/>
      <x:c r="N72" s="39"/>
      <x:c r="O72" s="42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41"/>
      <x:c r="E73" s="41"/>
      <x:c r="F73" s="39"/>
      <x:c r="G73" s="35" t="str">
        <x:f>IF(A73="","",SUMIFS('CHI_TIẾT_ĐƠN_HÀNG'!$H$2:$H$500,'CHI_TIẾT_ĐƠN_HÀNG'!$B$2:$B$500,A73))</x:f>
      </x:c>
      <x:c r="H73" s="35" t="str">
        <x:f>IF(A73="","",SUMIFS('THANH_TOÁN'!$D$2:$D$500,'THANH_TOÁN'!$B$2:$B$500,A73,'THANH_TOÁN'!$F$2:$F$500,"ĐÃ XÁC NHẬN"))</x:f>
      </x:c>
      <x:c r="I73" s="35" t="str">
        <x:f>IF(A73="","",MAX(0,G73-H73))</x:f>
      </x:c>
      <x:c r="J73" s="36" t="str">
        <x:f>IF(A73="","",IF(AND(E73&lt;TODAY(),I73&gt;0,K73&lt;&gt;"HỦY"),"QUÁ HẠN",""))</x:f>
      </x:c>
      <x:c r="K73" s="39"/>
      <x:c r="L73" s="39"/>
      <x:c r="M73" s="39"/>
      <x:c r="N73" s="39"/>
      <x:c r="O73" s="42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41"/>
      <x:c r="E74" s="41"/>
      <x:c r="F74" s="39"/>
      <x:c r="G74" s="35" t="str">
        <x:f>IF(A74="","",SUMIFS('CHI_TIẾT_ĐƠN_HÀNG'!$H$2:$H$500,'CHI_TIẾT_ĐƠN_HÀNG'!$B$2:$B$500,A74))</x:f>
      </x:c>
      <x:c r="H74" s="35" t="str">
        <x:f>IF(A74="","",SUMIFS('THANH_TOÁN'!$D$2:$D$500,'THANH_TOÁN'!$B$2:$B$500,A74,'THANH_TOÁN'!$F$2:$F$500,"ĐÃ XÁC NHẬN"))</x:f>
      </x:c>
      <x:c r="I74" s="35" t="str">
        <x:f>IF(A74="","",MAX(0,G74-H74))</x:f>
      </x:c>
      <x:c r="J74" s="36" t="str">
        <x:f>IF(A74="","",IF(AND(E74&lt;TODAY(),I74&gt;0,K74&lt;&gt;"HỦY"),"QUÁ HẠN",""))</x:f>
      </x:c>
      <x:c r="K74" s="39"/>
      <x:c r="L74" s="39"/>
      <x:c r="M74" s="39"/>
      <x:c r="N74" s="39"/>
      <x:c r="O74" s="42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41"/>
      <x:c r="E75" s="41"/>
      <x:c r="F75" s="39"/>
      <x:c r="G75" s="35" t="str">
        <x:f>IF(A75="","",SUMIFS('CHI_TIẾT_ĐƠN_HÀNG'!$H$2:$H$500,'CHI_TIẾT_ĐƠN_HÀNG'!$B$2:$B$500,A75))</x:f>
      </x:c>
      <x:c r="H75" s="35" t="str">
        <x:f>IF(A75="","",SUMIFS('THANH_TOÁN'!$D$2:$D$500,'THANH_TOÁN'!$B$2:$B$500,A75,'THANH_TOÁN'!$F$2:$F$500,"ĐÃ XÁC NHẬN"))</x:f>
      </x:c>
      <x:c r="I75" s="35" t="str">
        <x:f>IF(A75="","",MAX(0,G75-H75))</x:f>
      </x:c>
      <x:c r="J75" s="36" t="str">
        <x:f>IF(A75="","",IF(AND(E75&lt;TODAY(),I75&gt;0,K75&lt;&gt;"HỦY"),"QUÁ HẠN",""))</x:f>
      </x:c>
      <x:c r="K75" s="39"/>
      <x:c r="L75" s="39"/>
      <x:c r="M75" s="39"/>
      <x:c r="N75" s="39"/>
      <x:c r="O75" s="42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41"/>
      <x:c r="E76" s="41"/>
      <x:c r="F76" s="39"/>
      <x:c r="G76" s="35" t="str">
        <x:f>IF(A76="","",SUMIFS('CHI_TIẾT_ĐƠN_HÀNG'!$H$2:$H$500,'CHI_TIẾT_ĐƠN_HÀNG'!$B$2:$B$500,A76))</x:f>
      </x:c>
      <x:c r="H76" s="35" t="str">
        <x:f>IF(A76="","",SUMIFS('THANH_TOÁN'!$D$2:$D$500,'THANH_TOÁN'!$B$2:$B$500,A76,'THANH_TOÁN'!$F$2:$F$500,"ĐÃ XÁC NHẬN"))</x:f>
      </x:c>
      <x:c r="I76" s="35" t="str">
        <x:f>IF(A76="","",MAX(0,G76-H76))</x:f>
      </x:c>
      <x:c r="J76" s="36" t="str">
        <x:f>IF(A76="","",IF(AND(E76&lt;TODAY(),I76&gt;0,K76&lt;&gt;"HỦY"),"QUÁ HẠN",""))</x:f>
      </x:c>
      <x:c r="K76" s="39"/>
      <x:c r="L76" s="39"/>
      <x:c r="M76" s="39"/>
      <x:c r="N76" s="39"/>
      <x:c r="O76" s="42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41"/>
      <x:c r="E77" s="41"/>
      <x:c r="F77" s="39"/>
      <x:c r="G77" s="35" t="str">
        <x:f>IF(A77="","",SUMIFS('CHI_TIẾT_ĐƠN_HÀNG'!$H$2:$H$500,'CHI_TIẾT_ĐƠN_HÀNG'!$B$2:$B$500,A77))</x:f>
      </x:c>
      <x:c r="H77" s="35" t="str">
        <x:f>IF(A77="","",SUMIFS('THANH_TOÁN'!$D$2:$D$500,'THANH_TOÁN'!$B$2:$B$500,A77,'THANH_TOÁN'!$F$2:$F$500,"ĐÃ XÁC NHẬN"))</x:f>
      </x:c>
      <x:c r="I77" s="35" t="str">
        <x:f>IF(A77="","",MAX(0,G77-H77))</x:f>
      </x:c>
      <x:c r="J77" s="36" t="str">
        <x:f>IF(A77="","",IF(AND(E77&lt;TODAY(),I77&gt;0,K77&lt;&gt;"HỦY"),"QUÁ HẠN",""))</x:f>
      </x:c>
      <x:c r="K77" s="39"/>
      <x:c r="L77" s="39"/>
      <x:c r="M77" s="39"/>
      <x:c r="N77" s="39"/>
      <x:c r="O77" s="42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41"/>
      <x:c r="E78" s="41"/>
      <x:c r="F78" s="39"/>
      <x:c r="G78" s="35" t="str">
        <x:f>IF(A78="","",SUMIFS('CHI_TIẾT_ĐƠN_HÀNG'!$H$2:$H$500,'CHI_TIẾT_ĐƠN_HÀNG'!$B$2:$B$500,A78))</x:f>
      </x:c>
      <x:c r="H78" s="35" t="str">
        <x:f>IF(A78="","",SUMIFS('THANH_TOÁN'!$D$2:$D$500,'THANH_TOÁN'!$B$2:$B$500,A78,'THANH_TOÁN'!$F$2:$F$500,"ĐÃ XÁC NHẬN"))</x:f>
      </x:c>
      <x:c r="I78" s="35" t="str">
        <x:f>IF(A78="","",MAX(0,G78-H78))</x:f>
      </x:c>
      <x:c r="J78" s="36" t="str">
        <x:f>IF(A78="","",IF(AND(E78&lt;TODAY(),I78&gt;0,K78&lt;&gt;"HỦY"),"QUÁ HẠN",""))</x:f>
      </x:c>
      <x:c r="K78" s="39"/>
      <x:c r="L78" s="39"/>
      <x:c r="M78" s="39"/>
      <x:c r="N78" s="39"/>
      <x:c r="O78" s="42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41"/>
      <x:c r="E79" s="41"/>
      <x:c r="F79" s="39"/>
      <x:c r="G79" s="35" t="str">
        <x:f>IF(A79="","",SUMIFS('CHI_TIẾT_ĐƠN_HÀNG'!$H$2:$H$500,'CHI_TIẾT_ĐƠN_HÀNG'!$B$2:$B$500,A79))</x:f>
      </x:c>
      <x:c r="H79" s="35" t="str">
        <x:f>IF(A79="","",SUMIFS('THANH_TOÁN'!$D$2:$D$500,'THANH_TOÁN'!$B$2:$B$500,A79,'THANH_TOÁN'!$F$2:$F$500,"ĐÃ XÁC NHẬN"))</x:f>
      </x:c>
      <x:c r="I79" s="35" t="str">
        <x:f>IF(A79="","",MAX(0,G79-H79))</x:f>
      </x:c>
      <x:c r="J79" s="36" t="str">
        <x:f>IF(A79="","",IF(AND(E79&lt;TODAY(),I79&gt;0,K79&lt;&gt;"HỦY"),"QUÁ HẠN",""))</x:f>
      </x:c>
      <x:c r="K79" s="39"/>
      <x:c r="L79" s="39"/>
      <x:c r="M79" s="39"/>
      <x:c r="N79" s="39"/>
      <x:c r="O79" s="42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41"/>
      <x:c r="E80" s="41"/>
      <x:c r="F80" s="39"/>
      <x:c r="G80" s="35" t="str">
        <x:f>IF(A80="","",SUMIFS('CHI_TIẾT_ĐƠN_HÀNG'!$H$2:$H$500,'CHI_TIẾT_ĐƠN_HÀNG'!$B$2:$B$500,A80))</x:f>
      </x:c>
      <x:c r="H80" s="35" t="str">
        <x:f>IF(A80="","",SUMIFS('THANH_TOÁN'!$D$2:$D$500,'THANH_TOÁN'!$B$2:$B$500,A80,'THANH_TOÁN'!$F$2:$F$500,"ĐÃ XÁC NHẬN"))</x:f>
      </x:c>
      <x:c r="I80" s="35" t="str">
        <x:f>IF(A80="","",MAX(0,G80-H80))</x:f>
      </x:c>
      <x:c r="J80" s="36" t="str">
        <x:f>IF(A80="","",IF(AND(E80&lt;TODAY(),I80&gt;0,K80&lt;&gt;"HỦY"),"QUÁ HẠN",""))</x:f>
      </x:c>
      <x:c r="K80" s="39"/>
      <x:c r="L80" s="39"/>
      <x:c r="M80" s="39"/>
      <x:c r="N80" s="39"/>
      <x:c r="O80" s="42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41"/>
      <x:c r="E81" s="41"/>
      <x:c r="F81" s="39"/>
      <x:c r="G81" s="35" t="str">
        <x:f>IF(A81="","",SUMIFS('CHI_TIẾT_ĐƠN_HÀNG'!$H$2:$H$500,'CHI_TIẾT_ĐƠN_HÀNG'!$B$2:$B$500,A81))</x:f>
      </x:c>
      <x:c r="H81" s="35" t="str">
        <x:f>IF(A81="","",SUMIFS('THANH_TOÁN'!$D$2:$D$500,'THANH_TOÁN'!$B$2:$B$500,A81,'THANH_TOÁN'!$F$2:$F$500,"ĐÃ XÁC NHẬN"))</x:f>
      </x:c>
      <x:c r="I81" s="35" t="str">
        <x:f>IF(A81="","",MAX(0,G81-H81))</x:f>
      </x:c>
      <x:c r="J81" s="36" t="str">
        <x:f>IF(A81="","",IF(AND(E81&lt;TODAY(),I81&gt;0,K81&lt;&gt;"HỦY"),"QUÁ HẠN",""))</x:f>
      </x:c>
      <x:c r="K81" s="39"/>
      <x:c r="L81" s="39"/>
      <x:c r="M81" s="39"/>
      <x:c r="N81" s="39"/>
      <x:c r="O81" s="42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41"/>
      <x:c r="E82" s="41"/>
      <x:c r="F82" s="39"/>
      <x:c r="G82" s="35" t="str">
        <x:f>IF(A82="","",SUMIFS('CHI_TIẾT_ĐƠN_HÀNG'!$H$2:$H$500,'CHI_TIẾT_ĐƠN_HÀNG'!$B$2:$B$500,A82))</x:f>
      </x:c>
      <x:c r="H82" s="35" t="str">
        <x:f>IF(A82="","",SUMIFS('THANH_TOÁN'!$D$2:$D$500,'THANH_TOÁN'!$B$2:$B$500,A82,'THANH_TOÁN'!$F$2:$F$500,"ĐÃ XÁC NHẬN"))</x:f>
      </x:c>
      <x:c r="I82" s="35" t="str">
        <x:f>IF(A82="","",MAX(0,G82-H82))</x:f>
      </x:c>
      <x:c r="J82" s="36" t="str">
        <x:f>IF(A82="","",IF(AND(E82&lt;TODAY(),I82&gt;0,K82&lt;&gt;"HỦY"),"QUÁ HẠN",""))</x:f>
      </x:c>
      <x:c r="K82" s="39"/>
      <x:c r="L82" s="39"/>
      <x:c r="M82" s="39"/>
      <x:c r="N82" s="39"/>
      <x:c r="O82" s="42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41"/>
      <x:c r="E83" s="41"/>
      <x:c r="F83" s="39"/>
      <x:c r="G83" s="35" t="str">
        <x:f>IF(A83="","",SUMIFS('CHI_TIẾT_ĐƠN_HÀNG'!$H$2:$H$500,'CHI_TIẾT_ĐƠN_HÀNG'!$B$2:$B$500,A83))</x:f>
      </x:c>
      <x:c r="H83" s="35" t="str">
        <x:f>IF(A83="","",SUMIFS('THANH_TOÁN'!$D$2:$D$500,'THANH_TOÁN'!$B$2:$B$500,A83,'THANH_TOÁN'!$F$2:$F$500,"ĐÃ XÁC NHẬN"))</x:f>
      </x:c>
      <x:c r="I83" s="35" t="str">
        <x:f>IF(A83="","",MAX(0,G83-H83))</x:f>
      </x:c>
      <x:c r="J83" s="36" t="str">
        <x:f>IF(A83="","",IF(AND(E83&lt;TODAY(),I83&gt;0,K83&lt;&gt;"HỦY"),"QUÁ HẠN",""))</x:f>
      </x:c>
      <x:c r="K83" s="39"/>
      <x:c r="L83" s="39"/>
      <x:c r="M83" s="39"/>
      <x:c r="N83" s="39"/>
      <x:c r="O83" s="42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41"/>
      <x:c r="E84" s="41"/>
      <x:c r="F84" s="39"/>
      <x:c r="G84" s="35" t="str">
        <x:f>IF(A84="","",SUMIFS('CHI_TIẾT_ĐƠN_HÀNG'!$H$2:$H$500,'CHI_TIẾT_ĐƠN_HÀNG'!$B$2:$B$500,A84))</x:f>
      </x:c>
      <x:c r="H84" s="35" t="str">
        <x:f>IF(A84="","",SUMIFS('THANH_TOÁN'!$D$2:$D$500,'THANH_TOÁN'!$B$2:$B$500,A84,'THANH_TOÁN'!$F$2:$F$500,"ĐÃ XÁC NHẬN"))</x:f>
      </x:c>
      <x:c r="I84" s="35" t="str">
        <x:f>IF(A84="","",MAX(0,G84-H84))</x:f>
      </x:c>
      <x:c r="J84" s="36" t="str">
        <x:f>IF(A84="","",IF(AND(E84&lt;TODAY(),I84&gt;0,K84&lt;&gt;"HỦY"),"QUÁ HẠN",""))</x:f>
      </x:c>
      <x:c r="K84" s="39"/>
      <x:c r="L84" s="39"/>
      <x:c r="M84" s="39"/>
      <x:c r="N84" s="39"/>
      <x:c r="O84" s="42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41"/>
      <x:c r="E85" s="41"/>
      <x:c r="F85" s="39"/>
      <x:c r="G85" s="35" t="str">
        <x:f>IF(A85="","",SUMIFS('CHI_TIẾT_ĐƠN_HÀNG'!$H$2:$H$500,'CHI_TIẾT_ĐƠN_HÀNG'!$B$2:$B$500,A85))</x:f>
      </x:c>
      <x:c r="H85" s="35" t="str">
        <x:f>IF(A85="","",SUMIFS('THANH_TOÁN'!$D$2:$D$500,'THANH_TOÁN'!$B$2:$B$500,A85,'THANH_TOÁN'!$F$2:$F$500,"ĐÃ XÁC NHẬN"))</x:f>
      </x:c>
      <x:c r="I85" s="35" t="str">
        <x:f>IF(A85="","",MAX(0,G85-H85))</x:f>
      </x:c>
      <x:c r="J85" s="36" t="str">
        <x:f>IF(A85="","",IF(AND(E85&lt;TODAY(),I85&gt;0,K85&lt;&gt;"HỦY"),"QUÁ HẠN",""))</x:f>
      </x:c>
      <x:c r="K85" s="39"/>
      <x:c r="L85" s="39"/>
      <x:c r="M85" s="39"/>
      <x:c r="N85" s="39"/>
      <x:c r="O85" s="42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41"/>
      <x:c r="E86" s="41"/>
      <x:c r="F86" s="39"/>
      <x:c r="G86" s="35" t="str">
        <x:f>IF(A86="","",SUMIFS('CHI_TIẾT_ĐƠN_HÀNG'!$H$2:$H$500,'CHI_TIẾT_ĐƠN_HÀNG'!$B$2:$B$500,A86))</x:f>
      </x:c>
      <x:c r="H86" s="35" t="str">
        <x:f>IF(A86="","",SUMIFS('THANH_TOÁN'!$D$2:$D$500,'THANH_TOÁN'!$B$2:$B$500,A86,'THANH_TOÁN'!$F$2:$F$500,"ĐÃ XÁC NHẬN"))</x:f>
      </x:c>
      <x:c r="I86" s="35" t="str">
        <x:f>IF(A86="","",MAX(0,G86-H86))</x:f>
      </x:c>
      <x:c r="J86" s="36" t="str">
        <x:f>IF(A86="","",IF(AND(E86&lt;TODAY(),I86&gt;0,K86&lt;&gt;"HỦY"),"QUÁ HẠN",""))</x:f>
      </x:c>
      <x:c r="K86" s="39"/>
      <x:c r="L86" s="39"/>
      <x:c r="M86" s="39"/>
      <x:c r="N86" s="39"/>
      <x:c r="O86" s="42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41"/>
      <x:c r="E87" s="41"/>
      <x:c r="F87" s="39"/>
      <x:c r="G87" s="35" t="str">
        <x:f>IF(A87="","",SUMIFS('CHI_TIẾT_ĐƠN_HÀNG'!$H$2:$H$500,'CHI_TIẾT_ĐƠN_HÀNG'!$B$2:$B$500,A87))</x:f>
      </x:c>
      <x:c r="H87" s="35" t="str">
        <x:f>IF(A87="","",SUMIFS('THANH_TOÁN'!$D$2:$D$500,'THANH_TOÁN'!$B$2:$B$500,A87,'THANH_TOÁN'!$F$2:$F$500,"ĐÃ XÁC NHẬN"))</x:f>
      </x:c>
      <x:c r="I87" s="35" t="str">
        <x:f>IF(A87="","",MAX(0,G87-H87))</x:f>
      </x:c>
      <x:c r="J87" s="36" t="str">
        <x:f>IF(A87="","",IF(AND(E87&lt;TODAY(),I87&gt;0,K87&lt;&gt;"HỦY"),"QUÁ HẠN",""))</x:f>
      </x:c>
      <x:c r="K87" s="39"/>
      <x:c r="L87" s="39"/>
      <x:c r="M87" s="39"/>
      <x:c r="N87" s="39"/>
      <x:c r="O87" s="42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41"/>
      <x:c r="E88" s="41"/>
      <x:c r="F88" s="39"/>
      <x:c r="G88" s="35" t="str">
        <x:f>IF(A88="","",SUMIFS('CHI_TIẾT_ĐƠN_HÀNG'!$H$2:$H$500,'CHI_TIẾT_ĐƠN_HÀNG'!$B$2:$B$500,A88))</x:f>
      </x:c>
      <x:c r="H88" s="35" t="str">
        <x:f>IF(A88="","",SUMIFS('THANH_TOÁN'!$D$2:$D$500,'THANH_TOÁN'!$B$2:$B$500,A88,'THANH_TOÁN'!$F$2:$F$500,"ĐÃ XÁC NHẬN"))</x:f>
      </x:c>
      <x:c r="I88" s="35" t="str">
        <x:f>IF(A88="","",MAX(0,G88-H88))</x:f>
      </x:c>
      <x:c r="J88" s="36" t="str">
        <x:f>IF(A88="","",IF(AND(E88&lt;TODAY(),I88&gt;0,K88&lt;&gt;"HỦY"),"QUÁ HẠN",""))</x:f>
      </x:c>
      <x:c r="K88" s="39"/>
      <x:c r="L88" s="39"/>
      <x:c r="M88" s="39"/>
      <x:c r="N88" s="39"/>
      <x:c r="O88" s="42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41"/>
      <x:c r="E89" s="41"/>
      <x:c r="F89" s="39"/>
      <x:c r="G89" s="35" t="str">
        <x:f>IF(A89="","",SUMIFS('CHI_TIẾT_ĐƠN_HÀNG'!$H$2:$H$500,'CHI_TIẾT_ĐƠN_HÀNG'!$B$2:$B$500,A89))</x:f>
      </x:c>
      <x:c r="H89" s="35" t="str">
        <x:f>IF(A89="","",SUMIFS('THANH_TOÁN'!$D$2:$D$500,'THANH_TOÁN'!$B$2:$B$500,A89,'THANH_TOÁN'!$F$2:$F$500,"ĐÃ XÁC NHẬN"))</x:f>
      </x:c>
      <x:c r="I89" s="35" t="str">
        <x:f>IF(A89="","",MAX(0,G89-H89))</x:f>
      </x:c>
      <x:c r="J89" s="36" t="str">
        <x:f>IF(A89="","",IF(AND(E89&lt;TODAY(),I89&gt;0,K89&lt;&gt;"HỦY"),"QUÁ HẠN",""))</x:f>
      </x:c>
      <x:c r="K89" s="39"/>
      <x:c r="L89" s="39"/>
      <x:c r="M89" s="39"/>
      <x:c r="N89" s="39"/>
      <x:c r="O89" s="42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41"/>
      <x:c r="E90" s="41"/>
      <x:c r="F90" s="39"/>
      <x:c r="G90" s="35" t="str">
        <x:f>IF(A90="","",SUMIFS('CHI_TIẾT_ĐƠN_HÀNG'!$H$2:$H$500,'CHI_TIẾT_ĐƠN_HÀNG'!$B$2:$B$500,A90))</x:f>
      </x:c>
      <x:c r="H90" s="35" t="str">
        <x:f>IF(A90="","",SUMIFS('THANH_TOÁN'!$D$2:$D$500,'THANH_TOÁN'!$B$2:$B$500,A90,'THANH_TOÁN'!$F$2:$F$500,"ĐÃ XÁC NHẬN"))</x:f>
      </x:c>
      <x:c r="I90" s="35" t="str">
        <x:f>IF(A90="","",MAX(0,G90-H90))</x:f>
      </x:c>
      <x:c r="J90" s="36" t="str">
        <x:f>IF(A90="","",IF(AND(E90&lt;TODAY(),I90&gt;0,K90&lt;&gt;"HỦY"),"QUÁ HẠN",""))</x:f>
      </x:c>
      <x:c r="K90" s="39"/>
      <x:c r="L90" s="39"/>
      <x:c r="M90" s="39"/>
      <x:c r="N90" s="39"/>
      <x:c r="O90" s="42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41"/>
      <x:c r="E91" s="41"/>
      <x:c r="F91" s="39"/>
      <x:c r="G91" s="35" t="str">
        <x:f>IF(A91="","",SUMIFS('CHI_TIẾT_ĐƠN_HÀNG'!$H$2:$H$500,'CHI_TIẾT_ĐƠN_HÀNG'!$B$2:$B$500,A91))</x:f>
      </x:c>
      <x:c r="H91" s="35" t="str">
        <x:f>IF(A91="","",SUMIFS('THANH_TOÁN'!$D$2:$D$500,'THANH_TOÁN'!$B$2:$B$500,A91,'THANH_TOÁN'!$F$2:$F$500,"ĐÃ XÁC NHẬN"))</x:f>
      </x:c>
      <x:c r="I91" s="35" t="str">
        <x:f>IF(A91="","",MAX(0,G91-H91))</x:f>
      </x:c>
      <x:c r="J91" s="36" t="str">
        <x:f>IF(A91="","",IF(AND(E91&lt;TODAY(),I91&gt;0,K91&lt;&gt;"HỦY"),"QUÁ HẠN",""))</x:f>
      </x:c>
      <x:c r="K91" s="39"/>
      <x:c r="L91" s="39"/>
      <x:c r="M91" s="39"/>
      <x:c r="N91" s="39"/>
      <x:c r="O91" s="42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41"/>
      <x:c r="E92" s="41"/>
      <x:c r="F92" s="39"/>
      <x:c r="G92" s="35" t="str">
        <x:f>IF(A92="","",SUMIFS('CHI_TIẾT_ĐƠN_HÀNG'!$H$2:$H$500,'CHI_TIẾT_ĐƠN_HÀNG'!$B$2:$B$500,A92))</x:f>
      </x:c>
      <x:c r="H92" s="35" t="str">
        <x:f>IF(A92="","",SUMIFS('THANH_TOÁN'!$D$2:$D$500,'THANH_TOÁN'!$B$2:$B$500,A92,'THANH_TOÁN'!$F$2:$F$500,"ĐÃ XÁC NHẬN"))</x:f>
      </x:c>
      <x:c r="I92" s="35" t="str">
        <x:f>IF(A92="","",MAX(0,G92-H92))</x:f>
      </x:c>
      <x:c r="J92" s="36" t="str">
        <x:f>IF(A92="","",IF(AND(E92&lt;TODAY(),I92&gt;0,K92&lt;&gt;"HỦY"),"QUÁ HẠN",""))</x:f>
      </x:c>
      <x:c r="K92" s="39"/>
      <x:c r="L92" s="39"/>
      <x:c r="M92" s="39"/>
      <x:c r="N92" s="39"/>
      <x:c r="O92" s="42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41"/>
      <x:c r="E93" s="41"/>
      <x:c r="F93" s="39"/>
      <x:c r="G93" s="35" t="str">
        <x:f>IF(A93="","",SUMIFS('CHI_TIẾT_ĐƠN_HÀNG'!$H$2:$H$500,'CHI_TIẾT_ĐƠN_HÀNG'!$B$2:$B$500,A93))</x:f>
      </x:c>
      <x:c r="H93" s="35" t="str">
        <x:f>IF(A93="","",SUMIFS('THANH_TOÁN'!$D$2:$D$500,'THANH_TOÁN'!$B$2:$B$500,A93,'THANH_TOÁN'!$F$2:$F$500,"ĐÃ XÁC NHẬN"))</x:f>
      </x:c>
      <x:c r="I93" s="35" t="str">
        <x:f>IF(A93="","",MAX(0,G93-H93))</x:f>
      </x:c>
      <x:c r="J93" s="36" t="str">
        <x:f>IF(A93="","",IF(AND(E93&lt;TODAY(),I93&gt;0,K93&lt;&gt;"HỦY"),"QUÁ HẠN",""))</x:f>
      </x:c>
      <x:c r="K93" s="39"/>
      <x:c r="L93" s="39"/>
      <x:c r="M93" s="39"/>
      <x:c r="N93" s="39"/>
      <x:c r="O93" s="42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41"/>
      <x:c r="E94" s="41"/>
      <x:c r="F94" s="39"/>
      <x:c r="G94" s="35" t="str">
        <x:f>IF(A94="","",SUMIFS('CHI_TIẾT_ĐƠN_HÀNG'!$H$2:$H$500,'CHI_TIẾT_ĐƠN_HÀNG'!$B$2:$B$500,A94))</x:f>
      </x:c>
      <x:c r="H94" s="35" t="str">
        <x:f>IF(A94="","",SUMIFS('THANH_TOÁN'!$D$2:$D$500,'THANH_TOÁN'!$B$2:$B$500,A94,'THANH_TOÁN'!$F$2:$F$500,"ĐÃ XÁC NHẬN"))</x:f>
      </x:c>
      <x:c r="I94" s="35" t="str">
        <x:f>IF(A94="","",MAX(0,G94-H94))</x:f>
      </x:c>
      <x:c r="J94" s="36" t="str">
        <x:f>IF(A94="","",IF(AND(E94&lt;TODAY(),I94&gt;0,K94&lt;&gt;"HỦY"),"QUÁ HẠN",""))</x:f>
      </x:c>
      <x:c r="K94" s="39"/>
      <x:c r="L94" s="39"/>
      <x:c r="M94" s="39"/>
      <x:c r="N94" s="39"/>
      <x:c r="O94" s="42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41"/>
      <x:c r="E95" s="41"/>
      <x:c r="F95" s="39"/>
      <x:c r="G95" s="35" t="str">
        <x:f>IF(A95="","",SUMIFS('CHI_TIẾT_ĐƠN_HÀNG'!$H$2:$H$500,'CHI_TIẾT_ĐƠN_HÀNG'!$B$2:$B$500,A95))</x:f>
      </x:c>
      <x:c r="H95" s="35" t="str">
        <x:f>IF(A95="","",SUMIFS('THANH_TOÁN'!$D$2:$D$500,'THANH_TOÁN'!$B$2:$B$500,A95,'THANH_TOÁN'!$F$2:$F$500,"ĐÃ XÁC NHẬN"))</x:f>
      </x:c>
      <x:c r="I95" s="35" t="str">
        <x:f>IF(A95="","",MAX(0,G95-H95))</x:f>
      </x:c>
      <x:c r="J95" s="36" t="str">
        <x:f>IF(A95="","",IF(AND(E95&lt;TODAY(),I95&gt;0,K95&lt;&gt;"HỦY"),"QUÁ HẠN",""))</x:f>
      </x:c>
      <x:c r="K95" s="39"/>
      <x:c r="L95" s="39"/>
      <x:c r="M95" s="39"/>
      <x:c r="N95" s="39"/>
      <x:c r="O95" s="42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41"/>
      <x:c r="E96" s="41"/>
      <x:c r="F96" s="39"/>
      <x:c r="G96" s="35" t="str">
        <x:f>IF(A96="","",SUMIFS('CHI_TIẾT_ĐƠN_HÀNG'!$H$2:$H$500,'CHI_TIẾT_ĐƠN_HÀNG'!$B$2:$B$500,A96))</x:f>
      </x:c>
      <x:c r="H96" s="35" t="str">
        <x:f>IF(A96="","",SUMIFS('THANH_TOÁN'!$D$2:$D$500,'THANH_TOÁN'!$B$2:$B$500,A96,'THANH_TOÁN'!$F$2:$F$500,"ĐÃ XÁC NHẬN"))</x:f>
      </x:c>
      <x:c r="I96" s="35" t="str">
        <x:f>IF(A96="","",MAX(0,G96-H96))</x:f>
      </x:c>
      <x:c r="J96" s="36" t="str">
        <x:f>IF(A96="","",IF(AND(E96&lt;TODAY(),I96&gt;0,K96&lt;&gt;"HỦY"),"QUÁ HẠN",""))</x:f>
      </x:c>
      <x:c r="K96" s="39"/>
      <x:c r="L96" s="39"/>
      <x:c r="M96" s="39"/>
      <x:c r="N96" s="39"/>
      <x:c r="O96" s="42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41"/>
      <x:c r="E97" s="41"/>
      <x:c r="F97" s="39"/>
      <x:c r="G97" s="35" t="str">
        <x:f>IF(A97="","",SUMIFS('CHI_TIẾT_ĐƠN_HÀNG'!$H$2:$H$500,'CHI_TIẾT_ĐƠN_HÀNG'!$B$2:$B$500,A97))</x:f>
      </x:c>
      <x:c r="H97" s="35" t="str">
        <x:f>IF(A97="","",SUMIFS('THANH_TOÁN'!$D$2:$D$500,'THANH_TOÁN'!$B$2:$B$500,A97,'THANH_TOÁN'!$F$2:$F$500,"ĐÃ XÁC NHẬN"))</x:f>
      </x:c>
      <x:c r="I97" s="35" t="str">
        <x:f>IF(A97="","",MAX(0,G97-H97))</x:f>
      </x:c>
      <x:c r="J97" s="36" t="str">
        <x:f>IF(A97="","",IF(AND(E97&lt;TODAY(),I97&gt;0,K97&lt;&gt;"HỦY"),"QUÁ HẠN",""))</x:f>
      </x:c>
      <x:c r="K97" s="39"/>
      <x:c r="L97" s="39"/>
      <x:c r="M97" s="39"/>
      <x:c r="N97" s="39"/>
      <x:c r="O97" s="42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41"/>
      <x:c r="E98" s="41"/>
      <x:c r="F98" s="39"/>
      <x:c r="G98" s="35" t="str">
        <x:f>IF(A98="","",SUMIFS('CHI_TIẾT_ĐƠN_HÀNG'!$H$2:$H$500,'CHI_TIẾT_ĐƠN_HÀNG'!$B$2:$B$500,A98))</x:f>
      </x:c>
      <x:c r="H98" s="35" t="str">
        <x:f>IF(A98="","",SUMIFS('THANH_TOÁN'!$D$2:$D$500,'THANH_TOÁN'!$B$2:$B$500,A98,'THANH_TOÁN'!$F$2:$F$500,"ĐÃ XÁC NHẬN"))</x:f>
      </x:c>
      <x:c r="I98" s="35" t="str">
        <x:f>IF(A98="","",MAX(0,G98-H98))</x:f>
      </x:c>
      <x:c r="J98" s="36" t="str">
        <x:f>IF(A98="","",IF(AND(E98&lt;TODAY(),I98&gt;0,K98&lt;&gt;"HỦY"),"QUÁ HẠN",""))</x:f>
      </x:c>
      <x:c r="K98" s="39"/>
      <x:c r="L98" s="39"/>
      <x:c r="M98" s="39"/>
      <x:c r="N98" s="39"/>
      <x:c r="O98" s="42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41"/>
      <x:c r="E99" s="41"/>
      <x:c r="F99" s="39"/>
      <x:c r="G99" s="35" t="str">
        <x:f>IF(A99="","",SUMIFS('CHI_TIẾT_ĐƠN_HÀNG'!$H$2:$H$500,'CHI_TIẾT_ĐƠN_HÀNG'!$B$2:$B$500,A99))</x:f>
      </x:c>
      <x:c r="H99" s="35" t="str">
        <x:f>IF(A99="","",SUMIFS('THANH_TOÁN'!$D$2:$D$500,'THANH_TOÁN'!$B$2:$B$500,A99,'THANH_TOÁN'!$F$2:$F$500,"ĐÃ XÁC NHẬN"))</x:f>
      </x:c>
      <x:c r="I99" s="35" t="str">
        <x:f>IF(A99="","",MAX(0,G99-H99))</x:f>
      </x:c>
      <x:c r="J99" s="36" t="str">
        <x:f>IF(A99="","",IF(AND(E99&lt;TODAY(),I99&gt;0,K99&lt;&gt;"HỦY"),"QUÁ HẠN",""))</x:f>
      </x:c>
      <x:c r="K99" s="39"/>
      <x:c r="L99" s="39"/>
      <x:c r="M99" s="39"/>
      <x:c r="N99" s="39"/>
      <x:c r="O99" s="42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41"/>
      <x:c r="E100" s="41"/>
      <x:c r="F100" s="39"/>
      <x:c r="G100" s="35" t="str">
        <x:f>IF(A100="","",SUMIFS('CHI_TIẾT_ĐƠN_HÀNG'!$H$2:$H$500,'CHI_TIẾT_ĐƠN_HÀNG'!$B$2:$B$500,A100))</x:f>
      </x:c>
      <x:c r="H100" s="35" t="str">
        <x:f>IF(A100="","",SUMIFS('THANH_TOÁN'!$D$2:$D$500,'THANH_TOÁN'!$B$2:$B$500,A100,'THANH_TOÁN'!$F$2:$F$500,"ĐÃ XÁC NHẬN"))</x:f>
      </x:c>
      <x:c r="I100" s="35" t="str">
        <x:f>IF(A100="","",MAX(0,G100-H100))</x:f>
      </x:c>
      <x:c r="J100" s="36" t="str">
        <x:f>IF(A100="","",IF(AND(E100&lt;TODAY(),I100&gt;0,K100&lt;&gt;"HỦY"),"QUÁ HẠN",""))</x:f>
      </x:c>
      <x:c r="K100" s="39"/>
      <x:c r="L100" s="39"/>
      <x:c r="M100" s="39"/>
      <x:c r="N100" s="39"/>
      <x:c r="O100" s="42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41"/>
      <x:c r="E101" s="41"/>
      <x:c r="F101" s="39"/>
      <x:c r="G101" s="35" t="str">
        <x:f>IF(A101="","",SUMIFS('CHI_TIẾT_ĐƠN_HÀNG'!$H$2:$H$500,'CHI_TIẾT_ĐƠN_HÀNG'!$B$2:$B$500,A101))</x:f>
      </x:c>
      <x:c r="H101" s="35" t="str">
        <x:f>IF(A101="","",SUMIFS('THANH_TOÁN'!$D$2:$D$500,'THANH_TOÁN'!$B$2:$B$500,A101,'THANH_TOÁN'!$F$2:$F$500,"ĐÃ XÁC NHẬN"))</x:f>
      </x:c>
      <x:c r="I101" s="35" t="str">
        <x:f>IF(A101="","",MAX(0,G101-H101))</x:f>
      </x:c>
      <x:c r="J101" s="36" t="str">
        <x:f>IF(A101="","",IF(AND(E101&lt;TODAY(),I101&gt;0,K101&lt;&gt;"HỦY"),"QUÁ HẠN",""))</x:f>
      </x:c>
      <x:c r="K101" s="39"/>
      <x:c r="L101" s="39"/>
      <x:c r="M101" s="39"/>
      <x:c r="N101" s="39"/>
      <x:c r="O101" s="42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41"/>
      <x:c r="E102" s="41"/>
      <x:c r="F102" s="39"/>
      <x:c r="G102" s="35" t="str">
        <x:f>IF(A102="","",SUMIFS('CHI_TIẾT_ĐƠN_HÀNG'!$H$2:$H$500,'CHI_TIẾT_ĐƠN_HÀNG'!$B$2:$B$500,A102))</x:f>
      </x:c>
      <x:c r="H102" s="35" t="str">
        <x:f>IF(A102="","",SUMIFS('THANH_TOÁN'!$D$2:$D$500,'THANH_TOÁN'!$B$2:$B$500,A102,'THANH_TOÁN'!$F$2:$F$500,"ĐÃ XÁC NHẬN"))</x:f>
      </x:c>
      <x:c r="I102" s="35" t="str">
        <x:f>IF(A102="","",MAX(0,G102-H102))</x:f>
      </x:c>
      <x:c r="J102" s="36" t="str">
        <x:f>IF(A102="","",IF(AND(E102&lt;TODAY(),I102&gt;0,K102&lt;&gt;"HỦY"),"QUÁ HẠN",""))</x:f>
      </x:c>
      <x:c r="K102" s="39"/>
      <x:c r="L102" s="39"/>
      <x:c r="M102" s="39"/>
      <x:c r="N102" s="39"/>
      <x:c r="O102" s="42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41"/>
      <x:c r="E103" s="41"/>
      <x:c r="F103" s="39"/>
      <x:c r="G103" s="35" t="str">
        <x:f>IF(A103="","",SUMIFS('CHI_TIẾT_ĐƠN_HÀNG'!$H$2:$H$500,'CHI_TIẾT_ĐƠN_HÀNG'!$B$2:$B$500,A103))</x:f>
      </x:c>
      <x:c r="H103" s="35" t="str">
        <x:f>IF(A103="","",SUMIFS('THANH_TOÁN'!$D$2:$D$500,'THANH_TOÁN'!$B$2:$B$500,A103,'THANH_TOÁN'!$F$2:$F$500,"ĐÃ XÁC NHẬN"))</x:f>
      </x:c>
      <x:c r="I103" s="35" t="str">
        <x:f>IF(A103="","",MAX(0,G103-H103))</x:f>
      </x:c>
      <x:c r="J103" s="36" t="str">
        <x:f>IF(A103="","",IF(AND(E103&lt;TODAY(),I103&gt;0,K103&lt;&gt;"HỦY"),"QUÁ HẠN",""))</x:f>
      </x:c>
      <x:c r="K103" s="39"/>
      <x:c r="L103" s="39"/>
      <x:c r="M103" s="39"/>
      <x:c r="N103" s="39"/>
      <x:c r="O103" s="42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41"/>
      <x:c r="E104" s="41"/>
      <x:c r="F104" s="39"/>
      <x:c r="G104" s="35" t="str">
        <x:f>IF(A104="","",SUMIFS('CHI_TIẾT_ĐƠN_HÀNG'!$H$2:$H$500,'CHI_TIẾT_ĐƠN_HÀNG'!$B$2:$B$500,A104))</x:f>
      </x:c>
      <x:c r="H104" s="35" t="str">
        <x:f>IF(A104="","",SUMIFS('THANH_TOÁN'!$D$2:$D$500,'THANH_TOÁN'!$B$2:$B$500,A104,'THANH_TOÁN'!$F$2:$F$500,"ĐÃ XÁC NHẬN"))</x:f>
      </x:c>
      <x:c r="I104" s="35" t="str">
        <x:f>IF(A104="","",MAX(0,G104-H104))</x:f>
      </x:c>
      <x:c r="J104" s="36" t="str">
        <x:f>IF(A104="","",IF(AND(E104&lt;TODAY(),I104&gt;0,K104&lt;&gt;"HỦY"),"QUÁ HẠN",""))</x:f>
      </x:c>
      <x:c r="K104" s="39"/>
      <x:c r="L104" s="39"/>
      <x:c r="M104" s="39"/>
      <x:c r="N104" s="39"/>
      <x:c r="O104" s="42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41"/>
      <x:c r="E105" s="41"/>
      <x:c r="F105" s="39"/>
      <x:c r="G105" s="35" t="str">
        <x:f>IF(A105="","",SUMIFS('CHI_TIẾT_ĐƠN_HÀNG'!$H$2:$H$500,'CHI_TIẾT_ĐƠN_HÀNG'!$B$2:$B$500,A105))</x:f>
      </x:c>
      <x:c r="H105" s="35" t="str">
        <x:f>IF(A105="","",SUMIFS('THANH_TOÁN'!$D$2:$D$500,'THANH_TOÁN'!$B$2:$B$500,A105,'THANH_TOÁN'!$F$2:$F$500,"ĐÃ XÁC NHẬN"))</x:f>
      </x:c>
      <x:c r="I105" s="35" t="str">
        <x:f>IF(A105="","",MAX(0,G105-H105))</x:f>
      </x:c>
      <x:c r="J105" s="36" t="str">
        <x:f>IF(A105="","",IF(AND(E105&lt;TODAY(),I105&gt;0,K105&lt;&gt;"HỦY"),"QUÁ HẠN",""))</x:f>
      </x:c>
      <x:c r="K105" s="39"/>
      <x:c r="L105" s="39"/>
      <x:c r="M105" s="39"/>
      <x:c r="N105" s="39"/>
      <x:c r="O105" s="42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41"/>
      <x:c r="E106" s="41"/>
      <x:c r="F106" s="39"/>
      <x:c r="G106" s="35" t="str">
        <x:f>IF(A106="","",SUMIFS('CHI_TIẾT_ĐƠN_HÀNG'!$H$2:$H$500,'CHI_TIẾT_ĐƠN_HÀNG'!$B$2:$B$500,A106))</x:f>
      </x:c>
      <x:c r="H106" s="35" t="str">
        <x:f>IF(A106="","",SUMIFS('THANH_TOÁN'!$D$2:$D$500,'THANH_TOÁN'!$B$2:$B$500,A106,'THANH_TOÁN'!$F$2:$F$500,"ĐÃ XÁC NHẬN"))</x:f>
      </x:c>
      <x:c r="I106" s="35" t="str">
        <x:f>IF(A106="","",MAX(0,G106-H106))</x:f>
      </x:c>
      <x:c r="J106" s="36" t="str">
        <x:f>IF(A106="","",IF(AND(E106&lt;TODAY(),I106&gt;0,K106&lt;&gt;"HỦY"),"QUÁ HẠN",""))</x:f>
      </x:c>
      <x:c r="K106" s="39"/>
      <x:c r="L106" s="39"/>
      <x:c r="M106" s="39"/>
      <x:c r="N106" s="39"/>
      <x:c r="O106" s="42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41"/>
      <x:c r="E107" s="41"/>
      <x:c r="F107" s="39"/>
      <x:c r="G107" s="35" t="str">
        <x:f>IF(A107="","",SUMIFS('CHI_TIẾT_ĐƠN_HÀNG'!$H$2:$H$500,'CHI_TIẾT_ĐƠN_HÀNG'!$B$2:$B$500,A107))</x:f>
      </x:c>
      <x:c r="H107" s="35" t="str">
        <x:f>IF(A107="","",SUMIFS('THANH_TOÁN'!$D$2:$D$500,'THANH_TOÁN'!$B$2:$B$500,A107,'THANH_TOÁN'!$F$2:$F$500,"ĐÃ XÁC NHẬN"))</x:f>
      </x:c>
      <x:c r="I107" s="35" t="str">
        <x:f>IF(A107="","",MAX(0,G107-H107))</x:f>
      </x:c>
      <x:c r="J107" s="36" t="str">
        <x:f>IF(A107="","",IF(AND(E107&lt;TODAY(),I107&gt;0,K107&lt;&gt;"HỦY"),"QUÁ HẠN",""))</x:f>
      </x:c>
      <x:c r="K107" s="39"/>
      <x:c r="L107" s="39"/>
      <x:c r="M107" s="39"/>
      <x:c r="N107" s="39"/>
      <x:c r="O107" s="42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41"/>
      <x:c r="E108" s="41"/>
      <x:c r="F108" s="39"/>
      <x:c r="G108" s="35" t="str">
        <x:f>IF(A108="","",SUMIFS('CHI_TIẾT_ĐƠN_HÀNG'!$H$2:$H$500,'CHI_TIẾT_ĐƠN_HÀNG'!$B$2:$B$500,A108))</x:f>
      </x:c>
      <x:c r="H108" s="35" t="str">
        <x:f>IF(A108="","",SUMIFS('THANH_TOÁN'!$D$2:$D$500,'THANH_TOÁN'!$B$2:$B$500,A108,'THANH_TOÁN'!$F$2:$F$500,"ĐÃ XÁC NHẬN"))</x:f>
      </x:c>
      <x:c r="I108" s="35" t="str">
        <x:f>IF(A108="","",MAX(0,G108-H108))</x:f>
      </x:c>
      <x:c r="J108" s="36" t="str">
        <x:f>IF(A108="","",IF(AND(E108&lt;TODAY(),I108&gt;0,K108&lt;&gt;"HỦY"),"QUÁ HẠN",""))</x:f>
      </x:c>
      <x:c r="K108" s="39"/>
      <x:c r="L108" s="39"/>
      <x:c r="M108" s="39"/>
      <x:c r="N108" s="39"/>
      <x:c r="O108" s="42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41"/>
      <x:c r="E109" s="41"/>
      <x:c r="F109" s="39"/>
      <x:c r="G109" s="35" t="str">
        <x:f>IF(A109="","",SUMIFS('CHI_TIẾT_ĐƠN_HÀNG'!$H$2:$H$500,'CHI_TIẾT_ĐƠN_HÀNG'!$B$2:$B$500,A109))</x:f>
      </x:c>
      <x:c r="H109" s="35" t="str">
        <x:f>IF(A109="","",SUMIFS('THANH_TOÁN'!$D$2:$D$500,'THANH_TOÁN'!$B$2:$B$500,A109,'THANH_TOÁN'!$F$2:$F$500,"ĐÃ XÁC NHẬN"))</x:f>
      </x:c>
      <x:c r="I109" s="35" t="str">
        <x:f>IF(A109="","",MAX(0,G109-H109))</x:f>
      </x:c>
      <x:c r="J109" s="36" t="str">
        <x:f>IF(A109="","",IF(AND(E109&lt;TODAY(),I109&gt;0,K109&lt;&gt;"HỦY"),"QUÁ HẠN",""))</x:f>
      </x:c>
      <x:c r="K109" s="39"/>
      <x:c r="L109" s="39"/>
      <x:c r="M109" s="39"/>
      <x:c r="N109" s="39"/>
      <x:c r="O109" s="42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41"/>
      <x:c r="E110" s="41"/>
      <x:c r="F110" s="39"/>
      <x:c r="G110" s="35" t="str">
        <x:f>IF(A110="","",SUMIFS('CHI_TIẾT_ĐƠN_HÀNG'!$H$2:$H$500,'CHI_TIẾT_ĐƠN_HÀNG'!$B$2:$B$500,A110))</x:f>
      </x:c>
      <x:c r="H110" s="35" t="str">
        <x:f>IF(A110="","",SUMIFS('THANH_TOÁN'!$D$2:$D$500,'THANH_TOÁN'!$B$2:$B$500,A110,'THANH_TOÁN'!$F$2:$F$500,"ĐÃ XÁC NHẬN"))</x:f>
      </x:c>
      <x:c r="I110" s="35" t="str">
        <x:f>IF(A110="","",MAX(0,G110-H110))</x:f>
      </x:c>
      <x:c r="J110" s="36" t="str">
        <x:f>IF(A110="","",IF(AND(E110&lt;TODAY(),I110&gt;0,K110&lt;&gt;"HỦY"),"QUÁ HẠN",""))</x:f>
      </x:c>
      <x:c r="K110" s="39"/>
      <x:c r="L110" s="39"/>
      <x:c r="M110" s="39"/>
      <x:c r="N110" s="39"/>
      <x:c r="O110" s="42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41"/>
      <x:c r="E111" s="41"/>
      <x:c r="F111" s="39"/>
      <x:c r="G111" s="35" t="str">
        <x:f>IF(A111="","",SUMIFS('CHI_TIẾT_ĐƠN_HÀNG'!$H$2:$H$500,'CHI_TIẾT_ĐƠN_HÀNG'!$B$2:$B$500,A111))</x:f>
      </x:c>
      <x:c r="H111" s="35" t="str">
        <x:f>IF(A111="","",SUMIFS('THANH_TOÁN'!$D$2:$D$500,'THANH_TOÁN'!$B$2:$B$500,A111,'THANH_TOÁN'!$F$2:$F$500,"ĐÃ XÁC NHẬN"))</x:f>
      </x:c>
      <x:c r="I111" s="35" t="str">
        <x:f>IF(A111="","",MAX(0,G111-H111))</x:f>
      </x:c>
      <x:c r="J111" s="36" t="str">
        <x:f>IF(A111="","",IF(AND(E111&lt;TODAY(),I111&gt;0,K111&lt;&gt;"HỦY"),"QUÁ HẠN",""))</x:f>
      </x:c>
      <x:c r="K111" s="39"/>
      <x:c r="L111" s="39"/>
      <x:c r="M111" s="39"/>
      <x:c r="N111" s="39"/>
      <x:c r="O111" s="42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41"/>
      <x:c r="E112" s="41"/>
      <x:c r="F112" s="39"/>
      <x:c r="G112" s="35" t="str">
        <x:f>IF(A112="","",SUMIFS('CHI_TIẾT_ĐƠN_HÀNG'!$H$2:$H$500,'CHI_TIẾT_ĐƠN_HÀNG'!$B$2:$B$500,A112))</x:f>
      </x:c>
      <x:c r="H112" s="35" t="str">
        <x:f>IF(A112="","",SUMIFS('THANH_TOÁN'!$D$2:$D$500,'THANH_TOÁN'!$B$2:$B$500,A112,'THANH_TOÁN'!$F$2:$F$500,"ĐÃ XÁC NHẬN"))</x:f>
      </x:c>
      <x:c r="I112" s="35" t="str">
        <x:f>IF(A112="","",MAX(0,G112-H112))</x:f>
      </x:c>
      <x:c r="J112" s="36" t="str">
        <x:f>IF(A112="","",IF(AND(E112&lt;TODAY(),I112&gt;0,K112&lt;&gt;"HỦY"),"QUÁ HẠN",""))</x:f>
      </x:c>
      <x:c r="K112" s="39"/>
      <x:c r="L112" s="39"/>
      <x:c r="M112" s="39"/>
      <x:c r="N112" s="39"/>
      <x:c r="O112" s="42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41"/>
      <x:c r="E113" s="41"/>
      <x:c r="F113" s="39"/>
      <x:c r="G113" s="35" t="str">
        <x:f>IF(A113="","",SUMIFS('CHI_TIẾT_ĐƠN_HÀNG'!$H$2:$H$500,'CHI_TIẾT_ĐƠN_HÀNG'!$B$2:$B$500,A113))</x:f>
      </x:c>
      <x:c r="H113" s="35" t="str">
        <x:f>IF(A113="","",SUMIFS('THANH_TOÁN'!$D$2:$D$500,'THANH_TOÁN'!$B$2:$B$500,A113,'THANH_TOÁN'!$F$2:$F$500,"ĐÃ XÁC NHẬN"))</x:f>
      </x:c>
      <x:c r="I113" s="35" t="str">
        <x:f>IF(A113="","",MAX(0,G113-H113))</x:f>
      </x:c>
      <x:c r="J113" s="36" t="str">
        <x:f>IF(A113="","",IF(AND(E113&lt;TODAY(),I113&gt;0,K113&lt;&gt;"HỦY"),"QUÁ HẠN",""))</x:f>
      </x:c>
      <x:c r="K113" s="39"/>
      <x:c r="L113" s="39"/>
      <x:c r="M113" s="39"/>
      <x:c r="N113" s="39"/>
      <x:c r="O113" s="42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41"/>
      <x:c r="E114" s="41"/>
      <x:c r="F114" s="39"/>
      <x:c r="G114" s="35" t="str">
        <x:f>IF(A114="","",SUMIFS('CHI_TIẾT_ĐƠN_HÀNG'!$H$2:$H$500,'CHI_TIẾT_ĐƠN_HÀNG'!$B$2:$B$500,A114))</x:f>
      </x:c>
      <x:c r="H114" s="35" t="str">
        <x:f>IF(A114="","",SUMIFS('THANH_TOÁN'!$D$2:$D$500,'THANH_TOÁN'!$B$2:$B$500,A114,'THANH_TOÁN'!$F$2:$F$500,"ĐÃ XÁC NHẬN"))</x:f>
      </x:c>
      <x:c r="I114" s="35" t="str">
        <x:f>IF(A114="","",MAX(0,G114-H114))</x:f>
      </x:c>
      <x:c r="J114" s="36" t="str">
        <x:f>IF(A114="","",IF(AND(E114&lt;TODAY(),I114&gt;0,K114&lt;&gt;"HỦY"),"QUÁ HẠN",""))</x:f>
      </x:c>
      <x:c r="K114" s="39"/>
      <x:c r="L114" s="39"/>
      <x:c r="M114" s="39"/>
      <x:c r="N114" s="39"/>
      <x:c r="O114" s="42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41"/>
      <x:c r="E115" s="41"/>
      <x:c r="F115" s="39"/>
      <x:c r="G115" s="35" t="str">
        <x:f>IF(A115="","",SUMIFS('CHI_TIẾT_ĐƠN_HÀNG'!$H$2:$H$500,'CHI_TIẾT_ĐƠN_HÀNG'!$B$2:$B$500,A115))</x:f>
      </x:c>
      <x:c r="H115" s="35" t="str">
        <x:f>IF(A115="","",SUMIFS('THANH_TOÁN'!$D$2:$D$500,'THANH_TOÁN'!$B$2:$B$500,A115,'THANH_TOÁN'!$F$2:$F$500,"ĐÃ XÁC NHẬN"))</x:f>
      </x:c>
      <x:c r="I115" s="35" t="str">
        <x:f>IF(A115="","",MAX(0,G115-H115))</x:f>
      </x:c>
      <x:c r="J115" s="36" t="str">
        <x:f>IF(A115="","",IF(AND(E115&lt;TODAY(),I115&gt;0,K115&lt;&gt;"HỦY"),"QUÁ HẠN",""))</x:f>
      </x:c>
      <x:c r="K115" s="39"/>
      <x:c r="L115" s="39"/>
      <x:c r="M115" s="39"/>
      <x:c r="N115" s="39"/>
      <x:c r="O115" s="42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41"/>
      <x:c r="E116" s="41"/>
      <x:c r="F116" s="39"/>
      <x:c r="G116" s="35" t="str">
        <x:f>IF(A116="","",SUMIFS('CHI_TIẾT_ĐƠN_HÀNG'!$H$2:$H$500,'CHI_TIẾT_ĐƠN_HÀNG'!$B$2:$B$500,A116))</x:f>
      </x:c>
      <x:c r="H116" s="35" t="str">
        <x:f>IF(A116="","",SUMIFS('THANH_TOÁN'!$D$2:$D$500,'THANH_TOÁN'!$B$2:$B$500,A116,'THANH_TOÁN'!$F$2:$F$500,"ĐÃ XÁC NHẬN"))</x:f>
      </x:c>
      <x:c r="I116" s="35" t="str">
        <x:f>IF(A116="","",MAX(0,G116-H116))</x:f>
      </x:c>
      <x:c r="J116" s="36" t="str">
        <x:f>IF(A116="","",IF(AND(E116&lt;TODAY(),I116&gt;0,K116&lt;&gt;"HỦY"),"QUÁ HẠN",""))</x:f>
      </x:c>
      <x:c r="K116" s="39"/>
      <x:c r="L116" s="39"/>
      <x:c r="M116" s="39"/>
      <x:c r="N116" s="39"/>
      <x:c r="O116" s="42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41"/>
      <x:c r="E117" s="41"/>
      <x:c r="F117" s="39"/>
      <x:c r="G117" s="35" t="str">
        <x:f>IF(A117="","",SUMIFS('CHI_TIẾT_ĐƠN_HÀNG'!$H$2:$H$500,'CHI_TIẾT_ĐƠN_HÀNG'!$B$2:$B$500,A117))</x:f>
      </x:c>
      <x:c r="H117" s="35" t="str">
        <x:f>IF(A117="","",SUMIFS('THANH_TOÁN'!$D$2:$D$500,'THANH_TOÁN'!$B$2:$B$500,A117,'THANH_TOÁN'!$F$2:$F$500,"ĐÃ XÁC NHẬN"))</x:f>
      </x:c>
      <x:c r="I117" s="35" t="str">
        <x:f>IF(A117="","",MAX(0,G117-H117))</x:f>
      </x:c>
      <x:c r="J117" s="36" t="str">
        <x:f>IF(A117="","",IF(AND(E117&lt;TODAY(),I117&gt;0,K117&lt;&gt;"HỦY"),"QUÁ HẠN",""))</x:f>
      </x:c>
      <x:c r="K117" s="39"/>
      <x:c r="L117" s="39"/>
      <x:c r="M117" s="39"/>
      <x:c r="N117" s="39"/>
      <x:c r="O117" s="42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41"/>
      <x:c r="E118" s="41"/>
      <x:c r="F118" s="39"/>
      <x:c r="G118" s="35" t="str">
        <x:f>IF(A118="","",SUMIFS('CHI_TIẾT_ĐƠN_HÀNG'!$H$2:$H$500,'CHI_TIẾT_ĐƠN_HÀNG'!$B$2:$B$500,A118))</x:f>
      </x:c>
      <x:c r="H118" s="35" t="str">
        <x:f>IF(A118="","",SUMIFS('THANH_TOÁN'!$D$2:$D$500,'THANH_TOÁN'!$B$2:$B$500,A118,'THANH_TOÁN'!$F$2:$F$500,"ĐÃ XÁC NHẬN"))</x:f>
      </x:c>
      <x:c r="I118" s="35" t="str">
        <x:f>IF(A118="","",MAX(0,G118-H118))</x:f>
      </x:c>
      <x:c r="J118" s="36" t="str">
        <x:f>IF(A118="","",IF(AND(E118&lt;TODAY(),I118&gt;0,K118&lt;&gt;"HỦY"),"QUÁ HẠN",""))</x:f>
      </x:c>
      <x:c r="K118" s="39"/>
      <x:c r="L118" s="39"/>
      <x:c r="M118" s="39"/>
      <x:c r="N118" s="39"/>
      <x:c r="O118" s="42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41"/>
      <x:c r="E119" s="41"/>
      <x:c r="F119" s="39"/>
      <x:c r="G119" s="35" t="str">
        <x:f>IF(A119="","",SUMIFS('CHI_TIẾT_ĐƠN_HÀNG'!$H$2:$H$500,'CHI_TIẾT_ĐƠN_HÀNG'!$B$2:$B$500,A119))</x:f>
      </x:c>
      <x:c r="H119" s="35" t="str">
        <x:f>IF(A119="","",SUMIFS('THANH_TOÁN'!$D$2:$D$500,'THANH_TOÁN'!$B$2:$B$500,A119,'THANH_TOÁN'!$F$2:$F$500,"ĐÃ XÁC NHẬN"))</x:f>
      </x:c>
      <x:c r="I119" s="35" t="str">
        <x:f>IF(A119="","",MAX(0,G119-H119))</x:f>
      </x:c>
      <x:c r="J119" s="36" t="str">
        <x:f>IF(A119="","",IF(AND(E119&lt;TODAY(),I119&gt;0,K119&lt;&gt;"HỦY"),"QUÁ HẠN",""))</x:f>
      </x:c>
      <x:c r="K119" s="39"/>
      <x:c r="L119" s="39"/>
      <x:c r="M119" s="39"/>
      <x:c r="N119" s="39"/>
      <x:c r="O119" s="42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41"/>
      <x:c r="E120" s="41"/>
      <x:c r="F120" s="39"/>
      <x:c r="G120" s="35" t="str">
        <x:f>IF(A120="","",SUMIFS('CHI_TIẾT_ĐƠN_HÀNG'!$H$2:$H$500,'CHI_TIẾT_ĐƠN_HÀNG'!$B$2:$B$500,A120))</x:f>
      </x:c>
      <x:c r="H120" s="35" t="str">
        <x:f>IF(A120="","",SUMIFS('THANH_TOÁN'!$D$2:$D$500,'THANH_TOÁN'!$B$2:$B$500,A120,'THANH_TOÁN'!$F$2:$F$500,"ĐÃ XÁC NHẬN"))</x:f>
      </x:c>
      <x:c r="I120" s="35" t="str">
        <x:f>IF(A120="","",MAX(0,G120-H120))</x:f>
      </x:c>
      <x:c r="J120" s="36" t="str">
        <x:f>IF(A120="","",IF(AND(E120&lt;TODAY(),I120&gt;0,K120&lt;&gt;"HỦY"),"QUÁ HẠN",""))</x:f>
      </x:c>
      <x:c r="K120" s="39"/>
      <x:c r="L120" s="39"/>
      <x:c r="M120" s="39"/>
      <x:c r="N120" s="39"/>
      <x:c r="O120" s="42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41"/>
      <x:c r="E121" s="41"/>
      <x:c r="F121" s="39"/>
      <x:c r="G121" s="35" t="str">
        <x:f>IF(A121="","",SUMIFS('CHI_TIẾT_ĐƠN_HÀNG'!$H$2:$H$500,'CHI_TIẾT_ĐƠN_HÀNG'!$B$2:$B$500,A121))</x:f>
      </x:c>
      <x:c r="H121" s="35" t="str">
        <x:f>IF(A121="","",SUMIFS('THANH_TOÁN'!$D$2:$D$500,'THANH_TOÁN'!$B$2:$B$500,A121,'THANH_TOÁN'!$F$2:$F$500,"ĐÃ XÁC NHẬN"))</x:f>
      </x:c>
      <x:c r="I121" s="35" t="str">
        <x:f>IF(A121="","",MAX(0,G121-H121))</x:f>
      </x:c>
      <x:c r="J121" s="36" t="str">
        <x:f>IF(A121="","",IF(AND(E121&lt;TODAY(),I121&gt;0,K121&lt;&gt;"HỦY"),"QUÁ HẠN",""))</x:f>
      </x:c>
      <x:c r="K121" s="39"/>
      <x:c r="L121" s="39"/>
      <x:c r="M121" s="39"/>
      <x:c r="N121" s="39"/>
      <x:c r="O121" s="42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41"/>
      <x:c r="E122" s="41"/>
      <x:c r="F122" s="39"/>
      <x:c r="G122" s="35" t="str">
        <x:f>IF(A122="","",SUMIFS('CHI_TIẾT_ĐƠN_HÀNG'!$H$2:$H$500,'CHI_TIẾT_ĐƠN_HÀNG'!$B$2:$B$500,A122))</x:f>
      </x:c>
      <x:c r="H122" s="35" t="str">
        <x:f>IF(A122="","",SUMIFS('THANH_TOÁN'!$D$2:$D$500,'THANH_TOÁN'!$B$2:$B$500,A122,'THANH_TOÁN'!$F$2:$F$500,"ĐÃ XÁC NHẬN"))</x:f>
      </x:c>
      <x:c r="I122" s="35" t="str">
        <x:f>IF(A122="","",MAX(0,G122-H122))</x:f>
      </x:c>
      <x:c r="J122" s="36" t="str">
        <x:f>IF(A122="","",IF(AND(E122&lt;TODAY(),I122&gt;0,K122&lt;&gt;"HỦY"),"QUÁ HẠN",""))</x:f>
      </x:c>
      <x:c r="K122" s="39"/>
      <x:c r="L122" s="39"/>
      <x:c r="M122" s="39"/>
      <x:c r="N122" s="39"/>
      <x:c r="O122" s="42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41"/>
      <x:c r="E123" s="41"/>
      <x:c r="F123" s="39"/>
      <x:c r="G123" s="35" t="str">
        <x:f>IF(A123="","",SUMIFS('CHI_TIẾT_ĐƠN_HÀNG'!$H$2:$H$500,'CHI_TIẾT_ĐƠN_HÀNG'!$B$2:$B$500,A123))</x:f>
      </x:c>
      <x:c r="H123" s="35" t="str">
        <x:f>IF(A123="","",SUMIFS('THANH_TOÁN'!$D$2:$D$500,'THANH_TOÁN'!$B$2:$B$500,A123,'THANH_TOÁN'!$F$2:$F$500,"ĐÃ XÁC NHẬN"))</x:f>
      </x:c>
      <x:c r="I123" s="35" t="str">
        <x:f>IF(A123="","",MAX(0,G123-H123))</x:f>
      </x:c>
      <x:c r="J123" s="36" t="str">
        <x:f>IF(A123="","",IF(AND(E123&lt;TODAY(),I123&gt;0,K123&lt;&gt;"HỦY"),"QUÁ HẠN",""))</x:f>
      </x:c>
      <x:c r="K123" s="39"/>
      <x:c r="L123" s="39"/>
      <x:c r="M123" s="39"/>
      <x:c r="N123" s="39"/>
      <x:c r="O123" s="42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41"/>
      <x:c r="E124" s="41"/>
      <x:c r="F124" s="39"/>
      <x:c r="G124" s="35" t="str">
        <x:f>IF(A124="","",SUMIFS('CHI_TIẾT_ĐƠN_HÀNG'!$H$2:$H$500,'CHI_TIẾT_ĐƠN_HÀNG'!$B$2:$B$500,A124))</x:f>
      </x:c>
      <x:c r="H124" s="35" t="str">
        <x:f>IF(A124="","",SUMIFS('THANH_TOÁN'!$D$2:$D$500,'THANH_TOÁN'!$B$2:$B$500,A124,'THANH_TOÁN'!$F$2:$F$500,"ĐÃ XÁC NHẬN"))</x:f>
      </x:c>
      <x:c r="I124" s="35" t="str">
        <x:f>IF(A124="","",MAX(0,G124-H124))</x:f>
      </x:c>
      <x:c r="J124" s="36" t="str">
        <x:f>IF(A124="","",IF(AND(E124&lt;TODAY(),I124&gt;0,K124&lt;&gt;"HỦY"),"QUÁ HẠN",""))</x:f>
      </x:c>
      <x:c r="K124" s="39"/>
      <x:c r="L124" s="39"/>
      <x:c r="M124" s="39"/>
      <x:c r="N124" s="39"/>
      <x:c r="O124" s="42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41"/>
      <x:c r="E125" s="41"/>
      <x:c r="F125" s="39"/>
      <x:c r="G125" s="35" t="str">
        <x:f>IF(A125="","",SUMIFS('CHI_TIẾT_ĐƠN_HÀNG'!$H$2:$H$500,'CHI_TIẾT_ĐƠN_HÀNG'!$B$2:$B$500,A125))</x:f>
      </x:c>
      <x:c r="H125" s="35" t="str">
        <x:f>IF(A125="","",SUMIFS('THANH_TOÁN'!$D$2:$D$500,'THANH_TOÁN'!$B$2:$B$500,A125,'THANH_TOÁN'!$F$2:$F$500,"ĐÃ XÁC NHẬN"))</x:f>
      </x:c>
      <x:c r="I125" s="35" t="str">
        <x:f>IF(A125="","",MAX(0,G125-H125))</x:f>
      </x:c>
      <x:c r="J125" s="36" t="str">
        <x:f>IF(A125="","",IF(AND(E125&lt;TODAY(),I125&gt;0,K125&lt;&gt;"HỦY"),"QUÁ HẠN",""))</x:f>
      </x:c>
      <x:c r="K125" s="39"/>
      <x:c r="L125" s="39"/>
      <x:c r="M125" s="39"/>
      <x:c r="N125" s="39"/>
      <x:c r="O125" s="42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41"/>
      <x:c r="E126" s="41"/>
      <x:c r="F126" s="39"/>
      <x:c r="G126" s="35" t="str">
        <x:f>IF(A126="","",SUMIFS('CHI_TIẾT_ĐƠN_HÀNG'!$H$2:$H$500,'CHI_TIẾT_ĐƠN_HÀNG'!$B$2:$B$500,A126))</x:f>
      </x:c>
      <x:c r="H126" s="35" t="str">
        <x:f>IF(A126="","",SUMIFS('THANH_TOÁN'!$D$2:$D$500,'THANH_TOÁN'!$B$2:$B$500,A126,'THANH_TOÁN'!$F$2:$F$500,"ĐÃ XÁC NHẬN"))</x:f>
      </x:c>
      <x:c r="I126" s="35" t="str">
        <x:f>IF(A126="","",MAX(0,G126-H126))</x:f>
      </x:c>
      <x:c r="J126" s="36" t="str">
        <x:f>IF(A126="","",IF(AND(E126&lt;TODAY(),I126&gt;0,K126&lt;&gt;"HỦY"),"QUÁ HẠN",""))</x:f>
      </x:c>
      <x:c r="K126" s="39"/>
      <x:c r="L126" s="39"/>
      <x:c r="M126" s="39"/>
      <x:c r="N126" s="39"/>
      <x:c r="O126" s="42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41"/>
      <x:c r="E127" s="41"/>
      <x:c r="F127" s="39"/>
      <x:c r="G127" s="35" t="str">
        <x:f>IF(A127="","",SUMIFS('CHI_TIẾT_ĐƠN_HÀNG'!$H$2:$H$500,'CHI_TIẾT_ĐƠN_HÀNG'!$B$2:$B$500,A127))</x:f>
      </x:c>
      <x:c r="H127" s="35" t="str">
        <x:f>IF(A127="","",SUMIFS('THANH_TOÁN'!$D$2:$D$500,'THANH_TOÁN'!$B$2:$B$500,A127,'THANH_TOÁN'!$F$2:$F$500,"ĐÃ XÁC NHẬN"))</x:f>
      </x:c>
      <x:c r="I127" s="35" t="str">
        <x:f>IF(A127="","",MAX(0,G127-H127))</x:f>
      </x:c>
      <x:c r="J127" s="36" t="str">
        <x:f>IF(A127="","",IF(AND(E127&lt;TODAY(),I127&gt;0,K127&lt;&gt;"HỦY"),"QUÁ HẠN",""))</x:f>
      </x:c>
      <x:c r="K127" s="39"/>
      <x:c r="L127" s="39"/>
      <x:c r="M127" s="39"/>
      <x:c r="N127" s="39"/>
      <x:c r="O127" s="42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41"/>
      <x:c r="E128" s="41"/>
      <x:c r="F128" s="39"/>
      <x:c r="G128" s="35" t="str">
        <x:f>IF(A128="","",SUMIFS('CHI_TIẾT_ĐƠN_HÀNG'!$H$2:$H$500,'CHI_TIẾT_ĐƠN_HÀNG'!$B$2:$B$500,A128))</x:f>
      </x:c>
      <x:c r="H128" s="35" t="str">
        <x:f>IF(A128="","",SUMIFS('THANH_TOÁN'!$D$2:$D$500,'THANH_TOÁN'!$B$2:$B$500,A128,'THANH_TOÁN'!$F$2:$F$500,"ĐÃ XÁC NHẬN"))</x:f>
      </x:c>
      <x:c r="I128" s="35" t="str">
        <x:f>IF(A128="","",MAX(0,G128-H128))</x:f>
      </x:c>
      <x:c r="J128" s="36" t="str">
        <x:f>IF(A128="","",IF(AND(E128&lt;TODAY(),I128&gt;0,K128&lt;&gt;"HỦY"),"QUÁ HẠN",""))</x:f>
      </x:c>
      <x:c r="K128" s="39"/>
      <x:c r="L128" s="39"/>
      <x:c r="M128" s="39"/>
      <x:c r="N128" s="39"/>
      <x:c r="O128" s="42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41"/>
      <x:c r="E129" s="41"/>
      <x:c r="F129" s="39"/>
      <x:c r="G129" s="35" t="str">
        <x:f>IF(A129="","",SUMIFS('CHI_TIẾT_ĐƠN_HÀNG'!$H$2:$H$500,'CHI_TIẾT_ĐƠN_HÀNG'!$B$2:$B$500,A129))</x:f>
      </x:c>
      <x:c r="H129" s="35" t="str">
        <x:f>IF(A129="","",SUMIFS('THANH_TOÁN'!$D$2:$D$500,'THANH_TOÁN'!$B$2:$B$500,A129,'THANH_TOÁN'!$F$2:$F$500,"ĐÃ XÁC NHẬN"))</x:f>
      </x:c>
      <x:c r="I129" s="35" t="str">
        <x:f>IF(A129="","",MAX(0,G129-H129))</x:f>
      </x:c>
      <x:c r="J129" s="36" t="str">
        <x:f>IF(A129="","",IF(AND(E129&lt;TODAY(),I129&gt;0,K129&lt;&gt;"HỦY"),"QUÁ HẠN",""))</x:f>
      </x:c>
      <x:c r="K129" s="39"/>
      <x:c r="L129" s="39"/>
      <x:c r="M129" s="39"/>
      <x:c r="N129" s="39"/>
      <x:c r="O129" s="42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41"/>
      <x:c r="E130" s="41"/>
      <x:c r="F130" s="39"/>
      <x:c r="G130" s="35" t="str">
        <x:f>IF(A130="","",SUMIFS('CHI_TIẾT_ĐƠN_HÀNG'!$H$2:$H$500,'CHI_TIẾT_ĐƠN_HÀNG'!$B$2:$B$500,A130))</x:f>
      </x:c>
      <x:c r="H130" s="35" t="str">
        <x:f>IF(A130="","",SUMIFS('THANH_TOÁN'!$D$2:$D$500,'THANH_TOÁN'!$B$2:$B$500,A130,'THANH_TOÁN'!$F$2:$F$500,"ĐÃ XÁC NHẬN"))</x:f>
      </x:c>
      <x:c r="I130" s="35" t="str">
        <x:f>IF(A130="","",MAX(0,G130-H130))</x:f>
      </x:c>
      <x:c r="J130" s="36" t="str">
        <x:f>IF(A130="","",IF(AND(E130&lt;TODAY(),I130&gt;0,K130&lt;&gt;"HỦY"),"QUÁ HẠN",""))</x:f>
      </x:c>
      <x:c r="K130" s="39"/>
      <x:c r="L130" s="39"/>
      <x:c r="M130" s="39"/>
      <x:c r="N130" s="39"/>
      <x:c r="O130" s="42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41"/>
      <x:c r="E131" s="41"/>
      <x:c r="F131" s="39"/>
      <x:c r="G131" s="35" t="str">
        <x:f>IF(A131="","",SUMIFS('CHI_TIẾT_ĐƠN_HÀNG'!$H$2:$H$500,'CHI_TIẾT_ĐƠN_HÀNG'!$B$2:$B$500,A131))</x:f>
      </x:c>
      <x:c r="H131" s="35" t="str">
        <x:f>IF(A131="","",SUMIFS('THANH_TOÁN'!$D$2:$D$500,'THANH_TOÁN'!$B$2:$B$500,A131,'THANH_TOÁN'!$F$2:$F$500,"ĐÃ XÁC NHẬN"))</x:f>
      </x:c>
      <x:c r="I131" s="35" t="str">
        <x:f>IF(A131="","",MAX(0,G131-H131))</x:f>
      </x:c>
      <x:c r="J131" s="36" t="str">
        <x:f>IF(A131="","",IF(AND(E131&lt;TODAY(),I131&gt;0,K131&lt;&gt;"HỦY"),"QUÁ HẠN",""))</x:f>
      </x:c>
      <x:c r="K131" s="39"/>
      <x:c r="L131" s="39"/>
      <x:c r="M131" s="39"/>
      <x:c r="N131" s="39"/>
      <x:c r="O131" s="42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41"/>
      <x:c r="E132" s="41"/>
      <x:c r="F132" s="39"/>
      <x:c r="G132" s="35" t="str">
        <x:f>IF(A132="","",SUMIFS('CHI_TIẾT_ĐƠN_HÀNG'!$H$2:$H$500,'CHI_TIẾT_ĐƠN_HÀNG'!$B$2:$B$500,A132))</x:f>
      </x:c>
      <x:c r="H132" s="35" t="str">
        <x:f>IF(A132="","",SUMIFS('THANH_TOÁN'!$D$2:$D$500,'THANH_TOÁN'!$B$2:$B$500,A132,'THANH_TOÁN'!$F$2:$F$500,"ĐÃ XÁC NHẬN"))</x:f>
      </x:c>
      <x:c r="I132" s="35" t="str">
        <x:f>IF(A132="","",MAX(0,G132-H132))</x:f>
      </x:c>
      <x:c r="J132" s="36" t="str">
        <x:f>IF(A132="","",IF(AND(E132&lt;TODAY(),I132&gt;0,K132&lt;&gt;"HỦY"),"QUÁ HẠN",""))</x:f>
      </x:c>
      <x:c r="K132" s="39"/>
      <x:c r="L132" s="39"/>
      <x:c r="M132" s="39"/>
      <x:c r="N132" s="39"/>
      <x:c r="O132" s="42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41"/>
      <x:c r="E133" s="41"/>
      <x:c r="F133" s="39"/>
      <x:c r="G133" s="35" t="str">
        <x:f>IF(A133="","",SUMIFS('CHI_TIẾT_ĐƠN_HÀNG'!$H$2:$H$500,'CHI_TIẾT_ĐƠN_HÀNG'!$B$2:$B$500,A133))</x:f>
      </x:c>
      <x:c r="H133" s="35" t="str">
        <x:f>IF(A133="","",SUMIFS('THANH_TOÁN'!$D$2:$D$500,'THANH_TOÁN'!$B$2:$B$500,A133,'THANH_TOÁN'!$F$2:$F$500,"ĐÃ XÁC NHẬN"))</x:f>
      </x:c>
      <x:c r="I133" s="35" t="str">
        <x:f>IF(A133="","",MAX(0,G133-H133))</x:f>
      </x:c>
      <x:c r="J133" s="36" t="str">
        <x:f>IF(A133="","",IF(AND(E133&lt;TODAY(),I133&gt;0,K133&lt;&gt;"HỦY"),"QUÁ HẠN",""))</x:f>
      </x:c>
      <x:c r="K133" s="39"/>
      <x:c r="L133" s="39"/>
      <x:c r="M133" s="39"/>
      <x:c r="N133" s="39"/>
      <x:c r="O133" s="42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41"/>
      <x:c r="E134" s="41"/>
      <x:c r="F134" s="39"/>
      <x:c r="G134" s="35" t="str">
        <x:f>IF(A134="","",SUMIFS('CHI_TIẾT_ĐƠN_HÀNG'!$H$2:$H$500,'CHI_TIẾT_ĐƠN_HÀNG'!$B$2:$B$500,A134))</x:f>
      </x:c>
      <x:c r="H134" s="35" t="str">
        <x:f>IF(A134="","",SUMIFS('THANH_TOÁN'!$D$2:$D$500,'THANH_TOÁN'!$B$2:$B$500,A134,'THANH_TOÁN'!$F$2:$F$500,"ĐÃ XÁC NHẬN"))</x:f>
      </x:c>
      <x:c r="I134" s="35" t="str">
        <x:f>IF(A134="","",MAX(0,G134-H134))</x:f>
      </x:c>
      <x:c r="J134" s="36" t="str">
        <x:f>IF(A134="","",IF(AND(E134&lt;TODAY(),I134&gt;0,K134&lt;&gt;"HỦY"),"QUÁ HẠN",""))</x:f>
      </x:c>
      <x:c r="K134" s="39"/>
      <x:c r="L134" s="39"/>
      <x:c r="M134" s="39"/>
      <x:c r="N134" s="39"/>
      <x:c r="O134" s="42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41"/>
      <x:c r="E135" s="41"/>
      <x:c r="F135" s="39"/>
      <x:c r="G135" s="35" t="str">
        <x:f>IF(A135="","",SUMIFS('CHI_TIẾT_ĐƠN_HÀNG'!$H$2:$H$500,'CHI_TIẾT_ĐƠN_HÀNG'!$B$2:$B$500,A135))</x:f>
      </x:c>
      <x:c r="H135" s="35" t="str">
        <x:f>IF(A135="","",SUMIFS('THANH_TOÁN'!$D$2:$D$500,'THANH_TOÁN'!$B$2:$B$500,A135,'THANH_TOÁN'!$F$2:$F$500,"ĐÃ XÁC NHẬN"))</x:f>
      </x:c>
      <x:c r="I135" s="35" t="str">
        <x:f>IF(A135="","",MAX(0,G135-H135))</x:f>
      </x:c>
      <x:c r="J135" s="36" t="str">
        <x:f>IF(A135="","",IF(AND(E135&lt;TODAY(),I135&gt;0,K135&lt;&gt;"HỦY"),"QUÁ HẠN",""))</x:f>
      </x:c>
      <x:c r="K135" s="39"/>
      <x:c r="L135" s="39"/>
      <x:c r="M135" s="39"/>
      <x:c r="N135" s="39"/>
      <x:c r="O135" s="42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41"/>
      <x:c r="E136" s="41"/>
      <x:c r="F136" s="39"/>
      <x:c r="G136" s="35" t="str">
        <x:f>IF(A136="","",SUMIFS('CHI_TIẾT_ĐƠN_HÀNG'!$H$2:$H$500,'CHI_TIẾT_ĐƠN_HÀNG'!$B$2:$B$500,A136))</x:f>
      </x:c>
      <x:c r="H136" s="35" t="str">
        <x:f>IF(A136="","",SUMIFS('THANH_TOÁN'!$D$2:$D$500,'THANH_TOÁN'!$B$2:$B$500,A136,'THANH_TOÁN'!$F$2:$F$500,"ĐÃ XÁC NHẬN"))</x:f>
      </x:c>
      <x:c r="I136" s="35" t="str">
        <x:f>IF(A136="","",MAX(0,G136-H136))</x:f>
      </x:c>
      <x:c r="J136" s="36" t="str">
        <x:f>IF(A136="","",IF(AND(E136&lt;TODAY(),I136&gt;0,K136&lt;&gt;"HỦY"),"QUÁ HẠN",""))</x:f>
      </x:c>
      <x:c r="K136" s="39"/>
      <x:c r="L136" s="39"/>
      <x:c r="M136" s="39"/>
      <x:c r="N136" s="39"/>
      <x:c r="O136" s="42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41"/>
      <x:c r="E137" s="41"/>
      <x:c r="F137" s="39"/>
      <x:c r="G137" s="35" t="str">
        <x:f>IF(A137="","",SUMIFS('CHI_TIẾT_ĐƠN_HÀNG'!$H$2:$H$500,'CHI_TIẾT_ĐƠN_HÀNG'!$B$2:$B$500,A137))</x:f>
      </x:c>
      <x:c r="H137" s="35" t="str">
        <x:f>IF(A137="","",SUMIFS('THANH_TOÁN'!$D$2:$D$500,'THANH_TOÁN'!$B$2:$B$500,A137,'THANH_TOÁN'!$F$2:$F$500,"ĐÃ XÁC NHẬN"))</x:f>
      </x:c>
      <x:c r="I137" s="35" t="str">
        <x:f>IF(A137="","",MAX(0,G137-H137))</x:f>
      </x:c>
      <x:c r="J137" s="36" t="str">
        <x:f>IF(A137="","",IF(AND(E137&lt;TODAY(),I137&gt;0,K137&lt;&gt;"HỦY"),"QUÁ HẠN",""))</x:f>
      </x:c>
      <x:c r="K137" s="39"/>
      <x:c r="L137" s="39"/>
      <x:c r="M137" s="39"/>
      <x:c r="N137" s="39"/>
      <x:c r="O137" s="42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41"/>
      <x:c r="E138" s="41"/>
      <x:c r="F138" s="39"/>
      <x:c r="G138" s="35" t="str">
        <x:f>IF(A138="","",SUMIFS('CHI_TIẾT_ĐƠN_HÀNG'!$H$2:$H$500,'CHI_TIẾT_ĐƠN_HÀNG'!$B$2:$B$500,A138))</x:f>
      </x:c>
      <x:c r="H138" s="35" t="str">
        <x:f>IF(A138="","",SUMIFS('THANH_TOÁN'!$D$2:$D$500,'THANH_TOÁN'!$B$2:$B$500,A138,'THANH_TOÁN'!$F$2:$F$500,"ĐÃ XÁC NHẬN"))</x:f>
      </x:c>
      <x:c r="I138" s="35" t="str">
        <x:f>IF(A138="","",MAX(0,G138-H138))</x:f>
      </x:c>
      <x:c r="J138" s="36" t="str">
        <x:f>IF(A138="","",IF(AND(E138&lt;TODAY(),I138&gt;0,K138&lt;&gt;"HỦY"),"QUÁ HẠN",""))</x:f>
      </x:c>
      <x:c r="K138" s="39"/>
      <x:c r="L138" s="39"/>
      <x:c r="M138" s="39"/>
      <x:c r="N138" s="39"/>
      <x:c r="O138" s="42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41"/>
      <x:c r="E139" s="41"/>
      <x:c r="F139" s="39"/>
      <x:c r="G139" s="35" t="str">
        <x:f>IF(A139="","",SUMIFS('CHI_TIẾT_ĐƠN_HÀNG'!$H$2:$H$500,'CHI_TIẾT_ĐƠN_HÀNG'!$B$2:$B$500,A139))</x:f>
      </x:c>
      <x:c r="H139" s="35" t="str">
        <x:f>IF(A139="","",SUMIFS('THANH_TOÁN'!$D$2:$D$500,'THANH_TOÁN'!$B$2:$B$500,A139,'THANH_TOÁN'!$F$2:$F$500,"ĐÃ XÁC NHẬN"))</x:f>
      </x:c>
      <x:c r="I139" s="35" t="str">
        <x:f>IF(A139="","",MAX(0,G139-H139))</x:f>
      </x:c>
      <x:c r="J139" s="36" t="str">
        <x:f>IF(A139="","",IF(AND(E139&lt;TODAY(),I139&gt;0,K139&lt;&gt;"HỦY"),"QUÁ HẠN",""))</x:f>
      </x:c>
      <x:c r="K139" s="39"/>
      <x:c r="L139" s="39"/>
      <x:c r="M139" s="39"/>
      <x:c r="N139" s="39"/>
      <x:c r="O139" s="42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41"/>
      <x:c r="E140" s="41"/>
      <x:c r="F140" s="39"/>
      <x:c r="G140" s="35" t="str">
        <x:f>IF(A140="","",SUMIFS('CHI_TIẾT_ĐƠN_HÀNG'!$H$2:$H$500,'CHI_TIẾT_ĐƠN_HÀNG'!$B$2:$B$500,A140))</x:f>
      </x:c>
      <x:c r="H140" s="35" t="str">
        <x:f>IF(A140="","",SUMIFS('THANH_TOÁN'!$D$2:$D$500,'THANH_TOÁN'!$B$2:$B$500,A140,'THANH_TOÁN'!$F$2:$F$500,"ĐÃ XÁC NHẬN"))</x:f>
      </x:c>
      <x:c r="I140" s="35" t="str">
        <x:f>IF(A140="","",MAX(0,G140-H140))</x:f>
      </x:c>
      <x:c r="J140" s="36" t="str">
        <x:f>IF(A140="","",IF(AND(E140&lt;TODAY(),I140&gt;0,K140&lt;&gt;"HỦY"),"QUÁ HẠN",""))</x:f>
      </x:c>
      <x:c r="K140" s="39"/>
      <x:c r="L140" s="39"/>
      <x:c r="M140" s="39"/>
      <x:c r="N140" s="39"/>
      <x:c r="O140" s="42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41"/>
      <x:c r="E141" s="41"/>
      <x:c r="F141" s="39"/>
      <x:c r="G141" s="35" t="str">
        <x:f>IF(A141="","",SUMIFS('CHI_TIẾT_ĐƠN_HÀNG'!$H$2:$H$500,'CHI_TIẾT_ĐƠN_HÀNG'!$B$2:$B$500,A141))</x:f>
      </x:c>
      <x:c r="H141" s="35" t="str">
        <x:f>IF(A141="","",SUMIFS('THANH_TOÁN'!$D$2:$D$500,'THANH_TOÁN'!$B$2:$B$500,A141,'THANH_TOÁN'!$F$2:$F$500,"ĐÃ XÁC NHẬN"))</x:f>
      </x:c>
      <x:c r="I141" s="35" t="str">
        <x:f>IF(A141="","",MAX(0,G141-H141))</x:f>
      </x:c>
      <x:c r="J141" s="36" t="str">
        <x:f>IF(A141="","",IF(AND(E141&lt;TODAY(),I141&gt;0,K141&lt;&gt;"HỦY"),"QUÁ HẠN",""))</x:f>
      </x:c>
      <x:c r="K141" s="39"/>
      <x:c r="L141" s="39"/>
      <x:c r="M141" s="39"/>
      <x:c r="N141" s="39"/>
      <x:c r="O141" s="42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41"/>
      <x:c r="E142" s="41"/>
      <x:c r="F142" s="39"/>
      <x:c r="G142" s="35" t="str">
        <x:f>IF(A142="","",SUMIFS('CHI_TIẾT_ĐƠN_HÀNG'!$H$2:$H$500,'CHI_TIẾT_ĐƠN_HÀNG'!$B$2:$B$500,A142))</x:f>
      </x:c>
      <x:c r="H142" s="35" t="str">
        <x:f>IF(A142="","",SUMIFS('THANH_TOÁN'!$D$2:$D$500,'THANH_TOÁN'!$B$2:$B$500,A142,'THANH_TOÁN'!$F$2:$F$500,"ĐÃ XÁC NHẬN"))</x:f>
      </x:c>
      <x:c r="I142" s="35" t="str">
        <x:f>IF(A142="","",MAX(0,G142-H142))</x:f>
      </x:c>
      <x:c r="J142" s="36" t="str">
        <x:f>IF(A142="","",IF(AND(E142&lt;TODAY(),I142&gt;0,K142&lt;&gt;"HỦY"),"QUÁ HẠN",""))</x:f>
      </x:c>
      <x:c r="K142" s="39"/>
      <x:c r="L142" s="39"/>
      <x:c r="M142" s="39"/>
      <x:c r="N142" s="39"/>
      <x:c r="O142" s="42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41"/>
      <x:c r="E143" s="41"/>
      <x:c r="F143" s="39"/>
      <x:c r="G143" s="35" t="str">
        <x:f>IF(A143="","",SUMIFS('CHI_TIẾT_ĐƠN_HÀNG'!$H$2:$H$500,'CHI_TIẾT_ĐƠN_HÀNG'!$B$2:$B$500,A143))</x:f>
      </x:c>
      <x:c r="H143" s="35" t="str">
        <x:f>IF(A143="","",SUMIFS('THANH_TOÁN'!$D$2:$D$500,'THANH_TOÁN'!$B$2:$B$500,A143,'THANH_TOÁN'!$F$2:$F$500,"ĐÃ XÁC NHẬN"))</x:f>
      </x:c>
      <x:c r="I143" s="35" t="str">
        <x:f>IF(A143="","",MAX(0,G143-H143))</x:f>
      </x:c>
      <x:c r="J143" s="36" t="str">
        <x:f>IF(A143="","",IF(AND(E143&lt;TODAY(),I143&gt;0,K143&lt;&gt;"HỦY"),"QUÁ HẠN",""))</x:f>
      </x:c>
      <x:c r="K143" s="39"/>
      <x:c r="L143" s="39"/>
      <x:c r="M143" s="39"/>
      <x:c r="N143" s="39"/>
      <x:c r="O143" s="42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41"/>
      <x:c r="E144" s="41"/>
      <x:c r="F144" s="39"/>
      <x:c r="G144" s="35" t="str">
        <x:f>IF(A144="","",SUMIFS('CHI_TIẾT_ĐƠN_HÀNG'!$H$2:$H$500,'CHI_TIẾT_ĐƠN_HÀNG'!$B$2:$B$500,A144))</x:f>
      </x:c>
      <x:c r="H144" s="35" t="str">
        <x:f>IF(A144="","",SUMIFS('THANH_TOÁN'!$D$2:$D$500,'THANH_TOÁN'!$B$2:$B$500,A144,'THANH_TOÁN'!$F$2:$F$500,"ĐÃ XÁC NHẬN"))</x:f>
      </x:c>
      <x:c r="I144" s="35" t="str">
        <x:f>IF(A144="","",MAX(0,G144-H144))</x:f>
      </x:c>
      <x:c r="J144" s="36" t="str">
        <x:f>IF(A144="","",IF(AND(E144&lt;TODAY(),I144&gt;0,K144&lt;&gt;"HỦY"),"QUÁ HẠN",""))</x:f>
      </x:c>
      <x:c r="K144" s="39"/>
      <x:c r="L144" s="39"/>
      <x:c r="M144" s="39"/>
      <x:c r="N144" s="39"/>
      <x:c r="O144" s="42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41"/>
      <x:c r="E145" s="41"/>
      <x:c r="F145" s="39"/>
      <x:c r="G145" s="35" t="str">
        <x:f>IF(A145="","",SUMIFS('CHI_TIẾT_ĐƠN_HÀNG'!$H$2:$H$500,'CHI_TIẾT_ĐƠN_HÀNG'!$B$2:$B$500,A145))</x:f>
      </x:c>
      <x:c r="H145" s="35" t="str">
        <x:f>IF(A145="","",SUMIFS('THANH_TOÁN'!$D$2:$D$500,'THANH_TOÁN'!$B$2:$B$500,A145,'THANH_TOÁN'!$F$2:$F$500,"ĐÃ XÁC NHẬN"))</x:f>
      </x:c>
      <x:c r="I145" s="35" t="str">
        <x:f>IF(A145="","",MAX(0,G145-H145))</x:f>
      </x:c>
      <x:c r="J145" s="36" t="str">
        <x:f>IF(A145="","",IF(AND(E145&lt;TODAY(),I145&gt;0,K145&lt;&gt;"HỦY"),"QUÁ HẠN",""))</x:f>
      </x:c>
      <x:c r="K145" s="39"/>
      <x:c r="L145" s="39"/>
      <x:c r="M145" s="39"/>
      <x:c r="N145" s="39"/>
      <x:c r="O145" s="42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41"/>
      <x:c r="E146" s="41"/>
      <x:c r="F146" s="39"/>
      <x:c r="G146" s="35" t="str">
        <x:f>IF(A146="","",SUMIFS('CHI_TIẾT_ĐƠN_HÀNG'!$H$2:$H$500,'CHI_TIẾT_ĐƠN_HÀNG'!$B$2:$B$500,A146))</x:f>
      </x:c>
      <x:c r="H146" s="35" t="str">
        <x:f>IF(A146="","",SUMIFS('THANH_TOÁN'!$D$2:$D$500,'THANH_TOÁN'!$B$2:$B$500,A146,'THANH_TOÁN'!$F$2:$F$500,"ĐÃ XÁC NHẬN"))</x:f>
      </x:c>
      <x:c r="I146" s="35" t="str">
        <x:f>IF(A146="","",MAX(0,G146-H146))</x:f>
      </x:c>
      <x:c r="J146" s="36" t="str">
        <x:f>IF(A146="","",IF(AND(E146&lt;TODAY(),I146&gt;0,K146&lt;&gt;"HỦY"),"QUÁ HẠN",""))</x:f>
      </x:c>
      <x:c r="K146" s="39"/>
      <x:c r="L146" s="39"/>
      <x:c r="M146" s="39"/>
      <x:c r="N146" s="39"/>
      <x:c r="O146" s="42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41"/>
      <x:c r="E147" s="41"/>
      <x:c r="F147" s="39"/>
      <x:c r="G147" s="35" t="str">
        <x:f>IF(A147="","",SUMIFS('CHI_TIẾT_ĐƠN_HÀNG'!$H$2:$H$500,'CHI_TIẾT_ĐƠN_HÀNG'!$B$2:$B$500,A147))</x:f>
      </x:c>
      <x:c r="H147" s="35" t="str">
        <x:f>IF(A147="","",SUMIFS('THANH_TOÁN'!$D$2:$D$500,'THANH_TOÁN'!$B$2:$B$500,A147,'THANH_TOÁN'!$F$2:$F$500,"ĐÃ XÁC NHẬN"))</x:f>
      </x:c>
      <x:c r="I147" s="35" t="str">
        <x:f>IF(A147="","",MAX(0,G147-H147))</x:f>
      </x:c>
      <x:c r="J147" s="36" t="str">
        <x:f>IF(A147="","",IF(AND(E147&lt;TODAY(),I147&gt;0,K147&lt;&gt;"HỦY"),"QUÁ HẠN",""))</x:f>
      </x:c>
      <x:c r="K147" s="39"/>
      <x:c r="L147" s="39"/>
      <x:c r="M147" s="39"/>
      <x:c r="N147" s="39"/>
      <x:c r="O147" s="42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41"/>
      <x:c r="E148" s="41"/>
      <x:c r="F148" s="39"/>
      <x:c r="G148" s="35" t="str">
        <x:f>IF(A148="","",SUMIFS('CHI_TIẾT_ĐƠN_HÀNG'!$H$2:$H$500,'CHI_TIẾT_ĐƠN_HÀNG'!$B$2:$B$500,A148))</x:f>
      </x:c>
      <x:c r="H148" s="35" t="str">
        <x:f>IF(A148="","",SUMIFS('THANH_TOÁN'!$D$2:$D$500,'THANH_TOÁN'!$B$2:$B$500,A148,'THANH_TOÁN'!$F$2:$F$500,"ĐÃ XÁC NHẬN"))</x:f>
      </x:c>
      <x:c r="I148" s="35" t="str">
        <x:f>IF(A148="","",MAX(0,G148-H148))</x:f>
      </x:c>
      <x:c r="J148" s="36" t="str">
        <x:f>IF(A148="","",IF(AND(E148&lt;TODAY(),I148&gt;0,K148&lt;&gt;"HỦY"),"QUÁ HẠN",""))</x:f>
      </x:c>
      <x:c r="K148" s="39"/>
      <x:c r="L148" s="39"/>
      <x:c r="M148" s="39"/>
      <x:c r="N148" s="39"/>
      <x:c r="O148" s="42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41"/>
      <x:c r="E149" s="41"/>
      <x:c r="F149" s="39"/>
      <x:c r="G149" s="35" t="str">
        <x:f>IF(A149="","",SUMIFS('CHI_TIẾT_ĐƠN_HÀNG'!$H$2:$H$500,'CHI_TIẾT_ĐƠN_HÀNG'!$B$2:$B$500,A149))</x:f>
      </x:c>
      <x:c r="H149" s="35" t="str">
        <x:f>IF(A149="","",SUMIFS('THANH_TOÁN'!$D$2:$D$500,'THANH_TOÁN'!$B$2:$B$500,A149,'THANH_TOÁN'!$F$2:$F$500,"ĐÃ XÁC NHẬN"))</x:f>
      </x:c>
      <x:c r="I149" s="35" t="str">
        <x:f>IF(A149="","",MAX(0,G149-H149))</x:f>
      </x:c>
      <x:c r="J149" s="36" t="str">
        <x:f>IF(A149="","",IF(AND(E149&lt;TODAY(),I149&gt;0,K149&lt;&gt;"HỦY"),"QUÁ HẠN",""))</x:f>
      </x:c>
      <x:c r="K149" s="39"/>
      <x:c r="L149" s="39"/>
      <x:c r="M149" s="39"/>
      <x:c r="N149" s="39"/>
      <x:c r="O149" s="42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41"/>
      <x:c r="E150" s="41"/>
      <x:c r="F150" s="39"/>
      <x:c r="G150" s="35" t="str">
        <x:f>IF(A150="","",SUMIFS('CHI_TIẾT_ĐƠN_HÀNG'!$H$2:$H$500,'CHI_TIẾT_ĐƠN_HÀNG'!$B$2:$B$500,A150))</x:f>
      </x:c>
      <x:c r="H150" s="35" t="str">
        <x:f>IF(A150="","",SUMIFS('THANH_TOÁN'!$D$2:$D$500,'THANH_TOÁN'!$B$2:$B$500,A150,'THANH_TOÁN'!$F$2:$F$500,"ĐÃ XÁC NHẬN"))</x:f>
      </x:c>
      <x:c r="I150" s="35" t="str">
        <x:f>IF(A150="","",MAX(0,G150-H150))</x:f>
      </x:c>
      <x:c r="J150" s="36" t="str">
        <x:f>IF(A150="","",IF(AND(E150&lt;TODAY(),I150&gt;0,K150&lt;&gt;"HỦY"),"QUÁ HẠN",""))</x:f>
      </x:c>
      <x:c r="K150" s="39"/>
      <x:c r="L150" s="39"/>
      <x:c r="M150" s="39"/>
      <x:c r="N150" s="39"/>
      <x:c r="O150" s="42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41"/>
      <x:c r="E151" s="41"/>
      <x:c r="F151" s="39"/>
      <x:c r="G151" s="35" t="str">
        <x:f>IF(A151="","",SUMIFS('CHI_TIẾT_ĐƠN_HÀNG'!$H$2:$H$500,'CHI_TIẾT_ĐƠN_HÀNG'!$B$2:$B$500,A151))</x:f>
      </x:c>
      <x:c r="H151" s="35" t="str">
        <x:f>IF(A151="","",SUMIFS('THANH_TOÁN'!$D$2:$D$500,'THANH_TOÁN'!$B$2:$B$500,A151,'THANH_TOÁN'!$F$2:$F$500,"ĐÃ XÁC NHẬN"))</x:f>
      </x:c>
      <x:c r="I151" s="35" t="str">
        <x:f>IF(A151="","",MAX(0,G151-H151))</x:f>
      </x:c>
      <x:c r="J151" s="36" t="str">
        <x:f>IF(A151="","",IF(AND(E151&lt;TODAY(),I151&gt;0,K151&lt;&gt;"HỦY"),"QUÁ HẠN",""))</x:f>
      </x:c>
      <x:c r="K151" s="39"/>
      <x:c r="L151" s="39"/>
      <x:c r="M151" s="39"/>
      <x:c r="N151" s="39"/>
      <x:c r="O151" s="42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41"/>
      <x:c r="E152" s="41"/>
      <x:c r="F152" s="39"/>
      <x:c r="G152" s="35" t="str">
        <x:f>IF(A152="","",SUMIFS('CHI_TIẾT_ĐƠN_HÀNG'!$H$2:$H$500,'CHI_TIẾT_ĐƠN_HÀNG'!$B$2:$B$500,A152))</x:f>
      </x:c>
      <x:c r="H152" s="35" t="str">
        <x:f>IF(A152="","",SUMIFS('THANH_TOÁN'!$D$2:$D$500,'THANH_TOÁN'!$B$2:$B$500,A152,'THANH_TOÁN'!$F$2:$F$500,"ĐÃ XÁC NHẬN"))</x:f>
      </x:c>
      <x:c r="I152" s="35" t="str">
        <x:f>IF(A152="","",MAX(0,G152-H152))</x:f>
      </x:c>
      <x:c r="J152" s="36" t="str">
        <x:f>IF(A152="","",IF(AND(E152&lt;TODAY(),I152&gt;0,K152&lt;&gt;"HỦY"),"QUÁ HẠN",""))</x:f>
      </x:c>
      <x:c r="K152" s="39"/>
      <x:c r="L152" s="39"/>
      <x:c r="M152" s="39"/>
      <x:c r="N152" s="39"/>
      <x:c r="O152" s="42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41"/>
      <x:c r="E153" s="41"/>
      <x:c r="F153" s="39"/>
      <x:c r="G153" s="35" t="str">
        <x:f>IF(A153="","",SUMIFS('CHI_TIẾT_ĐƠN_HÀNG'!$H$2:$H$500,'CHI_TIẾT_ĐƠN_HÀNG'!$B$2:$B$500,A153))</x:f>
      </x:c>
      <x:c r="H153" s="35" t="str">
        <x:f>IF(A153="","",SUMIFS('THANH_TOÁN'!$D$2:$D$500,'THANH_TOÁN'!$B$2:$B$500,A153,'THANH_TOÁN'!$F$2:$F$500,"ĐÃ XÁC NHẬN"))</x:f>
      </x:c>
      <x:c r="I153" s="35" t="str">
        <x:f>IF(A153="","",MAX(0,G153-H153))</x:f>
      </x:c>
      <x:c r="J153" s="36" t="str">
        <x:f>IF(A153="","",IF(AND(E153&lt;TODAY(),I153&gt;0,K153&lt;&gt;"HỦY"),"QUÁ HẠN",""))</x:f>
      </x:c>
      <x:c r="K153" s="39"/>
      <x:c r="L153" s="39"/>
      <x:c r="M153" s="39"/>
      <x:c r="N153" s="39"/>
      <x:c r="O153" s="42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41"/>
      <x:c r="E154" s="41"/>
      <x:c r="F154" s="39"/>
      <x:c r="G154" s="35" t="str">
        <x:f>IF(A154="","",SUMIFS('CHI_TIẾT_ĐƠN_HÀNG'!$H$2:$H$500,'CHI_TIẾT_ĐƠN_HÀNG'!$B$2:$B$500,A154))</x:f>
      </x:c>
      <x:c r="H154" s="35" t="str">
        <x:f>IF(A154="","",SUMIFS('THANH_TOÁN'!$D$2:$D$500,'THANH_TOÁN'!$B$2:$B$500,A154,'THANH_TOÁN'!$F$2:$F$500,"ĐÃ XÁC NHẬN"))</x:f>
      </x:c>
      <x:c r="I154" s="35" t="str">
        <x:f>IF(A154="","",MAX(0,G154-H154))</x:f>
      </x:c>
      <x:c r="J154" s="36" t="str">
        <x:f>IF(A154="","",IF(AND(E154&lt;TODAY(),I154&gt;0,K154&lt;&gt;"HỦY"),"QUÁ HẠN",""))</x:f>
      </x:c>
      <x:c r="K154" s="39"/>
      <x:c r="L154" s="39"/>
      <x:c r="M154" s="39"/>
      <x:c r="N154" s="39"/>
      <x:c r="O154" s="42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41"/>
      <x:c r="E155" s="41"/>
      <x:c r="F155" s="39"/>
      <x:c r="G155" s="35" t="str">
        <x:f>IF(A155="","",SUMIFS('CHI_TIẾT_ĐƠN_HÀNG'!$H$2:$H$500,'CHI_TIẾT_ĐƠN_HÀNG'!$B$2:$B$500,A155))</x:f>
      </x:c>
      <x:c r="H155" s="35" t="str">
        <x:f>IF(A155="","",SUMIFS('THANH_TOÁN'!$D$2:$D$500,'THANH_TOÁN'!$B$2:$B$500,A155,'THANH_TOÁN'!$F$2:$F$500,"ĐÃ XÁC NHẬN"))</x:f>
      </x:c>
      <x:c r="I155" s="35" t="str">
        <x:f>IF(A155="","",MAX(0,G155-H155))</x:f>
      </x:c>
      <x:c r="J155" s="36" t="str">
        <x:f>IF(A155="","",IF(AND(E155&lt;TODAY(),I155&gt;0,K155&lt;&gt;"HỦY"),"QUÁ HẠN",""))</x:f>
      </x:c>
      <x:c r="K155" s="39"/>
      <x:c r="L155" s="39"/>
      <x:c r="M155" s="39"/>
      <x:c r="N155" s="39"/>
      <x:c r="O155" s="42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41"/>
      <x:c r="E156" s="41"/>
      <x:c r="F156" s="39"/>
      <x:c r="G156" s="35" t="str">
        <x:f>IF(A156="","",SUMIFS('CHI_TIẾT_ĐƠN_HÀNG'!$H$2:$H$500,'CHI_TIẾT_ĐƠN_HÀNG'!$B$2:$B$500,A156))</x:f>
      </x:c>
      <x:c r="H156" s="35" t="str">
        <x:f>IF(A156="","",SUMIFS('THANH_TOÁN'!$D$2:$D$500,'THANH_TOÁN'!$B$2:$B$500,A156,'THANH_TOÁN'!$F$2:$F$500,"ĐÃ XÁC NHẬN"))</x:f>
      </x:c>
      <x:c r="I156" s="35" t="str">
        <x:f>IF(A156="","",MAX(0,G156-H156))</x:f>
      </x:c>
      <x:c r="J156" s="36" t="str">
        <x:f>IF(A156="","",IF(AND(E156&lt;TODAY(),I156&gt;0,K156&lt;&gt;"HỦY"),"QUÁ HẠN",""))</x:f>
      </x:c>
      <x:c r="K156" s="39"/>
      <x:c r="L156" s="39"/>
      <x:c r="M156" s="39"/>
      <x:c r="N156" s="39"/>
      <x:c r="O156" s="42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41"/>
      <x:c r="E157" s="41"/>
      <x:c r="F157" s="39"/>
      <x:c r="G157" s="35" t="str">
        <x:f>IF(A157="","",SUMIFS('CHI_TIẾT_ĐƠN_HÀNG'!$H$2:$H$500,'CHI_TIẾT_ĐƠN_HÀNG'!$B$2:$B$500,A157))</x:f>
      </x:c>
      <x:c r="H157" s="35" t="str">
        <x:f>IF(A157="","",SUMIFS('THANH_TOÁN'!$D$2:$D$500,'THANH_TOÁN'!$B$2:$B$500,A157,'THANH_TOÁN'!$F$2:$F$500,"ĐÃ XÁC NHẬN"))</x:f>
      </x:c>
      <x:c r="I157" s="35" t="str">
        <x:f>IF(A157="","",MAX(0,G157-H157))</x:f>
      </x:c>
      <x:c r="J157" s="36" t="str">
        <x:f>IF(A157="","",IF(AND(E157&lt;TODAY(),I157&gt;0,K157&lt;&gt;"HỦY"),"QUÁ HẠN",""))</x:f>
      </x:c>
      <x:c r="K157" s="39"/>
      <x:c r="L157" s="39"/>
      <x:c r="M157" s="39"/>
      <x:c r="N157" s="39"/>
      <x:c r="O157" s="42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41"/>
      <x:c r="E158" s="41"/>
      <x:c r="F158" s="39"/>
      <x:c r="G158" s="35" t="str">
        <x:f>IF(A158="","",SUMIFS('CHI_TIẾT_ĐƠN_HÀNG'!$H$2:$H$500,'CHI_TIẾT_ĐƠN_HÀNG'!$B$2:$B$500,A158))</x:f>
      </x:c>
      <x:c r="H158" s="35" t="str">
        <x:f>IF(A158="","",SUMIFS('THANH_TOÁN'!$D$2:$D$500,'THANH_TOÁN'!$B$2:$B$500,A158,'THANH_TOÁN'!$F$2:$F$500,"ĐÃ XÁC NHẬN"))</x:f>
      </x:c>
      <x:c r="I158" s="35" t="str">
        <x:f>IF(A158="","",MAX(0,G158-H158))</x:f>
      </x:c>
      <x:c r="J158" s="36" t="str">
        <x:f>IF(A158="","",IF(AND(E158&lt;TODAY(),I158&gt;0,K158&lt;&gt;"HỦY"),"QUÁ HẠN",""))</x:f>
      </x:c>
      <x:c r="K158" s="39"/>
      <x:c r="L158" s="39"/>
      <x:c r="M158" s="39"/>
      <x:c r="N158" s="39"/>
      <x:c r="O158" s="42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41"/>
      <x:c r="E159" s="41"/>
      <x:c r="F159" s="39"/>
      <x:c r="G159" s="35" t="str">
        <x:f>IF(A159="","",SUMIFS('CHI_TIẾT_ĐƠN_HÀNG'!$H$2:$H$500,'CHI_TIẾT_ĐƠN_HÀNG'!$B$2:$B$500,A159))</x:f>
      </x:c>
      <x:c r="H159" s="35" t="str">
        <x:f>IF(A159="","",SUMIFS('THANH_TOÁN'!$D$2:$D$500,'THANH_TOÁN'!$B$2:$B$500,A159,'THANH_TOÁN'!$F$2:$F$500,"ĐÃ XÁC NHẬN"))</x:f>
      </x:c>
      <x:c r="I159" s="35" t="str">
        <x:f>IF(A159="","",MAX(0,G159-H159))</x:f>
      </x:c>
      <x:c r="J159" s="36" t="str">
        <x:f>IF(A159="","",IF(AND(E159&lt;TODAY(),I159&gt;0,K159&lt;&gt;"HỦY"),"QUÁ HẠN",""))</x:f>
      </x:c>
      <x:c r="K159" s="39"/>
      <x:c r="L159" s="39"/>
      <x:c r="M159" s="39"/>
      <x:c r="N159" s="39"/>
      <x:c r="O159" s="42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41"/>
      <x:c r="E160" s="41"/>
      <x:c r="F160" s="39"/>
      <x:c r="G160" s="35" t="str">
        <x:f>IF(A160="","",SUMIFS('CHI_TIẾT_ĐƠN_HÀNG'!$H$2:$H$500,'CHI_TIẾT_ĐƠN_HÀNG'!$B$2:$B$500,A160))</x:f>
      </x:c>
      <x:c r="H160" s="35" t="str">
        <x:f>IF(A160="","",SUMIFS('THANH_TOÁN'!$D$2:$D$500,'THANH_TOÁN'!$B$2:$B$500,A160,'THANH_TOÁN'!$F$2:$F$500,"ĐÃ XÁC NHẬN"))</x:f>
      </x:c>
      <x:c r="I160" s="35" t="str">
        <x:f>IF(A160="","",MAX(0,G160-H160))</x:f>
      </x:c>
      <x:c r="J160" s="36" t="str">
        <x:f>IF(A160="","",IF(AND(E160&lt;TODAY(),I160&gt;0,K160&lt;&gt;"HỦY"),"QUÁ HẠN",""))</x:f>
      </x:c>
      <x:c r="K160" s="39"/>
      <x:c r="L160" s="39"/>
      <x:c r="M160" s="39"/>
      <x:c r="N160" s="39"/>
      <x:c r="O160" s="42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41"/>
      <x:c r="E161" s="41"/>
      <x:c r="F161" s="39"/>
      <x:c r="G161" s="35" t="str">
        <x:f>IF(A161="","",SUMIFS('CHI_TIẾT_ĐƠN_HÀNG'!$H$2:$H$500,'CHI_TIẾT_ĐƠN_HÀNG'!$B$2:$B$500,A161))</x:f>
      </x:c>
      <x:c r="H161" s="35" t="str">
        <x:f>IF(A161="","",SUMIFS('THANH_TOÁN'!$D$2:$D$500,'THANH_TOÁN'!$B$2:$B$500,A161,'THANH_TOÁN'!$F$2:$F$500,"ĐÃ XÁC NHẬN"))</x:f>
      </x:c>
      <x:c r="I161" s="35" t="str">
        <x:f>IF(A161="","",MAX(0,G161-H161))</x:f>
      </x:c>
      <x:c r="J161" s="36" t="str">
        <x:f>IF(A161="","",IF(AND(E161&lt;TODAY(),I161&gt;0,K161&lt;&gt;"HỦY"),"QUÁ HẠN",""))</x:f>
      </x:c>
      <x:c r="K161" s="39"/>
      <x:c r="L161" s="39"/>
      <x:c r="M161" s="39"/>
      <x:c r="N161" s="39"/>
      <x:c r="O161" s="42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41"/>
      <x:c r="E162" s="41"/>
      <x:c r="F162" s="39"/>
      <x:c r="G162" s="35" t="str">
        <x:f>IF(A162="","",SUMIFS('CHI_TIẾT_ĐƠN_HÀNG'!$H$2:$H$500,'CHI_TIẾT_ĐƠN_HÀNG'!$B$2:$B$500,A162))</x:f>
      </x:c>
      <x:c r="H162" s="35" t="str">
        <x:f>IF(A162="","",SUMIFS('THANH_TOÁN'!$D$2:$D$500,'THANH_TOÁN'!$B$2:$B$500,A162,'THANH_TOÁN'!$F$2:$F$500,"ĐÃ XÁC NHẬN"))</x:f>
      </x:c>
      <x:c r="I162" s="35" t="str">
        <x:f>IF(A162="","",MAX(0,G162-H162))</x:f>
      </x:c>
      <x:c r="J162" s="36" t="str">
        <x:f>IF(A162="","",IF(AND(E162&lt;TODAY(),I162&gt;0,K162&lt;&gt;"HỦY"),"QUÁ HẠN",""))</x:f>
      </x:c>
      <x:c r="K162" s="39"/>
      <x:c r="L162" s="39"/>
      <x:c r="M162" s="39"/>
      <x:c r="N162" s="39"/>
      <x:c r="O162" s="42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41"/>
      <x:c r="E163" s="41"/>
      <x:c r="F163" s="39"/>
      <x:c r="G163" s="35" t="str">
        <x:f>IF(A163="","",SUMIFS('CHI_TIẾT_ĐƠN_HÀNG'!$H$2:$H$500,'CHI_TIẾT_ĐƠN_HÀNG'!$B$2:$B$500,A163))</x:f>
      </x:c>
      <x:c r="H163" s="35" t="str">
        <x:f>IF(A163="","",SUMIFS('THANH_TOÁN'!$D$2:$D$500,'THANH_TOÁN'!$B$2:$B$500,A163,'THANH_TOÁN'!$F$2:$F$500,"ĐÃ XÁC NHẬN"))</x:f>
      </x:c>
      <x:c r="I163" s="35" t="str">
        <x:f>IF(A163="","",MAX(0,G163-H163))</x:f>
      </x:c>
      <x:c r="J163" s="36" t="str">
        <x:f>IF(A163="","",IF(AND(E163&lt;TODAY(),I163&gt;0,K163&lt;&gt;"HỦY"),"QUÁ HẠN",""))</x:f>
      </x:c>
      <x:c r="K163" s="39"/>
      <x:c r="L163" s="39"/>
      <x:c r="M163" s="39"/>
      <x:c r="N163" s="39"/>
      <x:c r="O163" s="42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41"/>
      <x:c r="E164" s="41"/>
      <x:c r="F164" s="39"/>
      <x:c r="G164" s="35" t="str">
        <x:f>IF(A164="","",SUMIFS('CHI_TIẾT_ĐƠN_HÀNG'!$H$2:$H$500,'CHI_TIẾT_ĐƠN_HÀNG'!$B$2:$B$500,A164))</x:f>
      </x:c>
      <x:c r="H164" s="35" t="str">
        <x:f>IF(A164="","",SUMIFS('THANH_TOÁN'!$D$2:$D$500,'THANH_TOÁN'!$B$2:$B$500,A164,'THANH_TOÁN'!$F$2:$F$500,"ĐÃ XÁC NHẬN"))</x:f>
      </x:c>
      <x:c r="I164" s="35" t="str">
        <x:f>IF(A164="","",MAX(0,G164-H164))</x:f>
      </x:c>
      <x:c r="J164" s="36" t="str">
        <x:f>IF(A164="","",IF(AND(E164&lt;TODAY(),I164&gt;0,K164&lt;&gt;"HỦY"),"QUÁ HẠN",""))</x:f>
      </x:c>
      <x:c r="K164" s="39"/>
      <x:c r="L164" s="39"/>
      <x:c r="M164" s="39"/>
      <x:c r="N164" s="39"/>
      <x:c r="O164" s="42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41"/>
      <x:c r="E165" s="41"/>
      <x:c r="F165" s="39"/>
      <x:c r="G165" s="35" t="str">
        <x:f>IF(A165="","",SUMIFS('CHI_TIẾT_ĐƠN_HÀNG'!$H$2:$H$500,'CHI_TIẾT_ĐƠN_HÀNG'!$B$2:$B$500,A165))</x:f>
      </x:c>
      <x:c r="H165" s="35" t="str">
        <x:f>IF(A165="","",SUMIFS('THANH_TOÁN'!$D$2:$D$500,'THANH_TOÁN'!$B$2:$B$500,A165,'THANH_TOÁN'!$F$2:$F$500,"ĐÃ XÁC NHẬN"))</x:f>
      </x:c>
      <x:c r="I165" s="35" t="str">
        <x:f>IF(A165="","",MAX(0,G165-H165))</x:f>
      </x:c>
      <x:c r="J165" s="36" t="str">
        <x:f>IF(A165="","",IF(AND(E165&lt;TODAY(),I165&gt;0,K165&lt;&gt;"HỦY"),"QUÁ HẠN",""))</x:f>
      </x:c>
      <x:c r="K165" s="39"/>
      <x:c r="L165" s="39"/>
      <x:c r="M165" s="39"/>
      <x:c r="N165" s="39"/>
      <x:c r="O165" s="42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41"/>
      <x:c r="E166" s="41"/>
      <x:c r="F166" s="39"/>
      <x:c r="G166" s="35" t="str">
        <x:f>IF(A166="","",SUMIFS('CHI_TIẾT_ĐƠN_HÀNG'!$H$2:$H$500,'CHI_TIẾT_ĐƠN_HÀNG'!$B$2:$B$500,A166))</x:f>
      </x:c>
      <x:c r="H166" s="35" t="str">
        <x:f>IF(A166="","",SUMIFS('THANH_TOÁN'!$D$2:$D$500,'THANH_TOÁN'!$B$2:$B$500,A166,'THANH_TOÁN'!$F$2:$F$500,"ĐÃ XÁC NHẬN"))</x:f>
      </x:c>
      <x:c r="I166" s="35" t="str">
        <x:f>IF(A166="","",MAX(0,G166-H166))</x:f>
      </x:c>
      <x:c r="J166" s="36" t="str">
        <x:f>IF(A166="","",IF(AND(E166&lt;TODAY(),I166&gt;0,K166&lt;&gt;"HỦY"),"QUÁ HẠN",""))</x:f>
      </x:c>
      <x:c r="K166" s="39"/>
      <x:c r="L166" s="39"/>
      <x:c r="M166" s="39"/>
      <x:c r="N166" s="39"/>
      <x:c r="O166" s="42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41"/>
      <x:c r="E167" s="41"/>
      <x:c r="F167" s="39"/>
      <x:c r="G167" s="35" t="str">
        <x:f>IF(A167="","",SUMIFS('CHI_TIẾT_ĐƠN_HÀNG'!$H$2:$H$500,'CHI_TIẾT_ĐƠN_HÀNG'!$B$2:$B$500,A167))</x:f>
      </x:c>
      <x:c r="H167" s="35" t="str">
        <x:f>IF(A167="","",SUMIFS('THANH_TOÁN'!$D$2:$D$500,'THANH_TOÁN'!$B$2:$B$500,A167,'THANH_TOÁN'!$F$2:$F$500,"ĐÃ XÁC NHẬN"))</x:f>
      </x:c>
      <x:c r="I167" s="35" t="str">
        <x:f>IF(A167="","",MAX(0,G167-H167))</x:f>
      </x:c>
      <x:c r="J167" s="36" t="str">
        <x:f>IF(A167="","",IF(AND(E167&lt;TODAY(),I167&gt;0,K167&lt;&gt;"HỦY"),"QUÁ HẠN",""))</x:f>
      </x:c>
      <x:c r="K167" s="39"/>
      <x:c r="L167" s="39"/>
      <x:c r="M167" s="39"/>
      <x:c r="N167" s="39"/>
      <x:c r="O167" s="42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41"/>
      <x:c r="E168" s="41"/>
      <x:c r="F168" s="39"/>
      <x:c r="G168" s="35" t="str">
        <x:f>IF(A168="","",SUMIFS('CHI_TIẾT_ĐƠN_HÀNG'!$H$2:$H$500,'CHI_TIẾT_ĐƠN_HÀNG'!$B$2:$B$500,A168))</x:f>
      </x:c>
      <x:c r="H168" s="35" t="str">
        <x:f>IF(A168="","",SUMIFS('THANH_TOÁN'!$D$2:$D$500,'THANH_TOÁN'!$B$2:$B$500,A168,'THANH_TOÁN'!$F$2:$F$500,"ĐÃ XÁC NHẬN"))</x:f>
      </x:c>
      <x:c r="I168" s="35" t="str">
        <x:f>IF(A168="","",MAX(0,G168-H168))</x:f>
      </x:c>
      <x:c r="J168" s="36" t="str">
        <x:f>IF(A168="","",IF(AND(E168&lt;TODAY(),I168&gt;0,K168&lt;&gt;"HỦY"),"QUÁ HẠN",""))</x:f>
      </x:c>
      <x:c r="K168" s="39"/>
      <x:c r="L168" s="39"/>
      <x:c r="M168" s="39"/>
      <x:c r="N168" s="39"/>
      <x:c r="O168" s="42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41"/>
      <x:c r="E169" s="41"/>
      <x:c r="F169" s="39"/>
      <x:c r="G169" s="35" t="str">
        <x:f>IF(A169="","",SUMIFS('CHI_TIẾT_ĐƠN_HÀNG'!$H$2:$H$500,'CHI_TIẾT_ĐƠN_HÀNG'!$B$2:$B$500,A169))</x:f>
      </x:c>
      <x:c r="H169" s="35" t="str">
        <x:f>IF(A169="","",SUMIFS('THANH_TOÁN'!$D$2:$D$500,'THANH_TOÁN'!$B$2:$B$500,A169,'THANH_TOÁN'!$F$2:$F$500,"ĐÃ XÁC NHẬN"))</x:f>
      </x:c>
      <x:c r="I169" s="35" t="str">
        <x:f>IF(A169="","",MAX(0,G169-H169))</x:f>
      </x:c>
      <x:c r="J169" s="36" t="str">
        <x:f>IF(A169="","",IF(AND(E169&lt;TODAY(),I169&gt;0,K169&lt;&gt;"HỦY"),"QUÁ HẠN",""))</x:f>
      </x:c>
      <x:c r="K169" s="39"/>
      <x:c r="L169" s="39"/>
      <x:c r="M169" s="39"/>
      <x:c r="N169" s="39"/>
      <x:c r="O169" s="42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41"/>
      <x:c r="E170" s="41"/>
      <x:c r="F170" s="39"/>
      <x:c r="G170" s="35" t="str">
        <x:f>IF(A170="","",SUMIFS('CHI_TIẾT_ĐƠN_HÀNG'!$H$2:$H$500,'CHI_TIẾT_ĐƠN_HÀNG'!$B$2:$B$500,A170))</x:f>
      </x:c>
      <x:c r="H170" s="35" t="str">
        <x:f>IF(A170="","",SUMIFS('THANH_TOÁN'!$D$2:$D$500,'THANH_TOÁN'!$B$2:$B$500,A170,'THANH_TOÁN'!$F$2:$F$500,"ĐÃ XÁC NHẬN"))</x:f>
      </x:c>
      <x:c r="I170" s="35" t="str">
        <x:f>IF(A170="","",MAX(0,G170-H170))</x:f>
      </x:c>
      <x:c r="J170" s="36" t="str">
        <x:f>IF(A170="","",IF(AND(E170&lt;TODAY(),I170&gt;0,K170&lt;&gt;"HỦY"),"QUÁ HẠN",""))</x:f>
      </x:c>
      <x:c r="K170" s="39"/>
      <x:c r="L170" s="39"/>
      <x:c r="M170" s="39"/>
      <x:c r="N170" s="39"/>
      <x:c r="O170" s="42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41"/>
      <x:c r="E171" s="41"/>
      <x:c r="F171" s="39"/>
      <x:c r="G171" s="35" t="str">
        <x:f>IF(A171="","",SUMIFS('CHI_TIẾT_ĐƠN_HÀNG'!$H$2:$H$500,'CHI_TIẾT_ĐƠN_HÀNG'!$B$2:$B$500,A171))</x:f>
      </x:c>
      <x:c r="H171" s="35" t="str">
        <x:f>IF(A171="","",SUMIFS('THANH_TOÁN'!$D$2:$D$500,'THANH_TOÁN'!$B$2:$B$500,A171,'THANH_TOÁN'!$F$2:$F$500,"ĐÃ XÁC NHẬN"))</x:f>
      </x:c>
      <x:c r="I171" s="35" t="str">
        <x:f>IF(A171="","",MAX(0,G171-H171))</x:f>
      </x:c>
      <x:c r="J171" s="36" t="str">
        <x:f>IF(A171="","",IF(AND(E171&lt;TODAY(),I171&gt;0,K171&lt;&gt;"HỦY"),"QUÁ HẠN",""))</x:f>
      </x:c>
      <x:c r="K171" s="39"/>
      <x:c r="L171" s="39"/>
      <x:c r="M171" s="39"/>
      <x:c r="N171" s="39"/>
      <x:c r="O171" s="42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41"/>
      <x:c r="E172" s="41"/>
      <x:c r="F172" s="39"/>
      <x:c r="G172" s="35" t="str">
        <x:f>IF(A172="","",SUMIFS('CHI_TIẾT_ĐƠN_HÀNG'!$H$2:$H$500,'CHI_TIẾT_ĐƠN_HÀNG'!$B$2:$B$500,A172))</x:f>
      </x:c>
      <x:c r="H172" s="35" t="str">
        <x:f>IF(A172="","",SUMIFS('THANH_TOÁN'!$D$2:$D$500,'THANH_TOÁN'!$B$2:$B$500,A172,'THANH_TOÁN'!$F$2:$F$500,"ĐÃ XÁC NHẬN"))</x:f>
      </x:c>
      <x:c r="I172" s="35" t="str">
        <x:f>IF(A172="","",MAX(0,G172-H172))</x:f>
      </x:c>
      <x:c r="J172" s="36" t="str">
        <x:f>IF(A172="","",IF(AND(E172&lt;TODAY(),I172&gt;0,K172&lt;&gt;"HỦY"),"QUÁ HẠN",""))</x:f>
      </x:c>
      <x:c r="K172" s="39"/>
      <x:c r="L172" s="39"/>
      <x:c r="M172" s="39"/>
      <x:c r="N172" s="39"/>
      <x:c r="O172" s="42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41"/>
      <x:c r="E173" s="41"/>
      <x:c r="F173" s="39"/>
      <x:c r="G173" s="35" t="str">
        <x:f>IF(A173="","",SUMIFS('CHI_TIẾT_ĐƠN_HÀNG'!$H$2:$H$500,'CHI_TIẾT_ĐƠN_HÀNG'!$B$2:$B$500,A173))</x:f>
      </x:c>
      <x:c r="H173" s="35" t="str">
        <x:f>IF(A173="","",SUMIFS('THANH_TOÁN'!$D$2:$D$500,'THANH_TOÁN'!$B$2:$B$500,A173,'THANH_TOÁN'!$F$2:$F$500,"ĐÃ XÁC NHẬN"))</x:f>
      </x:c>
      <x:c r="I173" s="35" t="str">
        <x:f>IF(A173="","",MAX(0,G173-H173))</x:f>
      </x:c>
      <x:c r="J173" s="36" t="str">
        <x:f>IF(A173="","",IF(AND(E173&lt;TODAY(),I173&gt;0,K173&lt;&gt;"HỦY"),"QUÁ HẠN",""))</x:f>
      </x:c>
      <x:c r="K173" s="39"/>
      <x:c r="L173" s="39"/>
      <x:c r="M173" s="39"/>
      <x:c r="N173" s="39"/>
      <x:c r="O173" s="42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41"/>
      <x:c r="E174" s="41"/>
      <x:c r="F174" s="39"/>
      <x:c r="G174" s="35" t="str">
        <x:f>IF(A174="","",SUMIFS('CHI_TIẾT_ĐƠN_HÀNG'!$H$2:$H$500,'CHI_TIẾT_ĐƠN_HÀNG'!$B$2:$B$500,A174))</x:f>
      </x:c>
      <x:c r="H174" s="35" t="str">
        <x:f>IF(A174="","",SUMIFS('THANH_TOÁN'!$D$2:$D$500,'THANH_TOÁN'!$B$2:$B$500,A174,'THANH_TOÁN'!$F$2:$F$500,"ĐÃ XÁC NHẬN"))</x:f>
      </x:c>
      <x:c r="I174" s="35" t="str">
        <x:f>IF(A174="","",MAX(0,G174-H174))</x:f>
      </x:c>
      <x:c r="J174" s="36" t="str">
        <x:f>IF(A174="","",IF(AND(E174&lt;TODAY(),I174&gt;0,K174&lt;&gt;"HỦY"),"QUÁ HẠN",""))</x:f>
      </x:c>
      <x:c r="K174" s="39"/>
      <x:c r="L174" s="39"/>
      <x:c r="M174" s="39"/>
      <x:c r="N174" s="39"/>
      <x:c r="O174" s="42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41"/>
      <x:c r="E175" s="41"/>
      <x:c r="F175" s="39"/>
      <x:c r="G175" s="35" t="str">
        <x:f>IF(A175="","",SUMIFS('CHI_TIẾT_ĐƠN_HÀNG'!$H$2:$H$500,'CHI_TIẾT_ĐƠN_HÀNG'!$B$2:$B$500,A175))</x:f>
      </x:c>
      <x:c r="H175" s="35" t="str">
        <x:f>IF(A175="","",SUMIFS('THANH_TOÁN'!$D$2:$D$500,'THANH_TOÁN'!$B$2:$B$500,A175,'THANH_TOÁN'!$F$2:$F$500,"ĐÃ XÁC NHẬN"))</x:f>
      </x:c>
      <x:c r="I175" s="35" t="str">
        <x:f>IF(A175="","",MAX(0,G175-H175))</x:f>
      </x:c>
      <x:c r="J175" s="36" t="str">
        <x:f>IF(A175="","",IF(AND(E175&lt;TODAY(),I175&gt;0,K175&lt;&gt;"HỦY"),"QUÁ HẠN",""))</x:f>
      </x:c>
      <x:c r="K175" s="39"/>
      <x:c r="L175" s="39"/>
      <x:c r="M175" s="39"/>
      <x:c r="N175" s="39"/>
      <x:c r="O175" s="42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41"/>
      <x:c r="E176" s="41"/>
      <x:c r="F176" s="39"/>
      <x:c r="G176" s="35" t="str">
        <x:f>IF(A176="","",SUMIFS('CHI_TIẾT_ĐƠN_HÀNG'!$H$2:$H$500,'CHI_TIẾT_ĐƠN_HÀNG'!$B$2:$B$500,A176))</x:f>
      </x:c>
      <x:c r="H176" s="35" t="str">
        <x:f>IF(A176="","",SUMIFS('THANH_TOÁN'!$D$2:$D$500,'THANH_TOÁN'!$B$2:$B$500,A176,'THANH_TOÁN'!$F$2:$F$500,"ĐÃ XÁC NHẬN"))</x:f>
      </x:c>
      <x:c r="I176" s="35" t="str">
        <x:f>IF(A176="","",MAX(0,G176-H176))</x:f>
      </x:c>
      <x:c r="J176" s="36" t="str">
        <x:f>IF(A176="","",IF(AND(E176&lt;TODAY(),I176&gt;0,K176&lt;&gt;"HỦY"),"QUÁ HẠN",""))</x:f>
      </x:c>
      <x:c r="K176" s="39"/>
      <x:c r="L176" s="39"/>
      <x:c r="M176" s="39"/>
      <x:c r="N176" s="39"/>
      <x:c r="O176" s="42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41"/>
      <x:c r="E177" s="41"/>
      <x:c r="F177" s="39"/>
      <x:c r="G177" s="35" t="str">
        <x:f>IF(A177="","",SUMIFS('CHI_TIẾT_ĐƠN_HÀNG'!$H$2:$H$500,'CHI_TIẾT_ĐƠN_HÀNG'!$B$2:$B$500,A177))</x:f>
      </x:c>
      <x:c r="H177" s="35" t="str">
        <x:f>IF(A177="","",SUMIFS('THANH_TOÁN'!$D$2:$D$500,'THANH_TOÁN'!$B$2:$B$500,A177,'THANH_TOÁN'!$F$2:$F$500,"ĐÃ XÁC NHẬN"))</x:f>
      </x:c>
      <x:c r="I177" s="35" t="str">
        <x:f>IF(A177="","",MAX(0,G177-H177))</x:f>
      </x:c>
      <x:c r="J177" s="36" t="str">
        <x:f>IF(A177="","",IF(AND(E177&lt;TODAY(),I177&gt;0,K177&lt;&gt;"HỦY"),"QUÁ HẠN",""))</x:f>
      </x:c>
      <x:c r="K177" s="39"/>
      <x:c r="L177" s="39"/>
      <x:c r="M177" s="39"/>
      <x:c r="N177" s="39"/>
      <x:c r="O177" s="42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41"/>
      <x:c r="E178" s="41"/>
      <x:c r="F178" s="39"/>
      <x:c r="G178" s="35" t="str">
        <x:f>IF(A178="","",SUMIFS('CHI_TIẾT_ĐƠN_HÀNG'!$H$2:$H$500,'CHI_TIẾT_ĐƠN_HÀNG'!$B$2:$B$500,A178))</x:f>
      </x:c>
      <x:c r="H178" s="35" t="str">
        <x:f>IF(A178="","",SUMIFS('THANH_TOÁN'!$D$2:$D$500,'THANH_TOÁN'!$B$2:$B$500,A178,'THANH_TOÁN'!$F$2:$F$500,"ĐÃ XÁC NHẬN"))</x:f>
      </x:c>
      <x:c r="I178" s="35" t="str">
        <x:f>IF(A178="","",MAX(0,G178-H178))</x:f>
      </x:c>
      <x:c r="J178" s="36" t="str">
        <x:f>IF(A178="","",IF(AND(E178&lt;TODAY(),I178&gt;0,K178&lt;&gt;"HỦY"),"QUÁ HẠN",""))</x:f>
      </x:c>
      <x:c r="K178" s="39"/>
      <x:c r="L178" s="39"/>
      <x:c r="M178" s="39"/>
      <x:c r="N178" s="39"/>
      <x:c r="O178" s="42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41"/>
      <x:c r="E179" s="41"/>
      <x:c r="F179" s="39"/>
      <x:c r="G179" s="35" t="str">
        <x:f>IF(A179="","",SUMIFS('CHI_TIẾT_ĐƠN_HÀNG'!$H$2:$H$500,'CHI_TIẾT_ĐƠN_HÀNG'!$B$2:$B$500,A179))</x:f>
      </x:c>
      <x:c r="H179" s="35" t="str">
        <x:f>IF(A179="","",SUMIFS('THANH_TOÁN'!$D$2:$D$500,'THANH_TOÁN'!$B$2:$B$500,A179,'THANH_TOÁN'!$F$2:$F$500,"ĐÃ XÁC NHẬN"))</x:f>
      </x:c>
      <x:c r="I179" s="35" t="str">
        <x:f>IF(A179="","",MAX(0,G179-H179))</x:f>
      </x:c>
      <x:c r="J179" s="36" t="str">
        <x:f>IF(A179="","",IF(AND(E179&lt;TODAY(),I179&gt;0,K179&lt;&gt;"HỦY"),"QUÁ HẠN",""))</x:f>
      </x:c>
      <x:c r="K179" s="39"/>
      <x:c r="L179" s="39"/>
      <x:c r="M179" s="39"/>
      <x:c r="N179" s="39"/>
      <x:c r="O179" s="42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41"/>
      <x:c r="E180" s="41"/>
      <x:c r="F180" s="39"/>
      <x:c r="G180" s="35" t="str">
        <x:f>IF(A180="","",SUMIFS('CHI_TIẾT_ĐƠN_HÀNG'!$H$2:$H$500,'CHI_TIẾT_ĐƠN_HÀNG'!$B$2:$B$500,A180))</x:f>
      </x:c>
      <x:c r="H180" s="35" t="str">
        <x:f>IF(A180="","",SUMIFS('THANH_TOÁN'!$D$2:$D$500,'THANH_TOÁN'!$B$2:$B$500,A180,'THANH_TOÁN'!$F$2:$F$500,"ĐÃ XÁC NHẬN"))</x:f>
      </x:c>
      <x:c r="I180" s="35" t="str">
        <x:f>IF(A180="","",MAX(0,G180-H180))</x:f>
      </x:c>
      <x:c r="J180" s="36" t="str">
        <x:f>IF(A180="","",IF(AND(E180&lt;TODAY(),I180&gt;0,K180&lt;&gt;"HỦY"),"QUÁ HẠN",""))</x:f>
      </x:c>
      <x:c r="K180" s="39"/>
      <x:c r="L180" s="39"/>
      <x:c r="M180" s="39"/>
      <x:c r="N180" s="39"/>
      <x:c r="O180" s="42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41"/>
      <x:c r="E181" s="41"/>
      <x:c r="F181" s="39"/>
      <x:c r="G181" s="35" t="str">
        <x:f>IF(A181="","",SUMIFS('CHI_TIẾT_ĐƠN_HÀNG'!$H$2:$H$500,'CHI_TIẾT_ĐƠN_HÀNG'!$B$2:$B$500,A181))</x:f>
      </x:c>
      <x:c r="H181" s="35" t="str">
        <x:f>IF(A181="","",SUMIFS('THANH_TOÁN'!$D$2:$D$500,'THANH_TOÁN'!$B$2:$B$500,A181,'THANH_TOÁN'!$F$2:$F$500,"ĐÃ XÁC NHẬN"))</x:f>
      </x:c>
      <x:c r="I181" s="35" t="str">
        <x:f>IF(A181="","",MAX(0,G181-H181))</x:f>
      </x:c>
      <x:c r="J181" s="36" t="str">
        <x:f>IF(A181="","",IF(AND(E181&lt;TODAY(),I181&gt;0,K181&lt;&gt;"HỦY"),"QUÁ HẠN",""))</x:f>
      </x:c>
      <x:c r="K181" s="39"/>
      <x:c r="L181" s="39"/>
      <x:c r="M181" s="39"/>
      <x:c r="N181" s="39"/>
      <x:c r="O181" s="42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41"/>
      <x:c r="E182" s="41"/>
      <x:c r="F182" s="39"/>
      <x:c r="G182" s="35" t="str">
        <x:f>IF(A182="","",SUMIFS('CHI_TIẾT_ĐƠN_HÀNG'!$H$2:$H$500,'CHI_TIẾT_ĐƠN_HÀNG'!$B$2:$B$500,A182))</x:f>
      </x:c>
      <x:c r="H182" s="35" t="str">
        <x:f>IF(A182="","",SUMIFS('THANH_TOÁN'!$D$2:$D$500,'THANH_TOÁN'!$B$2:$B$500,A182,'THANH_TOÁN'!$F$2:$F$500,"ĐÃ XÁC NHẬN"))</x:f>
      </x:c>
      <x:c r="I182" s="35" t="str">
        <x:f>IF(A182="","",MAX(0,G182-H182))</x:f>
      </x:c>
      <x:c r="J182" s="36" t="str">
        <x:f>IF(A182="","",IF(AND(E182&lt;TODAY(),I182&gt;0,K182&lt;&gt;"HỦY"),"QUÁ HẠN",""))</x:f>
      </x:c>
      <x:c r="K182" s="39"/>
      <x:c r="L182" s="39"/>
      <x:c r="M182" s="39"/>
      <x:c r="N182" s="39"/>
      <x:c r="O182" s="42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41"/>
      <x:c r="E183" s="41"/>
      <x:c r="F183" s="39"/>
      <x:c r="G183" s="35" t="str">
        <x:f>IF(A183="","",SUMIFS('CHI_TIẾT_ĐƠN_HÀNG'!$H$2:$H$500,'CHI_TIẾT_ĐƠN_HÀNG'!$B$2:$B$500,A183))</x:f>
      </x:c>
      <x:c r="H183" s="35" t="str">
        <x:f>IF(A183="","",SUMIFS('THANH_TOÁN'!$D$2:$D$500,'THANH_TOÁN'!$B$2:$B$500,A183,'THANH_TOÁN'!$F$2:$F$500,"ĐÃ XÁC NHẬN"))</x:f>
      </x:c>
      <x:c r="I183" s="35" t="str">
        <x:f>IF(A183="","",MAX(0,G183-H183))</x:f>
      </x:c>
      <x:c r="J183" s="36" t="str">
        <x:f>IF(A183="","",IF(AND(E183&lt;TODAY(),I183&gt;0,K183&lt;&gt;"HỦY"),"QUÁ HẠN",""))</x:f>
      </x:c>
      <x:c r="K183" s="39"/>
      <x:c r="L183" s="39"/>
      <x:c r="M183" s="39"/>
      <x:c r="N183" s="39"/>
      <x:c r="O183" s="42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41"/>
      <x:c r="E184" s="41"/>
      <x:c r="F184" s="39"/>
      <x:c r="G184" s="35" t="str">
        <x:f>IF(A184="","",SUMIFS('CHI_TIẾT_ĐƠN_HÀNG'!$H$2:$H$500,'CHI_TIẾT_ĐƠN_HÀNG'!$B$2:$B$500,A184))</x:f>
      </x:c>
      <x:c r="H184" s="35" t="str">
        <x:f>IF(A184="","",SUMIFS('THANH_TOÁN'!$D$2:$D$500,'THANH_TOÁN'!$B$2:$B$500,A184,'THANH_TOÁN'!$F$2:$F$500,"ĐÃ XÁC NHẬN"))</x:f>
      </x:c>
      <x:c r="I184" s="35" t="str">
        <x:f>IF(A184="","",MAX(0,G184-H184))</x:f>
      </x:c>
      <x:c r="J184" s="36" t="str">
        <x:f>IF(A184="","",IF(AND(E184&lt;TODAY(),I184&gt;0,K184&lt;&gt;"HỦY"),"QUÁ HẠN",""))</x:f>
      </x:c>
      <x:c r="K184" s="39"/>
      <x:c r="L184" s="39"/>
      <x:c r="M184" s="39"/>
      <x:c r="N184" s="39"/>
      <x:c r="O184" s="42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41"/>
      <x:c r="E185" s="41"/>
      <x:c r="F185" s="39"/>
      <x:c r="G185" s="35" t="str">
        <x:f>IF(A185="","",SUMIFS('CHI_TIẾT_ĐƠN_HÀNG'!$H$2:$H$500,'CHI_TIẾT_ĐƠN_HÀNG'!$B$2:$B$500,A185))</x:f>
      </x:c>
      <x:c r="H185" s="35" t="str">
        <x:f>IF(A185="","",SUMIFS('THANH_TOÁN'!$D$2:$D$500,'THANH_TOÁN'!$B$2:$B$500,A185,'THANH_TOÁN'!$F$2:$F$500,"ĐÃ XÁC NHẬN"))</x:f>
      </x:c>
      <x:c r="I185" s="35" t="str">
        <x:f>IF(A185="","",MAX(0,G185-H185))</x:f>
      </x:c>
      <x:c r="J185" s="36" t="str">
        <x:f>IF(A185="","",IF(AND(E185&lt;TODAY(),I185&gt;0,K185&lt;&gt;"HỦY"),"QUÁ HẠN",""))</x:f>
      </x:c>
      <x:c r="K185" s="39"/>
      <x:c r="L185" s="39"/>
      <x:c r="M185" s="39"/>
      <x:c r="N185" s="39"/>
      <x:c r="O185" s="42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41"/>
      <x:c r="E186" s="41"/>
      <x:c r="F186" s="39"/>
      <x:c r="G186" s="35" t="str">
        <x:f>IF(A186="","",SUMIFS('CHI_TIẾT_ĐƠN_HÀNG'!$H$2:$H$500,'CHI_TIẾT_ĐƠN_HÀNG'!$B$2:$B$500,A186))</x:f>
      </x:c>
      <x:c r="H186" s="35" t="str">
        <x:f>IF(A186="","",SUMIFS('THANH_TOÁN'!$D$2:$D$500,'THANH_TOÁN'!$B$2:$B$500,A186,'THANH_TOÁN'!$F$2:$F$500,"ĐÃ XÁC NHẬN"))</x:f>
      </x:c>
      <x:c r="I186" s="35" t="str">
        <x:f>IF(A186="","",MAX(0,G186-H186))</x:f>
      </x:c>
      <x:c r="J186" s="36" t="str">
        <x:f>IF(A186="","",IF(AND(E186&lt;TODAY(),I186&gt;0,K186&lt;&gt;"HỦY"),"QUÁ HẠN",""))</x:f>
      </x:c>
      <x:c r="K186" s="39"/>
      <x:c r="L186" s="39"/>
      <x:c r="M186" s="39"/>
      <x:c r="N186" s="39"/>
      <x:c r="O186" s="42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41"/>
      <x:c r="E187" s="41"/>
      <x:c r="F187" s="39"/>
      <x:c r="G187" s="35" t="str">
        <x:f>IF(A187="","",SUMIFS('CHI_TIẾT_ĐƠN_HÀNG'!$H$2:$H$500,'CHI_TIẾT_ĐƠN_HÀNG'!$B$2:$B$500,A187))</x:f>
      </x:c>
      <x:c r="H187" s="35" t="str">
        <x:f>IF(A187="","",SUMIFS('THANH_TOÁN'!$D$2:$D$500,'THANH_TOÁN'!$B$2:$B$500,A187,'THANH_TOÁN'!$F$2:$F$500,"ĐÃ XÁC NHẬN"))</x:f>
      </x:c>
      <x:c r="I187" s="35" t="str">
        <x:f>IF(A187="","",MAX(0,G187-H187))</x:f>
      </x:c>
      <x:c r="J187" s="36" t="str">
        <x:f>IF(A187="","",IF(AND(E187&lt;TODAY(),I187&gt;0,K187&lt;&gt;"HỦY"),"QUÁ HẠN",""))</x:f>
      </x:c>
      <x:c r="K187" s="39"/>
      <x:c r="L187" s="39"/>
      <x:c r="M187" s="39"/>
      <x:c r="N187" s="39"/>
      <x:c r="O187" s="42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41"/>
      <x:c r="E188" s="41"/>
      <x:c r="F188" s="39"/>
      <x:c r="G188" s="35" t="str">
        <x:f>IF(A188="","",SUMIFS('CHI_TIẾT_ĐƠN_HÀNG'!$H$2:$H$500,'CHI_TIẾT_ĐƠN_HÀNG'!$B$2:$B$500,A188))</x:f>
      </x:c>
      <x:c r="H188" s="35" t="str">
        <x:f>IF(A188="","",SUMIFS('THANH_TOÁN'!$D$2:$D$500,'THANH_TOÁN'!$B$2:$B$500,A188,'THANH_TOÁN'!$F$2:$F$500,"ĐÃ XÁC NHẬN"))</x:f>
      </x:c>
      <x:c r="I188" s="35" t="str">
        <x:f>IF(A188="","",MAX(0,G188-H188))</x:f>
      </x:c>
      <x:c r="J188" s="36" t="str">
        <x:f>IF(A188="","",IF(AND(E188&lt;TODAY(),I188&gt;0,K188&lt;&gt;"HỦY"),"QUÁ HẠN",""))</x:f>
      </x:c>
      <x:c r="K188" s="39"/>
      <x:c r="L188" s="39"/>
      <x:c r="M188" s="39"/>
      <x:c r="N188" s="39"/>
      <x:c r="O188" s="42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41"/>
      <x:c r="E189" s="41"/>
      <x:c r="F189" s="39"/>
      <x:c r="G189" s="35" t="str">
        <x:f>IF(A189="","",SUMIFS('CHI_TIẾT_ĐƠN_HÀNG'!$H$2:$H$500,'CHI_TIẾT_ĐƠN_HÀNG'!$B$2:$B$500,A189))</x:f>
      </x:c>
      <x:c r="H189" s="35" t="str">
        <x:f>IF(A189="","",SUMIFS('THANH_TOÁN'!$D$2:$D$500,'THANH_TOÁN'!$B$2:$B$500,A189,'THANH_TOÁN'!$F$2:$F$500,"ĐÃ XÁC NHẬN"))</x:f>
      </x:c>
      <x:c r="I189" s="35" t="str">
        <x:f>IF(A189="","",MAX(0,G189-H189))</x:f>
      </x:c>
      <x:c r="J189" s="36" t="str">
        <x:f>IF(A189="","",IF(AND(E189&lt;TODAY(),I189&gt;0,K189&lt;&gt;"HỦY"),"QUÁ HẠN",""))</x:f>
      </x:c>
      <x:c r="K189" s="39"/>
      <x:c r="L189" s="39"/>
      <x:c r="M189" s="39"/>
      <x:c r="N189" s="39"/>
      <x:c r="O189" s="42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41"/>
      <x:c r="E190" s="41"/>
      <x:c r="F190" s="39"/>
      <x:c r="G190" s="35" t="str">
        <x:f>IF(A190="","",SUMIFS('CHI_TIẾT_ĐƠN_HÀNG'!$H$2:$H$500,'CHI_TIẾT_ĐƠN_HÀNG'!$B$2:$B$500,A190))</x:f>
      </x:c>
      <x:c r="H190" s="35" t="str">
        <x:f>IF(A190="","",SUMIFS('THANH_TOÁN'!$D$2:$D$500,'THANH_TOÁN'!$B$2:$B$500,A190,'THANH_TOÁN'!$F$2:$F$500,"ĐÃ XÁC NHẬN"))</x:f>
      </x:c>
      <x:c r="I190" s="35" t="str">
        <x:f>IF(A190="","",MAX(0,G190-H190))</x:f>
      </x:c>
      <x:c r="J190" s="36" t="str">
        <x:f>IF(A190="","",IF(AND(E190&lt;TODAY(),I190&gt;0,K190&lt;&gt;"HỦY"),"QUÁ HẠN",""))</x:f>
      </x:c>
      <x:c r="K190" s="39"/>
      <x:c r="L190" s="39"/>
      <x:c r="M190" s="39"/>
      <x:c r="N190" s="39"/>
      <x:c r="O190" s="42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41"/>
      <x:c r="E191" s="41"/>
      <x:c r="F191" s="39"/>
      <x:c r="G191" s="35" t="str">
        <x:f>IF(A191="","",SUMIFS('CHI_TIẾT_ĐƠN_HÀNG'!$H$2:$H$500,'CHI_TIẾT_ĐƠN_HÀNG'!$B$2:$B$500,A191))</x:f>
      </x:c>
      <x:c r="H191" s="35" t="str">
        <x:f>IF(A191="","",SUMIFS('THANH_TOÁN'!$D$2:$D$500,'THANH_TOÁN'!$B$2:$B$500,A191,'THANH_TOÁN'!$F$2:$F$500,"ĐÃ XÁC NHẬN"))</x:f>
      </x:c>
      <x:c r="I191" s="35" t="str">
        <x:f>IF(A191="","",MAX(0,G191-H191))</x:f>
      </x:c>
      <x:c r="J191" s="36" t="str">
        <x:f>IF(A191="","",IF(AND(E191&lt;TODAY(),I191&gt;0,K191&lt;&gt;"HỦY"),"QUÁ HẠN",""))</x:f>
      </x:c>
      <x:c r="K191" s="39"/>
      <x:c r="L191" s="39"/>
      <x:c r="M191" s="39"/>
      <x:c r="N191" s="39"/>
      <x:c r="O191" s="42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41"/>
      <x:c r="E192" s="41"/>
      <x:c r="F192" s="39"/>
      <x:c r="G192" s="35" t="str">
        <x:f>IF(A192="","",SUMIFS('CHI_TIẾT_ĐƠN_HÀNG'!$H$2:$H$500,'CHI_TIẾT_ĐƠN_HÀNG'!$B$2:$B$500,A192))</x:f>
      </x:c>
      <x:c r="H192" s="35" t="str">
        <x:f>IF(A192="","",SUMIFS('THANH_TOÁN'!$D$2:$D$500,'THANH_TOÁN'!$B$2:$B$500,A192,'THANH_TOÁN'!$F$2:$F$500,"ĐÃ XÁC NHẬN"))</x:f>
      </x:c>
      <x:c r="I192" s="35" t="str">
        <x:f>IF(A192="","",MAX(0,G192-H192))</x:f>
      </x:c>
      <x:c r="J192" s="36" t="str">
        <x:f>IF(A192="","",IF(AND(E192&lt;TODAY(),I192&gt;0,K192&lt;&gt;"HỦY"),"QUÁ HẠN",""))</x:f>
      </x:c>
      <x:c r="K192" s="39"/>
      <x:c r="L192" s="39"/>
      <x:c r="M192" s="39"/>
      <x:c r="N192" s="39"/>
      <x:c r="O192" s="42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41"/>
      <x:c r="E193" s="41"/>
      <x:c r="F193" s="39"/>
      <x:c r="G193" s="35" t="str">
        <x:f>IF(A193="","",SUMIFS('CHI_TIẾT_ĐƠN_HÀNG'!$H$2:$H$500,'CHI_TIẾT_ĐƠN_HÀNG'!$B$2:$B$500,A193))</x:f>
      </x:c>
      <x:c r="H193" s="35" t="str">
        <x:f>IF(A193="","",SUMIFS('THANH_TOÁN'!$D$2:$D$500,'THANH_TOÁN'!$B$2:$B$500,A193,'THANH_TOÁN'!$F$2:$F$500,"ĐÃ XÁC NHẬN"))</x:f>
      </x:c>
      <x:c r="I193" s="35" t="str">
        <x:f>IF(A193="","",MAX(0,G193-H193))</x:f>
      </x:c>
      <x:c r="J193" s="36" t="str">
        <x:f>IF(A193="","",IF(AND(E193&lt;TODAY(),I193&gt;0,K193&lt;&gt;"HỦY"),"QUÁ HẠN",""))</x:f>
      </x:c>
      <x:c r="K193" s="39"/>
      <x:c r="L193" s="39"/>
      <x:c r="M193" s="39"/>
      <x:c r="N193" s="39"/>
      <x:c r="O193" s="42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41"/>
      <x:c r="E194" s="41"/>
      <x:c r="F194" s="39"/>
      <x:c r="G194" s="35" t="str">
        <x:f>IF(A194="","",SUMIFS('CHI_TIẾT_ĐƠN_HÀNG'!$H$2:$H$500,'CHI_TIẾT_ĐƠN_HÀNG'!$B$2:$B$500,A194))</x:f>
      </x:c>
      <x:c r="H194" s="35" t="str">
        <x:f>IF(A194="","",SUMIFS('THANH_TOÁN'!$D$2:$D$500,'THANH_TOÁN'!$B$2:$B$500,A194,'THANH_TOÁN'!$F$2:$F$500,"ĐÃ XÁC NHẬN"))</x:f>
      </x:c>
      <x:c r="I194" s="35" t="str">
        <x:f>IF(A194="","",MAX(0,G194-H194))</x:f>
      </x:c>
      <x:c r="J194" s="36" t="str">
        <x:f>IF(A194="","",IF(AND(E194&lt;TODAY(),I194&gt;0,K194&lt;&gt;"HỦY"),"QUÁ HẠN",""))</x:f>
      </x:c>
      <x:c r="K194" s="39"/>
      <x:c r="L194" s="39"/>
      <x:c r="M194" s="39"/>
      <x:c r="N194" s="39"/>
      <x:c r="O194" s="42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41"/>
      <x:c r="E195" s="41"/>
      <x:c r="F195" s="39"/>
      <x:c r="G195" s="35" t="str">
        <x:f>IF(A195="","",SUMIFS('CHI_TIẾT_ĐƠN_HÀNG'!$H$2:$H$500,'CHI_TIẾT_ĐƠN_HÀNG'!$B$2:$B$500,A195))</x:f>
      </x:c>
      <x:c r="H195" s="35" t="str">
        <x:f>IF(A195="","",SUMIFS('THANH_TOÁN'!$D$2:$D$500,'THANH_TOÁN'!$B$2:$B$500,A195,'THANH_TOÁN'!$F$2:$F$500,"ĐÃ XÁC NHẬN"))</x:f>
      </x:c>
      <x:c r="I195" s="35" t="str">
        <x:f>IF(A195="","",MAX(0,G195-H195))</x:f>
      </x:c>
      <x:c r="J195" s="36" t="str">
        <x:f>IF(A195="","",IF(AND(E195&lt;TODAY(),I195&gt;0,K195&lt;&gt;"HỦY"),"QUÁ HẠN",""))</x:f>
      </x:c>
      <x:c r="K195" s="39"/>
      <x:c r="L195" s="39"/>
      <x:c r="M195" s="39"/>
      <x:c r="N195" s="39"/>
      <x:c r="O195" s="42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41"/>
      <x:c r="E196" s="41"/>
      <x:c r="F196" s="39"/>
      <x:c r="G196" s="35" t="str">
        <x:f>IF(A196="","",SUMIFS('CHI_TIẾT_ĐƠN_HÀNG'!$H$2:$H$500,'CHI_TIẾT_ĐƠN_HÀNG'!$B$2:$B$500,A196))</x:f>
      </x:c>
      <x:c r="H196" s="35" t="str">
        <x:f>IF(A196="","",SUMIFS('THANH_TOÁN'!$D$2:$D$500,'THANH_TOÁN'!$B$2:$B$500,A196,'THANH_TOÁN'!$F$2:$F$500,"ĐÃ XÁC NHẬN"))</x:f>
      </x:c>
      <x:c r="I196" s="35" t="str">
        <x:f>IF(A196="","",MAX(0,G196-H196))</x:f>
      </x:c>
      <x:c r="J196" s="36" t="str">
        <x:f>IF(A196="","",IF(AND(E196&lt;TODAY(),I196&gt;0,K196&lt;&gt;"HỦY"),"QUÁ HẠN",""))</x:f>
      </x:c>
      <x:c r="K196" s="39"/>
      <x:c r="L196" s="39"/>
      <x:c r="M196" s="39"/>
      <x:c r="N196" s="39"/>
      <x:c r="O196" s="42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41"/>
      <x:c r="E197" s="41"/>
      <x:c r="F197" s="39"/>
      <x:c r="G197" s="35" t="str">
        <x:f>IF(A197="","",SUMIFS('CHI_TIẾT_ĐƠN_HÀNG'!$H$2:$H$500,'CHI_TIẾT_ĐƠN_HÀNG'!$B$2:$B$500,A197))</x:f>
      </x:c>
      <x:c r="H197" s="35" t="str">
        <x:f>IF(A197="","",SUMIFS('THANH_TOÁN'!$D$2:$D$500,'THANH_TOÁN'!$B$2:$B$500,A197,'THANH_TOÁN'!$F$2:$F$500,"ĐÃ XÁC NHẬN"))</x:f>
      </x:c>
      <x:c r="I197" s="35" t="str">
        <x:f>IF(A197="","",MAX(0,G197-H197))</x:f>
      </x:c>
      <x:c r="J197" s="36" t="str">
        <x:f>IF(A197="","",IF(AND(E197&lt;TODAY(),I197&gt;0,K197&lt;&gt;"HỦY"),"QUÁ HẠN",""))</x:f>
      </x:c>
      <x:c r="K197" s="39"/>
      <x:c r="L197" s="39"/>
      <x:c r="M197" s="39"/>
      <x:c r="N197" s="39"/>
      <x:c r="O197" s="42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41"/>
      <x:c r="E198" s="41"/>
      <x:c r="F198" s="39"/>
      <x:c r="G198" s="35" t="str">
        <x:f>IF(A198="","",SUMIFS('CHI_TIẾT_ĐƠN_HÀNG'!$H$2:$H$500,'CHI_TIẾT_ĐƠN_HÀNG'!$B$2:$B$500,A198))</x:f>
      </x:c>
      <x:c r="H198" s="35" t="str">
        <x:f>IF(A198="","",SUMIFS('THANH_TOÁN'!$D$2:$D$500,'THANH_TOÁN'!$B$2:$B$500,A198,'THANH_TOÁN'!$F$2:$F$500,"ĐÃ XÁC NHẬN"))</x:f>
      </x:c>
      <x:c r="I198" s="35" t="str">
        <x:f>IF(A198="","",MAX(0,G198-H198))</x:f>
      </x:c>
      <x:c r="J198" s="36" t="str">
        <x:f>IF(A198="","",IF(AND(E198&lt;TODAY(),I198&gt;0,K198&lt;&gt;"HỦY"),"QUÁ HẠN",""))</x:f>
      </x:c>
      <x:c r="K198" s="39"/>
      <x:c r="L198" s="39"/>
      <x:c r="M198" s="39"/>
      <x:c r="N198" s="39"/>
      <x:c r="O198" s="42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41"/>
      <x:c r="E199" s="41"/>
      <x:c r="F199" s="39"/>
      <x:c r="G199" s="35" t="str">
        <x:f>IF(A199="","",SUMIFS('CHI_TIẾT_ĐƠN_HÀNG'!$H$2:$H$500,'CHI_TIẾT_ĐƠN_HÀNG'!$B$2:$B$500,A199))</x:f>
      </x:c>
      <x:c r="H199" s="35" t="str">
        <x:f>IF(A199="","",SUMIFS('THANH_TOÁN'!$D$2:$D$500,'THANH_TOÁN'!$B$2:$B$500,A199,'THANH_TOÁN'!$F$2:$F$500,"ĐÃ XÁC NHẬN"))</x:f>
      </x:c>
      <x:c r="I199" s="35" t="str">
        <x:f>IF(A199="","",MAX(0,G199-H199))</x:f>
      </x:c>
      <x:c r="J199" s="36" t="str">
        <x:f>IF(A199="","",IF(AND(E199&lt;TODAY(),I199&gt;0,K199&lt;&gt;"HỦY"),"QUÁ HẠN",""))</x:f>
      </x:c>
      <x:c r="K199" s="39"/>
      <x:c r="L199" s="39"/>
      <x:c r="M199" s="39"/>
      <x:c r="N199" s="39"/>
      <x:c r="O199" s="42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41"/>
      <x:c r="E200" s="41"/>
      <x:c r="F200" s="39"/>
      <x:c r="G200" s="35" t="str">
        <x:f>IF(A200="","",SUMIFS('CHI_TIẾT_ĐƠN_HÀNG'!$H$2:$H$500,'CHI_TIẾT_ĐƠN_HÀNG'!$B$2:$B$500,A200))</x:f>
      </x:c>
      <x:c r="H200" s="35" t="str">
        <x:f>IF(A200="","",SUMIFS('THANH_TOÁN'!$D$2:$D$500,'THANH_TOÁN'!$B$2:$B$500,A200,'THANH_TOÁN'!$F$2:$F$500,"ĐÃ XÁC NHẬN"))</x:f>
      </x:c>
      <x:c r="I200" s="35" t="str">
        <x:f>IF(A200="","",MAX(0,G200-H200))</x:f>
      </x:c>
      <x:c r="J200" s="36" t="str">
        <x:f>IF(A200="","",IF(AND(E200&lt;TODAY(),I200&gt;0,K200&lt;&gt;"HỦY"),"QUÁ HẠN",""))</x:f>
      </x:c>
      <x:c r="K200" s="39"/>
      <x:c r="L200" s="39"/>
      <x:c r="M200" s="39"/>
      <x:c r="N200" s="39"/>
      <x:c r="O200" s="42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41"/>
      <x:c r="E201" s="41"/>
      <x:c r="F201" s="39"/>
      <x:c r="G201" s="35" t="str">
        <x:f>IF(A201="","",SUMIFS('CHI_TIẾT_ĐƠN_HÀNG'!$H$2:$H$500,'CHI_TIẾT_ĐƠN_HÀNG'!$B$2:$B$500,A201))</x:f>
      </x:c>
      <x:c r="H201" s="35" t="str">
        <x:f>IF(A201="","",SUMIFS('THANH_TOÁN'!$D$2:$D$500,'THANH_TOÁN'!$B$2:$B$500,A201,'THANH_TOÁN'!$F$2:$F$500,"ĐÃ XÁC NHẬN"))</x:f>
      </x:c>
      <x:c r="I201" s="35" t="str">
        <x:f>IF(A201="","",MAX(0,G201-H201))</x:f>
      </x:c>
      <x:c r="J201" s="36" t="str">
        <x:f>IF(A201="","",IF(AND(E201&lt;TODAY(),I201&gt;0,K201&lt;&gt;"HỦY"),"QUÁ HẠN",""))</x:f>
      </x:c>
      <x:c r="K201" s="39"/>
      <x:c r="L201" s="39"/>
      <x:c r="M201" s="39"/>
      <x:c r="N201" s="39"/>
      <x:c r="O201" s="42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41"/>
      <x:c r="E202" s="41"/>
      <x:c r="F202" s="39"/>
      <x:c r="G202" s="35" t="str">
        <x:f>IF(A202="","",SUMIFS('CHI_TIẾT_ĐƠN_HÀNG'!$H$2:$H$500,'CHI_TIẾT_ĐƠN_HÀNG'!$B$2:$B$500,A202))</x:f>
      </x:c>
      <x:c r="H202" s="35" t="str">
        <x:f>IF(A202="","",SUMIFS('THANH_TOÁN'!$D$2:$D$500,'THANH_TOÁN'!$B$2:$B$500,A202,'THANH_TOÁN'!$F$2:$F$500,"ĐÃ XÁC NHẬN"))</x:f>
      </x:c>
      <x:c r="I202" s="35" t="str">
        <x:f>IF(A202="","",MAX(0,G202-H202))</x:f>
      </x:c>
      <x:c r="J202" s="36" t="str">
        <x:f>IF(A202="","",IF(AND(E202&lt;TODAY(),I202&gt;0,K202&lt;&gt;"HỦY"),"QUÁ HẠN",""))</x:f>
      </x:c>
      <x:c r="K202" s="39"/>
      <x:c r="L202" s="39"/>
      <x:c r="M202" s="39"/>
      <x:c r="N202" s="39"/>
      <x:c r="O202" s="42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41"/>
      <x:c r="E203" s="41"/>
      <x:c r="F203" s="39"/>
      <x:c r="G203" s="35" t="str">
        <x:f>IF(A203="","",SUMIFS('CHI_TIẾT_ĐƠN_HÀNG'!$H$2:$H$500,'CHI_TIẾT_ĐƠN_HÀNG'!$B$2:$B$500,A203))</x:f>
      </x:c>
      <x:c r="H203" s="35" t="str">
        <x:f>IF(A203="","",SUMIFS('THANH_TOÁN'!$D$2:$D$500,'THANH_TOÁN'!$B$2:$B$500,A203,'THANH_TOÁN'!$F$2:$F$500,"ĐÃ XÁC NHẬN"))</x:f>
      </x:c>
      <x:c r="I203" s="35" t="str">
        <x:f>IF(A203="","",MAX(0,G203-H203))</x:f>
      </x:c>
      <x:c r="J203" s="36" t="str">
        <x:f>IF(A203="","",IF(AND(E203&lt;TODAY(),I203&gt;0,K203&lt;&gt;"HỦY"),"QUÁ HẠN",""))</x:f>
      </x:c>
      <x:c r="K203" s="39"/>
      <x:c r="L203" s="39"/>
      <x:c r="M203" s="39"/>
      <x:c r="N203" s="39"/>
      <x:c r="O203" s="42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41"/>
      <x:c r="E204" s="41"/>
      <x:c r="F204" s="39"/>
      <x:c r="G204" s="35" t="str">
        <x:f>IF(A204="","",SUMIFS('CHI_TIẾT_ĐƠN_HÀNG'!$H$2:$H$500,'CHI_TIẾT_ĐƠN_HÀNG'!$B$2:$B$500,A204))</x:f>
      </x:c>
      <x:c r="H204" s="35" t="str">
        <x:f>IF(A204="","",SUMIFS('THANH_TOÁN'!$D$2:$D$500,'THANH_TOÁN'!$B$2:$B$500,A204,'THANH_TOÁN'!$F$2:$F$500,"ĐÃ XÁC NHẬN"))</x:f>
      </x:c>
      <x:c r="I204" s="35" t="str">
        <x:f>IF(A204="","",MAX(0,G204-H204))</x:f>
      </x:c>
      <x:c r="J204" s="36" t="str">
        <x:f>IF(A204="","",IF(AND(E204&lt;TODAY(),I204&gt;0,K204&lt;&gt;"HỦY"),"QUÁ HẠN",""))</x:f>
      </x:c>
      <x:c r="K204" s="39"/>
      <x:c r="L204" s="39"/>
      <x:c r="M204" s="39"/>
      <x:c r="N204" s="39"/>
      <x:c r="O204" s="42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41"/>
      <x:c r="E205" s="41"/>
      <x:c r="F205" s="39"/>
      <x:c r="G205" s="35" t="str">
        <x:f>IF(A205="","",SUMIFS('CHI_TIẾT_ĐƠN_HÀNG'!$H$2:$H$500,'CHI_TIẾT_ĐƠN_HÀNG'!$B$2:$B$500,A205))</x:f>
      </x:c>
      <x:c r="H205" s="35" t="str">
        <x:f>IF(A205="","",SUMIFS('THANH_TOÁN'!$D$2:$D$500,'THANH_TOÁN'!$B$2:$B$500,A205,'THANH_TOÁN'!$F$2:$F$500,"ĐÃ XÁC NHẬN"))</x:f>
      </x:c>
      <x:c r="I205" s="35" t="str">
        <x:f>IF(A205="","",MAX(0,G205-H205))</x:f>
      </x:c>
      <x:c r="J205" s="36" t="str">
        <x:f>IF(A205="","",IF(AND(E205&lt;TODAY(),I205&gt;0,K205&lt;&gt;"HỦY"),"QUÁ HẠN",""))</x:f>
      </x:c>
      <x:c r="K205" s="39"/>
      <x:c r="L205" s="39"/>
      <x:c r="M205" s="39"/>
      <x:c r="N205" s="39"/>
      <x:c r="O205" s="42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41"/>
      <x:c r="E206" s="41"/>
      <x:c r="F206" s="39"/>
      <x:c r="G206" s="35" t="str">
        <x:f>IF(A206="","",SUMIFS('CHI_TIẾT_ĐƠN_HÀNG'!$H$2:$H$500,'CHI_TIẾT_ĐƠN_HÀNG'!$B$2:$B$500,A206))</x:f>
      </x:c>
      <x:c r="H206" s="35" t="str">
        <x:f>IF(A206="","",SUMIFS('THANH_TOÁN'!$D$2:$D$500,'THANH_TOÁN'!$B$2:$B$500,A206,'THANH_TOÁN'!$F$2:$F$500,"ĐÃ XÁC NHẬN"))</x:f>
      </x:c>
      <x:c r="I206" s="35" t="str">
        <x:f>IF(A206="","",MAX(0,G206-H206))</x:f>
      </x:c>
      <x:c r="J206" s="36" t="str">
        <x:f>IF(A206="","",IF(AND(E206&lt;TODAY(),I206&gt;0,K206&lt;&gt;"HỦY"),"QUÁ HẠN",""))</x:f>
      </x:c>
      <x:c r="K206" s="39"/>
      <x:c r="L206" s="39"/>
      <x:c r="M206" s="39"/>
      <x:c r="N206" s="39"/>
      <x:c r="O206" s="42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41"/>
      <x:c r="E207" s="41"/>
      <x:c r="F207" s="39"/>
      <x:c r="G207" s="35" t="str">
        <x:f>IF(A207="","",SUMIFS('CHI_TIẾT_ĐƠN_HÀNG'!$H$2:$H$500,'CHI_TIẾT_ĐƠN_HÀNG'!$B$2:$B$500,A207))</x:f>
      </x:c>
      <x:c r="H207" s="35" t="str">
        <x:f>IF(A207="","",SUMIFS('THANH_TOÁN'!$D$2:$D$500,'THANH_TOÁN'!$B$2:$B$500,A207,'THANH_TOÁN'!$F$2:$F$500,"ĐÃ XÁC NHẬN"))</x:f>
      </x:c>
      <x:c r="I207" s="35" t="str">
        <x:f>IF(A207="","",MAX(0,G207-H207))</x:f>
      </x:c>
      <x:c r="J207" s="36" t="str">
        <x:f>IF(A207="","",IF(AND(E207&lt;TODAY(),I207&gt;0,K207&lt;&gt;"HỦY"),"QUÁ HẠN",""))</x:f>
      </x:c>
      <x:c r="K207" s="39"/>
      <x:c r="L207" s="39"/>
      <x:c r="M207" s="39"/>
      <x:c r="N207" s="39"/>
      <x:c r="O207" s="42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41"/>
      <x:c r="E208" s="41"/>
      <x:c r="F208" s="39"/>
      <x:c r="G208" s="35" t="str">
        <x:f>IF(A208="","",SUMIFS('CHI_TIẾT_ĐƠN_HÀNG'!$H$2:$H$500,'CHI_TIẾT_ĐƠN_HÀNG'!$B$2:$B$500,A208))</x:f>
      </x:c>
      <x:c r="H208" s="35" t="str">
        <x:f>IF(A208="","",SUMIFS('THANH_TOÁN'!$D$2:$D$500,'THANH_TOÁN'!$B$2:$B$500,A208,'THANH_TOÁN'!$F$2:$F$500,"ĐÃ XÁC NHẬN"))</x:f>
      </x:c>
      <x:c r="I208" s="35" t="str">
        <x:f>IF(A208="","",MAX(0,G208-H208))</x:f>
      </x:c>
      <x:c r="J208" s="36" t="str">
        <x:f>IF(A208="","",IF(AND(E208&lt;TODAY(),I208&gt;0,K208&lt;&gt;"HỦY"),"QUÁ HẠN",""))</x:f>
      </x:c>
      <x:c r="K208" s="39"/>
      <x:c r="L208" s="39"/>
      <x:c r="M208" s="39"/>
      <x:c r="N208" s="39"/>
      <x:c r="O208" s="42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41"/>
      <x:c r="E209" s="41"/>
      <x:c r="F209" s="39"/>
      <x:c r="G209" s="35" t="str">
        <x:f>IF(A209="","",SUMIFS('CHI_TIẾT_ĐƠN_HÀNG'!$H$2:$H$500,'CHI_TIẾT_ĐƠN_HÀNG'!$B$2:$B$500,A209))</x:f>
      </x:c>
      <x:c r="H209" s="35" t="str">
        <x:f>IF(A209="","",SUMIFS('THANH_TOÁN'!$D$2:$D$500,'THANH_TOÁN'!$B$2:$B$500,A209,'THANH_TOÁN'!$F$2:$F$500,"ĐÃ XÁC NHẬN"))</x:f>
      </x:c>
      <x:c r="I209" s="35" t="str">
        <x:f>IF(A209="","",MAX(0,G209-H209))</x:f>
      </x:c>
      <x:c r="J209" s="36" t="str">
        <x:f>IF(A209="","",IF(AND(E209&lt;TODAY(),I209&gt;0,K209&lt;&gt;"HỦY"),"QUÁ HẠN",""))</x:f>
      </x:c>
      <x:c r="K209" s="39"/>
      <x:c r="L209" s="39"/>
      <x:c r="M209" s="39"/>
      <x:c r="N209" s="39"/>
      <x:c r="O209" s="42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41"/>
      <x:c r="E210" s="41"/>
      <x:c r="F210" s="39"/>
      <x:c r="G210" s="35" t="str">
        <x:f>IF(A210="","",SUMIFS('CHI_TIẾT_ĐƠN_HÀNG'!$H$2:$H$500,'CHI_TIẾT_ĐƠN_HÀNG'!$B$2:$B$500,A210))</x:f>
      </x:c>
      <x:c r="H210" s="35" t="str">
        <x:f>IF(A210="","",SUMIFS('THANH_TOÁN'!$D$2:$D$500,'THANH_TOÁN'!$B$2:$B$500,A210,'THANH_TOÁN'!$F$2:$F$500,"ĐÃ XÁC NHẬN"))</x:f>
      </x:c>
      <x:c r="I210" s="35" t="str">
        <x:f>IF(A210="","",MAX(0,G210-H210))</x:f>
      </x:c>
      <x:c r="J210" s="36" t="str">
        <x:f>IF(A210="","",IF(AND(E210&lt;TODAY(),I210&gt;0,K210&lt;&gt;"HỦY"),"QUÁ HẠN",""))</x:f>
      </x:c>
      <x:c r="K210" s="39"/>
      <x:c r="L210" s="39"/>
      <x:c r="M210" s="39"/>
      <x:c r="N210" s="39"/>
      <x:c r="O210" s="42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41"/>
      <x:c r="E211" s="41"/>
      <x:c r="F211" s="39"/>
      <x:c r="G211" s="35" t="str">
        <x:f>IF(A211="","",SUMIFS('CHI_TIẾT_ĐƠN_HÀNG'!$H$2:$H$500,'CHI_TIẾT_ĐƠN_HÀNG'!$B$2:$B$500,A211))</x:f>
      </x:c>
      <x:c r="H211" s="35" t="str">
        <x:f>IF(A211="","",SUMIFS('THANH_TOÁN'!$D$2:$D$500,'THANH_TOÁN'!$B$2:$B$500,A211,'THANH_TOÁN'!$F$2:$F$500,"ĐÃ XÁC NHẬN"))</x:f>
      </x:c>
      <x:c r="I211" s="35" t="str">
        <x:f>IF(A211="","",MAX(0,G211-H211))</x:f>
      </x:c>
      <x:c r="J211" s="36" t="str">
        <x:f>IF(A211="","",IF(AND(E211&lt;TODAY(),I211&gt;0,K211&lt;&gt;"HỦY"),"QUÁ HẠN",""))</x:f>
      </x:c>
      <x:c r="K211" s="39"/>
      <x:c r="L211" s="39"/>
      <x:c r="M211" s="39"/>
      <x:c r="N211" s="39"/>
      <x:c r="O211" s="42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41"/>
      <x:c r="E212" s="41"/>
      <x:c r="F212" s="39"/>
      <x:c r="G212" s="35" t="str">
        <x:f>IF(A212="","",SUMIFS('CHI_TIẾT_ĐƠN_HÀNG'!$H$2:$H$500,'CHI_TIẾT_ĐƠN_HÀNG'!$B$2:$B$500,A212))</x:f>
      </x:c>
      <x:c r="H212" s="35" t="str">
        <x:f>IF(A212="","",SUMIFS('THANH_TOÁN'!$D$2:$D$500,'THANH_TOÁN'!$B$2:$B$500,A212,'THANH_TOÁN'!$F$2:$F$500,"ĐÃ XÁC NHẬN"))</x:f>
      </x:c>
      <x:c r="I212" s="35" t="str">
        <x:f>IF(A212="","",MAX(0,G212-H212))</x:f>
      </x:c>
      <x:c r="J212" s="36" t="str">
        <x:f>IF(A212="","",IF(AND(E212&lt;TODAY(),I212&gt;0,K212&lt;&gt;"HỦY"),"QUÁ HẠN",""))</x:f>
      </x:c>
      <x:c r="K212" s="39"/>
      <x:c r="L212" s="39"/>
      <x:c r="M212" s="39"/>
      <x:c r="N212" s="39"/>
      <x:c r="O212" s="42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41"/>
      <x:c r="E213" s="41"/>
      <x:c r="F213" s="39"/>
      <x:c r="G213" s="35" t="str">
        <x:f>IF(A213="","",SUMIFS('CHI_TIẾT_ĐƠN_HÀNG'!$H$2:$H$500,'CHI_TIẾT_ĐƠN_HÀNG'!$B$2:$B$500,A213))</x:f>
      </x:c>
      <x:c r="H213" s="35" t="str">
        <x:f>IF(A213="","",SUMIFS('THANH_TOÁN'!$D$2:$D$500,'THANH_TOÁN'!$B$2:$B$500,A213,'THANH_TOÁN'!$F$2:$F$500,"ĐÃ XÁC NHẬN"))</x:f>
      </x:c>
      <x:c r="I213" s="35" t="str">
        <x:f>IF(A213="","",MAX(0,G213-H213))</x:f>
      </x:c>
      <x:c r="J213" s="36" t="str">
        <x:f>IF(A213="","",IF(AND(E213&lt;TODAY(),I213&gt;0,K213&lt;&gt;"HỦY"),"QUÁ HẠN",""))</x:f>
      </x:c>
      <x:c r="K213" s="39"/>
      <x:c r="L213" s="39"/>
      <x:c r="M213" s="39"/>
      <x:c r="N213" s="39"/>
      <x:c r="O213" s="42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41"/>
      <x:c r="E214" s="41"/>
      <x:c r="F214" s="39"/>
      <x:c r="G214" s="35" t="str">
        <x:f>IF(A214="","",SUMIFS('CHI_TIẾT_ĐƠN_HÀNG'!$H$2:$H$500,'CHI_TIẾT_ĐƠN_HÀNG'!$B$2:$B$500,A214))</x:f>
      </x:c>
      <x:c r="H214" s="35" t="str">
        <x:f>IF(A214="","",SUMIFS('THANH_TOÁN'!$D$2:$D$500,'THANH_TOÁN'!$B$2:$B$500,A214,'THANH_TOÁN'!$F$2:$F$500,"ĐÃ XÁC NHẬN"))</x:f>
      </x:c>
      <x:c r="I214" s="35" t="str">
        <x:f>IF(A214="","",MAX(0,G214-H214))</x:f>
      </x:c>
      <x:c r="J214" s="36" t="str">
        <x:f>IF(A214="","",IF(AND(E214&lt;TODAY(),I214&gt;0,K214&lt;&gt;"HỦY"),"QUÁ HẠN",""))</x:f>
      </x:c>
      <x:c r="K214" s="39"/>
      <x:c r="L214" s="39"/>
      <x:c r="M214" s="39"/>
      <x:c r="N214" s="39"/>
      <x:c r="O214" s="42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41"/>
      <x:c r="E215" s="41"/>
      <x:c r="F215" s="39"/>
      <x:c r="G215" s="35" t="str">
        <x:f>IF(A215="","",SUMIFS('CHI_TIẾT_ĐƠN_HÀNG'!$H$2:$H$500,'CHI_TIẾT_ĐƠN_HÀNG'!$B$2:$B$500,A215))</x:f>
      </x:c>
      <x:c r="H215" s="35" t="str">
        <x:f>IF(A215="","",SUMIFS('THANH_TOÁN'!$D$2:$D$500,'THANH_TOÁN'!$B$2:$B$500,A215,'THANH_TOÁN'!$F$2:$F$500,"ĐÃ XÁC NHẬN"))</x:f>
      </x:c>
      <x:c r="I215" s="35" t="str">
        <x:f>IF(A215="","",MAX(0,G215-H215))</x:f>
      </x:c>
      <x:c r="J215" s="36" t="str">
        <x:f>IF(A215="","",IF(AND(E215&lt;TODAY(),I215&gt;0,K215&lt;&gt;"HỦY"),"QUÁ HẠN",""))</x:f>
      </x:c>
      <x:c r="K215" s="39"/>
      <x:c r="L215" s="39"/>
      <x:c r="M215" s="39"/>
      <x:c r="N215" s="39"/>
      <x:c r="O215" s="42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41"/>
      <x:c r="E216" s="41"/>
      <x:c r="F216" s="39"/>
      <x:c r="G216" s="35" t="str">
        <x:f>IF(A216="","",SUMIFS('CHI_TIẾT_ĐƠN_HÀNG'!$H$2:$H$500,'CHI_TIẾT_ĐƠN_HÀNG'!$B$2:$B$500,A216))</x:f>
      </x:c>
      <x:c r="H216" s="35" t="str">
        <x:f>IF(A216="","",SUMIFS('THANH_TOÁN'!$D$2:$D$500,'THANH_TOÁN'!$B$2:$B$500,A216,'THANH_TOÁN'!$F$2:$F$500,"ĐÃ XÁC NHẬN"))</x:f>
      </x:c>
      <x:c r="I216" s="35" t="str">
        <x:f>IF(A216="","",MAX(0,G216-H216))</x:f>
      </x:c>
      <x:c r="J216" s="36" t="str">
        <x:f>IF(A216="","",IF(AND(E216&lt;TODAY(),I216&gt;0,K216&lt;&gt;"HỦY"),"QUÁ HẠN",""))</x:f>
      </x:c>
      <x:c r="K216" s="39"/>
      <x:c r="L216" s="39"/>
      <x:c r="M216" s="39"/>
      <x:c r="N216" s="39"/>
      <x:c r="O216" s="42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41"/>
      <x:c r="E217" s="41"/>
      <x:c r="F217" s="39"/>
      <x:c r="G217" s="35" t="str">
        <x:f>IF(A217="","",SUMIFS('CHI_TIẾT_ĐƠN_HÀNG'!$H$2:$H$500,'CHI_TIẾT_ĐƠN_HÀNG'!$B$2:$B$500,A217))</x:f>
      </x:c>
      <x:c r="H217" s="35" t="str">
        <x:f>IF(A217="","",SUMIFS('THANH_TOÁN'!$D$2:$D$500,'THANH_TOÁN'!$B$2:$B$500,A217,'THANH_TOÁN'!$F$2:$F$500,"ĐÃ XÁC NHẬN"))</x:f>
      </x:c>
      <x:c r="I217" s="35" t="str">
        <x:f>IF(A217="","",MAX(0,G217-H217))</x:f>
      </x:c>
      <x:c r="J217" s="36" t="str">
        <x:f>IF(A217="","",IF(AND(E217&lt;TODAY(),I217&gt;0,K217&lt;&gt;"HỦY"),"QUÁ HẠN",""))</x:f>
      </x:c>
      <x:c r="K217" s="39"/>
      <x:c r="L217" s="39"/>
      <x:c r="M217" s="39"/>
      <x:c r="N217" s="39"/>
      <x:c r="O217" s="42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41"/>
      <x:c r="E218" s="41"/>
      <x:c r="F218" s="39"/>
      <x:c r="G218" s="35" t="str">
        <x:f>IF(A218="","",SUMIFS('CHI_TIẾT_ĐƠN_HÀNG'!$H$2:$H$500,'CHI_TIẾT_ĐƠN_HÀNG'!$B$2:$B$500,A218))</x:f>
      </x:c>
      <x:c r="H218" s="35" t="str">
        <x:f>IF(A218="","",SUMIFS('THANH_TOÁN'!$D$2:$D$500,'THANH_TOÁN'!$B$2:$B$500,A218,'THANH_TOÁN'!$F$2:$F$500,"ĐÃ XÁC NHẬN"))</x:f>
      </x:c>
      <x:c r="I218" s="35" t="str">
        <x:f>IF(A218="","",MAX(0,G218-H218))</x:f>
      </x:c>
      <x:c r="J218" s="36" t="str">
        <x:f>IF(A218="","",IF(AND(E218&lt;TODAY(),I218&gt;0,K218&lt;&gt;"HỦY"),"QUÁ HẠN",""))</x:f>
      </x:c>
      <x:c r="K218" s="39"/>
      <x:c r="L218" s="39"/>
      <x:c r="M218" s="39"/>
      <x:c r="N218" s="39"/>
      <x:c r="O218" s="42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41"/>
      <x:c r="E219" s="41"/>
      <x:c r="F219" s="39"/>
      <x:c r="G219" s="35" t="str">
        <x:f>IF(A219="","",SUMIFS('CHI_TIẾT_ĐƠN_HÀNG'!$H$2:$H$500,'CHI_TIẾT_ĐƠN_HÀNG'!$B$2:$B$500,A219))</x:f>
      </x:c>
      <x:c r="H219" s="35" t="str">
        <x:f>IF(A219="","",SUMIFS('THANH_TOÁN'!$D$2:$D$500,'THANH_TOÁN'!$B$2:$B$500,A219,'THANH_TOÁN'!$F$2:$F$500,"ĐÃ XÁC NHẬN"))</x:f>
      </x:c>
      <x:c r="I219" s="35" t="str">
        <x:f>IF(A219="","",MAX(0,G219-H219))</x:f>
      </x:c>
      <x:c r="J219" s="36" t="str">
        <x:f>IF(A219="","",IF(AND(E219&lt;TODAY(),I219&gt;0,K219&lt;&gt;"HỦY"),"QUÁ HẠN",""))</x:f>
      </x:c>
      <x:c r="K219" s="39"/>
      <x:c r="L219" s="39"/>
      <x:c r="M219" s="39"/>
      <x:c r="N219" s="39"/>
      <x:c r="O219" s="42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41"/>
      <x:c r="E220" s="41"/>
      <x:c r="F220" s="39"/>
      <x:c r="G220" s="35" t="str">
        <x:f>IF(A220="","",SUMIFS('CHI_TIẾT_ĐƠN_HÀNG'!$H$2:$H$500,'CHI_TIẾT_ĐƠN_HÀNG'!$B$2:$B$500,A220))</x:f>
      </x:c>
      <x:c r="H220" s="35" t="str">
        <x:f>IF(A220="","",SUMIFS('THANH_TOÁN'!$D$2:$D$500,'THANH_TOÁN'!$B$2:$B$500,A220,'THANH_TOÁN'!$F$2:$F$500,"ĐÃ XÁC NHẬN"))</x:f>
      </x:c>
      <x:c r="I220" s="35" t="str">
        <x:f>IF(A220="","",MAX(0,G220-H220))</x:f>
      </x:c>
      <x:c r="J220" s="36" t="str">
        <x:f>IF(A220="","",IF(AND(E220&lt;TODAY(),I220&gt;0,K220&lt;&gt;"HỦY"),"QUÁ HẠN",""))</x:f>
      </x:c>
      <x:c r="K220" s="39"/>
      <x:c r="L220" s="39"/>
      <x:c r="M220" s="39"/>
      <x:c r="N220" s="39"/>
      <x:c r="O220" s="42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41"/>
      <x:c r="E221" s="41"/>
      <x:c r="F221" s="39"/>
      <x:c r="G221" s="35" t="str">
        <x:f>IF(A221="","",SUMIFS('CHI_TIẾT_ĐƠN_HÀNG'!$H$2:$H$500,'CHI_TIẾT_ĐƠN_HÀNG'!$B$2:$B$500,A221))</x:f>
      </x:c>
      <x:c r="H221" s="35" t="str">
        <x:f>IF(A221="","",SUMIFS('THANH_TOÁN'!$D$2:$D$500,'THANH_TOÁN'!$B$2:$B$500,A221,'THANH_TOÁN'!$F$2:$F$500,"ĐÃ XÁC NHẬN"))</x:f>
      </x:c>
      <x:c r="I221" s="35" t="str">
        <x:f>IF(A221="","",MAX(0,G221-H221))</x:f>
      </x:c>
      <x:c r="J221" s="36" t="str">
        <x:f>IF(A221="","",IF(AND(E221&lt;TODAY(),I221&gt;0,K221&lt;&gt;"HỦY"),"QUÁ HẠN",""))</x:f>
      </x:c>
      <x:c r="K221" s="39"/>
      <x:c r="L221" s="39"/>
      <x:c r="M221" s="39"/>
      <x:c r="N221" s="39"/>
      <x:c r="O221" s="42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41"/>
      <x:c r="E222" s="41"/>
      <x:c r="F222" s="39"/>
      <x:c r="G222" s="35" t="str">
        <x:f>IF(A222="","",SUMIFS('CHI_TIẾT_ĐƠN_HÀNG'!$H$2:$H$500,'CHI_TIẾT_ĐƠN_HÀNG'!$B$2:$B$500,A222))</x:f>
      </x:c>
      <x:c r="H222" s="35" t="str">
        <x:f>IF(A222="","",SUMIFS('THANH_TOÁN'!$D$2:$D$500,'THANH_TOÁN'!$B$2:$B$500,A222,'THANH_TOÁN'!$F$2:$F$500,"ĐÃ XÁC NHẬN"))</x:f>
      </x:c>
      <x:c r="I222" s="35" t="str">
        <x:f>IF(A222="","",MAX(0,G222-H222))</x:f>
      </x:c>
      <x:c r="J222" s="36" t="str">
        <x:f>IF(A222="","",IF(AND(E222&lt;TODAY(),I222&gt;0,K222&lt;&gt;"HỦY"),"QUÁ HẠN",""))</x:f>
      </x:c>
      <x:c r="K222" s="39"/>
      <x:c r="L222" s="39"/>
      <x:c r="M222" s="39"/>
      <x:c r="N222" s="39"/>
      <x:c r="O222" s="42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41"/>
      <x:c r="E223" s="41"/>
      <x:c r="F223" s="39"/>
      <x:c r="G223" s="35" t="str">
        <x:f>IF(A223="","",SUMIFS('CHI_TIẾT_ĐƠN_HÀNG'!$H$2:$H$500,'CHI_TIẾT_ĐƠN_HÀNG'!$B$2:$B$500,A223))</x:f>
      </x:c>
      <x:c r="H223" s="35" t="str">
        <x:f>IF(A223="","",SUMIFS('THANH_TOÁN'!$D$2:$D$500,'THANH_TOÁN'!$B$2:$B$500,A223,'THANH_TOÁN'!$F$2:$F$500,"ĐÃ XÁC NHẬN"))</x:f>
      </x:c>
      <x:c r="I223" s="35" t="str">
        <x:f>IF(A223="","",MAX(0,G223-H223))</x:f>
      </x:c>
      <x:c r="J223" s="36" t="str">
        <x:f>IF(A223="","",IF(AND(E223&lt;TODAY(),I223&gt;0,K223&lt;&gt;"HỦY"),"QUÁ HẠN",""))</x:f>
      </x:c>
      <x:c r="K223" s="39"/>
      <x:c r="L223" s="39"/>
      <x:c r="M223" s="39"/>
      <x:c r="N223" s="39"/>
      <x:c r="O223" s="42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41"/>
      <x:c r="E224" s="41"/>
      <x:c r="F224" s="39"/>
      <x:c r="G224" s="35" t="str">
        <x:f>IF(A224="","",SUMIFS('CHI_TIẾT_ĐƠN_HÀNG'!$H$2:$H$500,'CHI_TIẾT_ĐƠN_HÀNG'!$B$2:$B$500,A224))</x:f>
      </x:c>
      <x:c r="H224" s="35" t="str">
        <x:f>IF(A224="","",SUMIFS('THANH_TOÁN'!$D$2:$D$500,'THANH_TOÁN'!$B$2:$B$500,A224,'THANH_TOÁN'!$F$2:$F$500,"ĐÃ XÁC NHẬN"))</x:f>
      </x:c>
      <x:c r="I224" s="35" t="str">
        <x:f>IF(A224="","",MAX(0,G224-H224))</x:f>
      </x:c>
      <x:c r="J224" s="36" t="str">
        <x:f>IF(A224="","",IF(AND(E224&lt;TODAY(),I224&gt;0,K224&lt;&gt;"HỦY"),"QUÁ HẠN",""))</x:f>
      </x:c>
      <x:c r="K224" s="39"/>
      <x:c r="L224" s="39"/>
      <x:c r="M224" s="39"/>
      <x:c r="N224" s="39"/>
      <x:c r="O224" s="42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41"/>
      <x:c r="E225" s="41"/>
      <x:c r="F225" s="39"/>
      <x:c r="G225" s="35" t="str">
        <x:f>IF(A225="","",SUMIFS('CHI_TIẾT_ĐƠN_HÀNG'!$H$2:$H$500,'CHI_TIẾT_ĐƠN_HÀNG'!$B$2:$B$500,A225))</x:f>
      </x:c>
      <x:c r="H225" s="35" t="str">
        <x:f>IF(A225="","",SUMIFS('THANH_TOÁN'!$D$2:$D$500,'THANH_TOÁN'!$B$2:$B$500,A225,'THANH_TOÁN'!$F$2:$F$500,"ĐÃ XÁC NHẬN"))</x:f>
      </x:c>
      <x:c r="I225" s="35" t="str">
        <x:f>IF(A225="","",MAX(0,G225-H225))</x:f>
      </x:c>
      <x:c r="J225" s="36" t="str">
        <x:f>IF(A225="","",IF(AND(E225&lt;TODAY(),I225&gt;0,K225&lt;&gt;"HỦY"),"QUÁ HẠN",""))</x:f>
      </x:c>
      <x:c r="K225" s="39"/>
      <x:c r="L225" s="39"/>
      <x:c r="M225" s="39"/>
      <x:c r="N225" s="39"/>
      <x:c r="O225" s="42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41"/>
      <x:c r="E226" s="41"/>
      <x:c r="F226" s="39"/>
      <x:c r="G226" s="35" t="str">
        <x:f>IF(A226="","",SUMIFS('CHI_TIẾT_ĐƠN_HÀNG'!$H$2:$H$500,'CHI_TIẾT_ĐƠN_HÀNG'!$B$2:$B$500,A226))</x:f>
      </x:c>
      <x:c r="H226" s="35" t="str">
        <x:f>IF(A226="","",SUMIFS('THANH_TOÁN'!$D$2:$D$500,'THANH_TOÁN'!$B$2:$B$500,A226,'THANH_TOÁN'!$F$2:$F$500,"ĐÃ XÁC NHẬN"))</x:f>
      </x:c>
      <x:c r="I226" s="35" t="str">
        <x:f>IF(A226="","",MAX(0,G226-H226))</x:f>
      </x:c>
      <x:c r="J226" s="36" t="str">
        <x:f>IF(A226="","",IF(AND(E226&lt;TODAY(),I226&gt;0,K226&lt;&gt;"HỦY"),"QUÁ HẠN",""))</x:f>
      </x:c>
      <x:c r="K226" s="39"/>
      <x:c r="L226" s="39"/>
      <x:c r="M226" s="39"/>
      <x:c r="N226" s="39"/>
      <x:c r="O226" s="42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41"/>
      <x:c r="E227" s="41"/>
      <x:c r="F227" s="39"/>
      <x:c r="G227" s="35" t="str">
        <x:f>IF(A227="","",SUMIFS('CHI_TIẾT_ĐƠN_HÀNG'!$H$2:$H$500,'CHI_TIẾT_ĐƠN_HÀNG'!$B$2:$B$500,A227))</x:f>
      </x:c>
      <x:c r="H227" s="35" t="str">
        <x:f>IF(A227="","",SUMIFS('THANH_TOÁN'!$D$2:$D$500,'THANH_TOÁN'!$B$2:$B$500,A227,'THANH_TOÁN'!$F$2:$F$500,"ĐÃ XÁC NHẬN"))</x:f>
      </x:c>
      <x:c r="I227" s="35" t="str">
        <x:f>IF(A227="","",MAX(0,G227-H227))</x:f>
      </x:c>
      <x:c r="J227" s="36" t="str">
        <x:f>IF(A227="","",IF(AND(E227&lt;TODAY(),I227&gt;0,K227&lt;&gt;"HỦY"),"QUÁ HẠN",""))</x:f>
      </x:c>
      <x:c r="K227" s="39"/>
      <x:c r="L227" s="39"/>
      <x:c r="M227" s="39"/>
      <x:c r="N227" s="39"/>
      <x:c r="O227" s="42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41"/>
      <x:c r="E228" s="41"/>
      <x:c r="F228" s="39"/>
      <x:c r="G228" s="35" t="str">
        <x:f>IF(A228="","",SUMIFS('CHI_TIẾT_ĐƠN_HÀNG'!$H$2:$H$500,'CHI_TIẾT_ĐƠN_HÀNG'!$B$2:$B$500,A228))</x:f>
      </x:c>
      <x:c r="H228" s="35" t="str">
        <x:f>IF(A228="","",SUMIFS('THANH_TOÁN'!$D$2:$D$500,'THANH_TOÁN'!$B$2:$B$500,A228,'THANH_TOÁN'!$F$2:$F$500,"ĐÃ XÁC NHẬN"))</x:f>
      </x:c>
      <x:c r="I228" s="35" t="str">
        <x:f>IF(A228="","",MAX(0,G228-H228))</x:f>
      </x:c>
      <x:c r="J228" s="36" t="str">
        <x:f>IF(A228="","",IF(AND(E228&lt;TODAY(),I228&gt;0,K228&lt;&gt;"HỦY"),"QUÁ HẠN",""))</x:f>
      </x:c>
      <x:c r="K228" s="39"/>
      <x:c r="L228" s="39"/>
      <x:c r="M228" s="39"/>
      <x:c r="N228" s="39"/>
      <x:c r="O228" s="42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41"/>
      <x:c r="E229" s="41"/>
      <x:c r="F229" s="39"/>
      <x:c r="G229" s="35" t="str">
        <x:f>IF(A229="","",SUMIFS('CHI_TIẾT_ĐƠN_HÀNG'!$H$2:$H$500,'CHI_TIẾT_ĐƠN_HÀNG'!$B$2:$B$500,A229))</x:f>
      </x:c>
      <x:c r="H229" s="35" t="str">
        <x:f>IF(A229="","",SUMIFS('THANH_TOÁN'!$D$2:$D$500,'THANH_TOÁN'!$B$2:$B$500,A229,'THANH_TOÁN'!$F$2:$F$500,"ĐÃ XÁC NHẬN"))</x:f>
      </x:c>
      <x:c r="I229" s="35" t="str">
        <x:f>IF(A229="","",MAX(0,G229-H229))</x:f>
      </x:c>
      <x:c r="J229" s="36" t="str">
        <x:f>IF(A229="","",IF(AND(E229&lt;TODAY(),I229&gt;0,K229&lt;&gt;"HỦY"),"QUÁ HẠN",""))</x:f>
      </x:c>
      <x:c r="K229" s="39"/>
      <x:c r="L229" s="39"/>
      <x:c r="M229" s="39"/>
      <x:c r="N229" s="39"/>
      <x:c r="O229" s="42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41"/>
      <x:c r="E230" s="41"/>
      <x:c r="F230" s="39"/>
      <x:c r="G230" s="35" t="str">
        <x:f>IF(A230="","",SUMIFS('CHI_TIẾT_ĐƠN_HÀNG'!$H$2:$H$500,'CHI_TIẾT_ĐƠN_HÀNG'!$B$2:$B$500,A230))</x:f>
      </x:c>
      <x:c r="H230" s="35" t="str">
        <x:f>IF(A230="","",SUMIFS('THANH_TOÁN'!$D$2:$D$500,'THANH_TOÁN'!$B$2:$B$500,A230,'THANH_TOÁN'!$F$2:$F$500,"ĐÃ XÁC NHẬN"))</x:f>
      </x:c>
      <x:c r="I230" s="35" t="str">
        <x:f>IF(A230="","",MAX(0,G230-H230))</x:f>
      </x:c>
      <x:c r="J230" s="36" t="str">
        <x:f>IF(A230="","",IF(AND(E230&lt;TODAY(),I230&gt;0,K230&lt;&gt;"HỦY"),"QUÁ HẠN",""))</x:f>
      </x:c>
      <x:c r="K230" s="39"/>
      <x:c r="L230" s="39"/>
      <x:c r="M230" s="39"/>
      <x:c r="N230" s="39"/>
      <x:c r="O230" s="42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41"/>
      <x:c r="E231" s="41"/>
      <x:c r="F231" s="39"/>
      <x:c r="G231" s="35" t="str">
        <x:f>IF(A231="","",SUMIFS('CHI_TIẾT_ĐƠN_HÀNG'!$H$2:$H$500,'CHI_TIẾT_ĐƠN_HÀNG'!$B$2:$B$500,A231))</x:f>
      </x:c>
      <x:c r="H231" s="35" t="str">
        <x:f>IF(A231="","",SUMIFS('THANH_TOÁN'!$D$2:$D$500,'THANH_TOÁN'!$B$2:$B$500,A231,'THANH_TOÁN'!$F$2:$F$500,"ĐÃ XÁC NHẬN"))</x:f>
      </x:c>
      <x:c r="I231" s="35" t="str">
        <x:f>IF(A231="","",MAX(0,G231-H231))</x:f>
      </x:c>
      <x:c r="J231" s="36" t="str">
        <x:f>IF(A231="","",IF(AND(E231&lt;TODAY(),I231&gt;0,K231&lt;&gt;"HỦY"),"QUÁ HẠN",""))</x:f>
      </x:c>
      <x:c r="K231" s="39"/>
      <x:c r="L231" s="39"/>
      <x:c r="M231" s="39"/>
      <x:c r="N231" s="39"/>
      <x:c r="O231" s="42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41"/>
      <x:c r="E232" s="41"/>
      <x:c r="F232" s="39"/>
      <x:c r="G232" s="35" t="str">
        <x:f>IF(A232="","",SUMIFS('CHI_TIẾT_ĐƠN_HÀNG'!$H$2:$H$500,'CHI_TIẾT_ĐƠN_HÀNG'!$B$2:$B$500,A232))</x:f>
      </x:c>
      <x:c r="H232" s="35" t="str">
        <x:f>IF(A232="","",SUMIFS('THANH_TOÁN'!$D$2:$D$500,'THANH_TOÁN'!$B$2:$B$500,A232,'THANH_TOÁN'!$F$2:$F$500,"ĐÃ XÁC NHẬN"))</x:f>
      </x:c>
      <x:c r="I232" s="35" t="str">
        <x:f>IF(A232="","",MAX(0,G232-H232))</x:f>
      </x:c>
      <x:c r="J232" s="36" t="str">
        <x:f>IF(A232="","",IF(AND(E232&lt;TODAY(),I232&gt;0,K232&lt;&gt;"HỦY"),"QUÁ HẠN",""))</x:f>
      </x:c>
      <x:c r="K232" s="39"/>
      <x:c r="L232" s="39"/>
      <x:c r="M232" s="39"/>
      <x:c r="N232" s="39"/>
      <x:c r="O232" s="42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41"/>
      <x:c r="E233" s="41"/>
      <x:c r="F233" s="39"/>
      <x:c r="G233" s="35" t="str">
        <x:f>IF(A233="","",SUMIFS('CHI_TIẾT_ĐƠN_HÀNG'!$H$2:$H$500,'CHI_TIẾT_ĐƠN_HÀNG'!$B$2:$B$500,A233))</x:f>
      </x:c>
      <x:c r="H233" s="35" t="str">
        <x:f>IF(A233="","",SUMIFS('THANH_TOÁN'!$D$2:$D$500,'THANH_TOÁN'!$B$2:$B$500,A233,'THANH_TOÁN'!$F$2:$F$500,"ĐÃ XÁC NHẬN"))</x:f>
      </x:c>
      <x:c r="I233" s="35" t="str">
        <x:f>IF(A233="","",MAX(0,G233-H233))</x:f>
      </x:c>
      <x:c r="J233" s="36" t="str">
        <x:f>IF(A233="","",IF(AND(E233&lt;TODAY(),I233&gt;0,K233&lt;&gt;"HỦY"),"QUÁ HẠN",""))</x:f>
      </x:c>
      <x:c r="K233" s="39"/>
      <x:c r="L233" s="39"/>
      <x:c r="M233" s="39"/>
      <x:c r="N233" s="39"/>
      <x:c r="O233" s="42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41"/>
      <x:c r="E234" s="41"/>
      <x:c r="F234" s="39"/>
      <x:c r="G234" s="35" t="str">
        <x:f>IF(A234="","",SUMIFS('CHI_TIẾT_ĐƠN_HÀNG'!$H$2:$H$500,'CHI_TIẾT_ĐƠN_HÀNG'!$B$2:$B$500,A234))</x:f>
      </x:c>
      <x:c r="H234" s="35" t="str">
        <x:f>IF(A234="","",SUMIFS('THANH_TOÁN'!$D$2:$D$500,'THANH_TOÁN'!$B$2:$B$500,A234,'THANH_TOÁN'!$F$2:$F$500,"ĐÃ XÁC NHẬN"))</x:f>
      </x:c>
      <x:c r="I234" s="35" t="str">
        <x:f>IF(A234="","",MAX(0,G234-H234))</x:f>
      </x:c>
      <x:c r="J234" s="36" t="str">
        <x:f>IF(A234="","",IF(AND(E234&lt;TODAY(),I234&gt;0,K234&lt;&gt;"HỦY"),"QUÁ HẠN",""))</x:f>
      </x:c>
      <x:c r="K234" s="39"/>
      <x:c r="L234" s="39"/>
      <x:c r="M234" s="39"/>
      <x:c r="N234" s="39"/>
      <x:c r="O234" s="42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41"/>
      <x:c r="E235" s="41"/>
      <x:c r="F235" s="39"/>
      <x:c r="G235" s="35" t="str">
        <x:f>IF(A235="","",SUMIFS('CHI_TIẾT_ĐƠN_HÀNG'!$H$2:$H$500,'CHI_TIẾT_ĐƠN_HÀNG'!$B$2:$B$500,A235))</x:f>
      </x:c>
      <x:c r="H235" s="35" t="str">
        <x:f>IF(A235="","",SUMIFS('THANH_TOÁN'!$D$2:$D$500,'THANH_TOÁN'!$B$2:$B$500,A235,'THANH_TOÁN'!$F$2:$F$500,"ĐÃ XÁC NHẬN"))</x:f>
      </x:c>
      <x:c r="I235" s="35" t="str">
        <x:f>IF(A235="","",MAX(0,G235-H235))</x:f>
      </x:c>
      <x:c r="J235" s="36" t="str">
        <x:f>IF(A235="","",IF(AND(E235&lt;TODAY(),I235&gt;0,K235&lt;&gt;"HỦY"),"QUÁ HẠN",""))</x:f>
      </x:c>
      <x:c r="K235" s="39"/>
      <x:c r="L235" s="39"/>
      <x:c r="M235" s="39"/>
      <x:c r="N235" s="39"/>
      <x:c r="O235" s="42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41"/>
      <x:c r="E236" s="41"/>
      <x:c r="F236" s="39"/>
      <x:c r="G236" s="35" t="str">
        <x:f>IF(A236="","",SUMIFS('CHI_TIẾT_ĐƠN_HÀNG'!$H$2:$H$500,'CHI_TIẾT_ĐƠN_HÀNG'!$B$2:$B$500,A236))</x:f>
      </x:c>
      <x:c r="H236" s="35" t="str">
        <x:f>IF(A236="","",SUMIFS('THANH_TOÁN'!$D$2:$D$500,'THANH_TOÁN'!$B$2:$B$500,A236,'THANH_TOÁN'!$F$2:$F$500,"ĐÃ XÁC NHẬN"))</x:f>
      </x:c>
      <x:c r="I236" s="35" t="str">
        <x:f>IF(A236="","",MAX(0,G236-H236))</x:f>
      </x:c>
      <x:c r="J236" s="36" t="str">
        <x:f>IF(A236="","",IF(AND(E236&lt;TODAY(),I236&gt;0,K236&lt;&gt;"HỦY"),"QUÁ HẠN",""))</x:f>
      </x:c>
      <x:c r="K236" s="39"/>
      <x:c r="L236" s="39"/>
      <x:c r="M236" s="39"/>
      <x:c r="N236" s="39"/>
      <x:c r="O236" s="42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41"/>
      <x:c r="E237" s="41"/>
      <x:c r="F237" s="39"/>
      <x:c r="G237" s="35" t="str">
        <x:f>IF(A237="","",SUMIFS('CHI_TIẾT_ĐƠN_HÀNG'!$H$2:$H$500,'CHI_TIẾT_ĐƠN_HÀNG'!$B$2:$B$500,A237))</x:f>
      </x:c>
      <x:c r="H237" s="35" t="str">
        <x:f>IF(A237="","",SUMIFS('THANH_TOÁN'!$D$2:$D$500,'THANH_TOÁN'!$B$2:$B$500,A237,'THANH_TOÁN'!$F$2:$F$500,"ĐÃ XÁC NHẬN"))</x:f>
      </x:c>
      <x:c r="I237" s="35" t="str">
        <x:f>IF(A237="","",MAX(0,G237-H237))</x:f>
      </x:c>
      <x:c r="J237" s="36" t="str">
        <x:f>IF(A237="","",IF(AND(E237&lt;TODAY(),I237&gt;0,K237&lt;&gt;"HỦY"),"QUÁ HẠN",""))</x:f>
      </x:c>
      <x:c r="K237" s="39"/>
      <x:c r="L237" s="39"/>
      <x:c r="M237" s="39"/>
      <x:c r="N237" s="39"/>
      <x:c r="O237" s="42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41"/>
      <x:c r="E238" s="41"/>
      <x:c r="F238" s="39"/>
      <x:c r="G238" s="35" t="str">
        <x:f>IF(A238="","",SUMIFS('CHI_TIẾT_ĐƠN_HÀNG'!$H$2:$H$500,'CHI_TIẾT_ĐƠN_HÀNG'!$B$2:$B$500,A238))</x:f>
      </x:c>
      <x:c r="H238" s="35" t="str">
        <x:f>IF(A238="","",SUMIFS('THANH_TOÁN'!$D$2:$D$500,'THANH_TOÁN'!$B$2:$B$500,A238,'THANH_TOÁN'!$F$2:$F$500,"ĐÃ XÁC NHẬN"))</x:f>
      </x:c>
      <x:c r="I238" s="35" t="str">
        <x:f>IF(A238="","",MAX(0,G238-H238))</x:f>
      </x:c>
      <x:c r="J238" s="36" t="str">
        <x:f>IF(A238="","",IF(AND(E238&lt;TODAY(),I238&gt;0,K238&lt;&gt;"HỦY"),"QUÁ HẠN",""))</x:f>
      </x:c>
      <x:c r="K238" s="39"/>
      <x:c r="L238" s="39"/>
      <x:c r="M238" s="39"/>
      <x:c r="N238" s="39"/>
      <x:c r="O238" s="42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41"/>
      <x:c r="E239" s="41"/>
      <x:c r="F239" s="39"/>
      <x:c r="G239" s="35" t="str">
        <x:f>IF(A239="","",SUMIFS('CHI_TIẾT_ĐƠN_HÀNG'!$H$2:$H$500,'CHI_TIẾT_ĐƠN_HÀNG'!$B$2:$B$500,A239))</x:f>
      </x:c>
      <x:c r="H239" s="35" t="str">
        <x:f>IF(A239="","",SUMIFS('THANH_TOÁN'!$D$2:$D$500,'THANH_TOÁN'!$B$2:$B$500,A239,'THANH_TOÁN'!$F$2:$F$500,"ĐÃ XÁC NHẬN"))</x:f>
      </x:c>
      <x:c r="I239" s="35" t="str">
        <x:f>IF(A239="","",MAX(0,G239-H239))</x:f>
      </x:c>
      <x:c r="J239" s="36" t="str">
        <x:f>IF(A239="","",IF(AND(E239&lt;TODAY(),I239&gt;0,K239&lt;&gt;"HỦY"),"QUÁ HẠN",""))</x:f>
      </x:c>
      <x:c r="K239" s="39"/>
      <x:c r="L239" s="39"/>
      <x:c r="M239" s="39"/>
      <x:c r="N239" s="39"/>
      <x:c r="O239" s="42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41"/>
      <x:c r="E240" s="41"/>
      <x:c r="F240" s="39"/>
      <x:c r="G240" s="35" t="str">
        <x:f>IF(A240="","",SUMIFS('CHI_TIẾT_ĐƠN_HÀNG'!$H$2:$H$500,'CHI_TIẾT_ĐƠN_HÀNG'!$B$2:$B$500,A240))</x:f>
      </x:c>
      <x:c r="H240" s="35" t="str">
        <x:f>IF(A240="","",SUMIFS('THANH_TOÁN'!$D$2:$D$500,'THANH_TOÁN'!$B$2:$B$500,A240,'THANH_TOÁN'!$F$2:$F$500,"ĐÃ XÁC NHẬN"))</x:f>
      </x:c>
      <x:c r="I240" s="35" t="str">
        <x:f>IF(A240="","",MAX(0,G240-H240))</x:f>
      </x:c>
      <x:c r="J240" s="36" t="str">
        <x:f>IF(A240="","",IF(AND(E240&lt;TODAY(),I240&gt;0,K240&lt;&gt;"HỦY"),"QUÁ HẠN",""))</x:f>
      </x:c>
      <x:c r="K240" s="39"/>
      <x:c r="L240" s="39"/>
      <x:c r="M240" s="39"/>
      <x:c r="N240" s="39"/>
      <x:c r="O240" s="42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41"/>
      <x:c r="E241" s="41"/>
      <x:c r="F241" s="39"/>
      <x:c r="G241" s="35" t="str">
        <x:f>IF(A241="","",SUMIFS('CHI_TIẾT_ĐƠN_HÀNG'!$H$2:$H$500,'CHI_TIẾT_ĐƠN_HÀNG'!$B$2:$B$500,A241))</x:f>
      </x:c>
      <x:c r="H241" s="35" t="str">
        <x:f>IF(A241="","",SUMIFS('THANH_TOÁN'!$D$2:$D$500,'THANH_TOÁN'!$B$2:$B$500,A241,'THANH_TOÁN'!$F$2:$F$500,"ĐÃ XÁC NHẬN"))</x:f>
      </x:c>
      <x:c r="I241" s="35" t="str">
        <x:f>IF(A241="","",MAX(0,G241-H241))</x:f>
      </x:c>
      <x:c r="J241" s="36" t="str">
        <x:f>IF(A241="","",IF(AND(E241&lt;TODAY(),I241&gt;0,K241&lt;&gt;"HỦY"),"QUÁ HẠN",""))</x:f>
      </x:c>
      <x:c r="K241" s="39"/>
      <x:c r="L241" s="39"/>
      <x:c r="M241" s="39"/>
      <x:c r="N241" s="39"/>
      <x:c r="O241" s="42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41"/>
      <x:c r="E242" s="41"/>
      <x:c r="F242" s="39"/>
      <x:c r="G242" s="35" t="str">
        <x:f>IF(A242="","",SUMIFS('CHI_TIẾT_ĐƠN_HÀNG'!$H$2:$H$500,'CHI_TIẾT_ĐƠN_HÀNG'!$B$2:$B$500,A242))</x:f>
      </x:c>
      <x:c r="H242" s="35" t="str">
        <x:f>IF(A242="","",SUMIFS('THANH_TOÁN'!$D$2:$D$500,'THANH_TOÁN'!$B$2:$B$500,A242,'THANH_TOÁN'!$F$2:$F$500,"ĐÃ XÁC NHẬN"))</x:f>
      </x:c>
      <x:c r="I242" s="35" t="str">
        <x:f>IF(A242="","",MAX(0,G242-H242))</x:f>
      </x:c>
      <x:c r="J242" s="36" t="str">
        <x:f>IF(A242="","",IF(AND(E242&lt;TODAY(),I242&gt;0,K242&lt;&gt;"HỦY"),"QUÁ HẠN",""))</x:f>
      </x:c>
      <x:c r="K242" s="39"/>
      <x:c r="L242" s="39"/>
      <x:c r="M242" s="39"/>
      <x:c r="N242" s="39"/>
      <x:c r="O242" s="42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41"/>
      <x:c r="E243" s="41"/>
      <x:c r="F243" s="39"/>
      <x:c r="G243" s="35" t="str">
        <x:f>IF(A243="","",SUMIFS('CHI_TIẾT_ĐƠN_HÀNG'!$H$2:$H$500,'CHI_TIẾT_ĐƠN_HÀNG'!$B$2:$B$500,A243))</x:f>
      </x:c>
      <x:c r="H243" s="35" t="str">
        <x:f>IF(A243="","",SUMIFS('THANH_TOÁN'!$D$2:$D$500,'THANH_TOÁN'!$B$2:$B$500,A243,'THANH_TOÁN'!$F$2:$F$500,"ĐÃ XÁC NHẬN"))</x:f>
      </x:c>
      <x:c r="I243" s="35" t="str">
        <x:f>IF(A243="","",MAX(0,G243-H243))</x:f>
      </x:c>
      <x:c r="J243" s="36" t="str">
        <x:f>IF(A243="","",IF(AND(E243&lt;TODAY(),I243&gt;0,K243&lt;&gt;"HỦY"),"QUÁ HẠN",""))</x:f>
      </x:c>
      <x:c r="K243" s="39"/>
      <x:c r="L243" s="39"/>
      <x:c r="M243" s="39"/>
      <x:c r="N243" s="39"/>
      <x:c r="O243" s="42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41"/>
      <x:c r="E244" s="41"/>
      <x:c r="F244" s="39"/>
      <x:c r="G244" s="35" t="str">
        <x:f>IF(A244="","",SUMIFS('CHI_TIẾT_ĐƠN_HÀNG'!$H$2:$H$500,'CHI_TIẾT_ĐƠN_HÀNG'!$B$2:$B$500,A244))</x:f>
      </x:c>
      <x:c r="H244" s="35" t="str">
        <x:f>IF(A244="","",SUMIFS('THANH_TOÁN'!$D$2:$D$500,'THANH_TOÁN'!$B$2:$B$500,A244,'THANH_TOÁN'!$F$2:$F$500,"ĐÃ XÁC NHẬN"))</x:f>
      </x:c>
      <x:c r="I244" s="35" t="str">
        <x:f>IF(A244="","",MAX(0,G244-H244))</x:f>
      </x:c>
      <x:c r="J244" s="36" t="str">
        <x:f>IF(A244="","",IF(AND(E244&lt;TODAY(),I244&gt;0,K244&lt;&gt;"HỦY"),"QUÁ HẠN",""))</x:f>
      </x:c>
      <x:c r="K244" s="39"/>
      <x:c r="L244" s="39"/>
      <x:c r="M244" s="39"/>
      <x:c r="N244" s="39"/>
      <x:c r="O244" s="42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41"/>
      <x:c r="E245" s="41"/>
      <x:c r="F245" s="39"/>
      <x:c r="G245" s="35" t="str">
        <x:f>IF(A245="","",SUMIFS('CHI_TIẾT_ĐƠN_HÀNG'!$H$2:$H$500,'CHI_TIẾT_ĐƠN_HÀNG'!$B$2:$B$500,A245))</x:f>
      </x:c>
      <x:c r="H245" s="35" t="str">
        <x:f>IF(A245="","",SUMIFS('THANH_TOÁN'!$D$2:$D$500,'THANH_TOÁN'!$B$2:$B$500,A245,'THANH_TOÁN'!$F$2:$F$500,"ĐÃ XÁC NHẬN"))</x:f>
      </x:c>
      <x:c r="I245" s="35" t="str">
        <x:f>IF(A245="","",MAX(0,G245-H245))</x:f>
      </x:c>
      <x:c r="J245" s="36" t="str">
        <x:f>IF(A245="","",IF(AND(E245&lt;TODAY(),I245&gt;0,K245&lt;&gt;"HỦY"),"QUÁ HẠN",""))</x:f>
      </x:c>
      <x:c r="K245" s="39"/>
      <x:c r="L245" s="39"/>
      <x:c r="M245" s="39"/>
      <x:c r="N245" s="39"/>
      <x:c r="O245" s="42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41"/>
      <x:c r="E246" s="41"/>
      <x:c r="F246" s="39"/>
      <x:c r="G246" s="35" t="str">
        <x:f>IF(A246="","",SUMIFS('CHI_TIẾT_ĐƠN_HÀNG'!$H$2:$H$500,'CHI_TIẾT_ĐƠN_HÀNG'!$B$2:$B$500,A246))</x:f>
      </x:c>
      <x:c r="H246" s="35" t="str">
        <x:f>IF(A246="","",SUMIFS('THANH_TOÁN'!$D$2:$D$500,'THANH_TOÁN'!$B$2:$B$500,A246,'THANH_TOÁN'!$F$2:$F$500,"ĐÃ XÁC NHẬN"))</x:f>
      </x:c>
      <x:c r="I246" s="35" t="str">
        <x:f>IF(A246="","",MAX(0,G246-H246))</x:f>
      </x:c>
      <x:c r="J246" s="36" t="str">
        <x:f>IF(A246="","",IF(AND(E246&lt;TODAY(),I246&gt;0,K246&lt;&gt;"HỦY"),"QUÁ HẠN",""))</x:f>
      </x:c>
      <x:c r="K246" s="39"/>
      <x:c r="L246" s="39"/>
      <x:c r="M246" s="39"/>
      <x:c r="N246" s="39"/>
      <x:c r="O246" s="42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41"/>
      <x:c r="E247" s="41"/>
      <x:c r="F247" s="39"/>
      <x:c r="G247" s="35" t="str">
        <x:f>IF(A247="","",SUMIFS('CHI_TIẾT_ĐƠN_HÀNG'!$H$2:$H$500,'CHI_TIẾT_ĐƠN_HÀNG'!$B$2:$B$500,A247))</x:f>
      </x:c>
      <x:c r="H247" s="35" t="str">
        <x:f>IF(A247="","",SUMIFS('THANH_TOÁN'!$D$2:$D$500,'THANH_TOÁN'!$B$2:$B$500,A247,'THANH_TOÁN'!$F$2:$F$500,"ĐÃ XÁC NHẬN"))</x:f>
      </x:c>
      <x:c r="I247" s="35" t="str">
        <x:f>IF(A247="","",MAX(0,G247-H247))</x:f>
      </x:c>
      <x:c r="J247" s="36" t="str">
        <x:f>IF(A247="","",IF(AND(E247&lt;TODAY(),I247&gt;0,K247&lt;&gt;"HỦY"),"QUÁ HẠN",""))</x:f>
      </x:c>
      <x:c r="K247" s="39"/>
      <x:c r="L247" s="39"/>
      <x:c r="M247" s="39"/>
      <x:c r="N247" s="39"/>
      <x:c r="O247" s="42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41"/>
      <x:c r="E248" s="41"/>
      <x:c r="F248" s="39"/>
      <x:c r="G248" s="35" t="str">
        <x:f>IF(A248="","",SUMIFS('CHI_TIẾT_ĐƠN_HÀNG'!$H$2:$H$500,'CHI_TIẾT_ĐƠN_HÀNG'!$B$2:$B$500,A248))</x:f>
      </x:c>
      <x:c r="H248" s="35" t="str">
        <x:f>IF(A248="","",SUMIFS('THANH_TOÁN'!$D$2:$D$500,'THANH_TOÁN'!$B$2:$B$500,A248,'THANH_TOÁN'!$F$2:$F$500,"ĐÃ XÁC NHẬN"))</x:f>
      </x:c>
      <x:c r="I248" s="35" t="str">
        <x:f>IF(A248="","",MAX(0,G248-H248))</x:f>
      </x:c>
      <x:c r="J248" s="36" t="str">
        <x:f>IF(A248="","",IF(AND(E248&lt;TODAY(),I248&gt;0,K248&lt;&gt;"HỦY"),"QUÁ HẠN",""))</x:f>
      </x:c>
      <x:c r="K248" s="39"/>
      <x:c r="L248" s="39"/>
      <x:c r="M248" s="39"/>
      <x:c r="N248" s="39"/>
      <x:c r="O248" s="42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41"/>
      <x:c r="E249" s="41"/>
      <x:c r="F249" s="39"/>
      <x:c r="G249" s="35" t="str">
        <x:f>IF(A249="","",SUMIFS('CHI_TIẾT_ĐƠN_HÀNG'!$H$2:$H$500,'CHI_TIẾT_ĐƠN_HÀNG'!$B$2:$B$500,A249))</x:f>
      </x:c>
      <x:c r="H249" s="35" t="str">
        <x:f>IF(A249="","",SUMIFS('THANH_TOÁN'!$D$2:$D$500,'THANH_TOÁN'!$B$2:$B$500,A249,'THANH_TOÁN'!$F$2:$F$500,"ĐÃ XÁC NHẬN"))</x:f>
      </x:c>
      <x:c r="I249" s="35" t="str">
        <x:f>IF(A249="","",MAX(0,G249-H249))</x:f>
      </x:c>
      <x:c r="J249" s="36" t="str">
        <x:f>IF(A249="","",IF(AND(E249&lt;TODAY(),I249&gt;0,K249&lt;&gt;"HỦY"),"QUÁ HẠN",""))</x:f>
      </x:c>
      <x:c r="K249" s="39"/>
      <x:c r="L249" s="39"/>
      <x:c r="M249" s="39"/>
      <x:c r="N249" s="39"/>
      <x:c r="O249" s="42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41"/>
      <x:c r="E250" s="41"/>
      <x:c r="F250" s="39"/>
      <x:c r="G250" s="35" t="str">
        <x:f>IF(A250="","",SUMIFS('CHI_TIẾT_ĐƠN_HÀNG'!$H$2:$H$500,'CHI_TIẾT_ĐƠN_HÀNG'!$B$2:$B$500,A250))</x:f>
      </x:c>
      <x:c r="H250" s="35" t="str">
        <x:f>IF(A250="","",SUMIFS('THANH_TOÁN'!$D$2:$D$500,'THANH_TOÁN'!$B$2:$B$500,A250,'THANH_TOÁN'!$F$2:$F$500,"ĐÃ XÁC NHẬN"))</x:f>
      </x:c>
      <x:c r="I250" s="35" t="str">
        <x:f>IF(A250="","",MAX(0,G250-H250))</x:f>
      </x:c>
      <x:c r="J250" s="36" t="str">
        <x:f>IF(A250="","",IF(AND(E250&lt;TODAY(),I250&gt;0,K250&lt;&gt;"HỦY"),"QUÁ HẠN",""))</x:f>
      </x:c>
      <x:c r="K250" s="39"/>
      <x:c r="L250" s="39"/>
      <x:c r="M250" s="39"/>
      <x:c r="N250" s="39"/>
      <x:c r="O250" s="42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41"/>
      <x:c r="E251" s="41"/>
      <x:c r="F251" s="39"/>
      <x:c r="G251" s="35" t="str">
        <x:f>IF(A251="","",SUMIFS('CHI_TIẾT_ĐƠN_HÀNG'!$H$2:$H$500,'CHI_TIẾT_ĐƠN_HÀNG'!$B$2:$B$500,A251))</x:f>
      </x:c>
      <x:c r="H251" s="35" t="str">
        <x:f>IF(A251="","",SUMIFS('THANH_TOÁN'!$D$2:$D$500,'THANH_TOÁN'!$B$2:$B$500,A251,'THANH_TOÁN'!$F$2:$F$500,"ĐÃ XÁC NHẬN"))</x:f>
      </x:c>
      <x:c r="I251" s="35" t="str">
        <x:f>IF(A251="","",MAX(0,G251-H251))</x:f>
      </x:c>
      <x:c r="J251" s="36" t="str">
        <x:f>IF(A251="","",IF(AND(E251&lt;TODAY(),I251&gt;0,K251&lt;&gt;"HỦY"),"QUÁ HẠN",""))</x:f>
      </x:c>
      <x:c r="K251" s="39"/>
      <x:c r="L251" s="39"/>
      <x:c r="M251" s="39"/>
      <x:c r="N251" s="39"/>
      <x:c r="O251" s="42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41"/>
      <x:c r="E252" s="41"/>
      <x:c r="F252" s="39"/>
      <x:c r="G252" s="35" t="str">
        <x:f>IF(A252="","",SUMIFS('CHI_TIẾT_ĐƠN_HÀNG'!$H$2:$H$500,'CHI_TIẾT_ĐƠN_HÀNG'!$B$2:$B$500,A252))</x:f>
      </x:c>
      <x:c r="H252" s="35" t="str">
        <x:f>IF(A252="","",SUMIFS('THANH_TOÁN'!$D$2:$D$500,'THANH_TOÁN'!$B$2:$B$500,A252,'THANH_TOÁN'!$F$2:$F$500,"ĐÃ XÁC NHẬN"))</x:f>
      </x:c>
      <x:c r="I252" s="35" t="str">
        <x:f>IF(A252="","",MAX(0,G252-H252))</x:f>
      </x:c>
      <x:c r="J252" s="36" t="str">
        <x:f>IF(A252="","",IF(AND(E252&lt;TODAY(),I252&gt;0,K252&lt;&gt;"HỦY"),"QUÁ HẠN",""))</x:f>
      </x:c>
      <x:c r="K252" s="39"/>
      <x:c r="L252" s="39"/>
      <x:c r="M252" s="39"/>
      <x:c r="N252" s="39"/>
      <x:c r="O252" s="42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41"/>
      <x:c r="E253" s="41"/>
      <x:c r="F253" s="39"/>
      <x:c r="G253" s="35" t="str">
        <x:f>IF(A253="","",SUMIFS('CHI_TIẾT_ĐƠN_HÀNG'!$H$2:$H$500,'CHI_TIẾT_ĐƠN_HÀNG'!$B$2:$B$500,A253))</x:f>
      </x:c>
      <x:c r="H253" s="35" t="str">
        <x:f>IF(A253="","",SUMIFS('THANH_TOÁN'!$D$2:$D$500,'THANH_TOÁN'!$B$2:$B$500,A253,'THANH_TOÁN'!$F$2:$F$500,"ĐÃ XÁC NHẬN"))</x:f>
      </x:c>
      <x:c r="I253" s="35" t="str">
        <x:f>IF(A253="","",MAX(0,G253-H253))</x:f>
      </x:c>
      <x:c r="J253" s="36" t="str">
        <x:f>IF(A253="","",IF(AND(E253&lt;TODAY(),I253&gt;0,K253&lt;&gt;"HỦY"),"QUÁ HẠN",""))</x:f>
      </x:c>
      <x:c r="K253" s="39"/>
      <x:c r="L253" s="39"/>
      <x:c r="M253" s="39"/>
      <x:c r="N253" s="39"/>
      <x:c r="O253" s="42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41"/>
      <x:c r="E254" s="41"/>
      <x:c r="F254" s="39"/>
      <x:c r="G254" s="35" t="str">
        <x:f>IF(A254="","",SUMIFS('CHI_TIẾT_ĐƠN_HÀNG'!$H$2:$H$500,'CHI_TIẾT_ĐƠN_HÀNG'!$B$2:$B$500,A254))</x:f>
      </x:c>
      <x:c r="H254" s="35" t="str">
        <x:f>IF(A254="","",SUMIFS('THANH_TOÁN'!$D$2:$D$500,'THANH_TOÁN'!$B$2:$B$500,A254,'THANH_TOÁN'!$F$2:$F$500,"ĐÃ XÁC NHẬN"))</x:f>
      </x:c>
      <x:c r="I254" s="35" t="str">
        <x:f>IF(A254="","",MAX(0,G254-H254))</x:f>
      </x:c>
      <x:c r="J254" s="36" t="str">
        <x:f>IF(A254="","",IF(AND(E254&lt;TODAY(),I254&gt;0,K254&lt;&gt;"HỦY"),"QUÁ HẠN",""))</x:f>
      </x:c>
      <x:c r="K254" s="39"/>
      <x:c r="L254" s="39"/>
      <x:c r="M254" s="39"/>
      <x:c r="N254" s="39"/>
      <x:c r="O254" s="42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41"/>
      <x:c r="E255" s="41"/>
      <x:c r="F255" s="39"/>
      <x:c r="G255" s="35" t="str">
        <x:f>IF(A255="","",SUMIFS('CHI_TIẾT_ĐƠN_HÀNG'!$H$2:$H$500,'CHI_TIẾT_ĐƠN_HÀNG'!$B$2:$B$500,A255))</x:f>
      </x:c>
      <x:c r="H255" s="35" t="str">
        <x:f>IF(A255="","",SUMIFS('THANH_TOÁN'!$D$2:$D$500,'THANH_TOÁN'!$B$2:$B$500,A255,'THANH_TOÁN'!$F$2:$F$500,"ĐÃ XÁC NHẬN"))</x:f>
      </x:c>
      <x:c r="I255" s="35" t="str">
        <x:f>IF(A255="","",MAX(0,G255-H255))</x:f>
      </x:c>
      <x:c r="J255" s="36" t="str">
        <x:f>IF(A255="","",IF(AND(E255&lt;TODAY(),I255&gt;0,K255&lt;&gt;"HỦY"),"QUÁ HẠN",""))</x:f>
      </x:c>
      <x:c r="K255" s="39"/>
      <x:c r="L255" s="39"/>
      <x:c r="M255" s="39"/>
      <x:c r="N255" s="39"/>
      <x:c r="O255" s="42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41"/>
      <x:c r="E256" s="41"/>
      <x:c r="F256" s="39"/>
      <x:c r="G256" s="35" t="str">
        <x:f>IF(A256="","",SUMIFS('CHI_TIẾT_ĐƠN_HÀNG'!$H$2:$H$500,'CHI_TIẾT_ĐƠN_HÀNG'!$B$2:$B$500,A256))</x:f>
      </x:c>
      <x:c r="H256" s="35" t="str">
        <x:f>IF(A256="","",SUMIFS('THANH_TOÁN'!$D$2:$D$500,'THANH_TOÁN'!$B$2:$B$500,A256,'THANH_TOÁN'!$F$2:$F$500,"ĐÃ XÁC NHẬN"))</x:f>
      </x:c>
      <x:c r="I256" s="35" t="str">
        <x:f>IF(A256="","",MAX(0,G256-H256))</x:f>
      </x:c>
      <x:c r="J256" s="36" t="str">
        <x:f>IF(A256="","",IF(AND(E256&lt;TODAY(),I256&gt;0,K256&lt;&gt;"HỦY"),"QUÁ HẠN",""))</x:f>
      </x:c>
      <x:c r="K256" s="39"/>
      <x:c r="L256" s="39"/>
      <x:c r="M256" s="39"/>
      <x:c r="N256" s="39"/>
      <x:c r="O256" s="42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41"/>
      <x:c r="E257" s="41"/>
      <x:c r="F257" s="39"/>
      <x:c r="G257" s="35" t="str">
        <x:f>IF(A257="","",SUMIFS('CHI_TIẾT_ĐƠN_HÀNG'!$H$2:$H$500,'CHI_TIẾT_ĐƠN_HÀNG'!$B$2:$B$500,A257))</x:f>
      </x:c>
      <x:c r="H257" s="35" t="str">
        <x:f>IF(A257="","",SUMIFS('THANH_TOÁN'!$D$2:$D$500,'THANH_TOÁN'!$B$2:$B$500,A257,'THANH_TOÁN'!$F$2:$F$500,"ĐÃ XÁC NHẬN"))</x:f>
      </x:c>
      <x:c r="I257" s="35" t="str">
        <x:f>IF(A257="","",MAX(0,G257-H257))</x:f>
      </x:c>
      <x:c r="J257" s="36" t="str">
        <x:f>IF(A257="","",IF(AND(E257&lt;TODAY(),I257&gt;0,K257&lt;&gt;"HỦY"),"QUÁ HẠN",""))</x:f>
      </x:c>
      <x:c r="K257" s="39"/>
      <x:c r="L257" s="39"/>
      <x:c r="M257" s="39"/>
      <x:c r="N257" s="39"/>
      <x:c r="O257" s="42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41"/>
      <x:c r="E258" s="41"/>
      <x:c r="F258" s="39"/>
      <x:c r="G258" s="35" t="str">
        <x:f>IF(A258="","",SUMIFS('CHI_TIẾT_ĐƠN_HÀNG'!$H$2:$H$500,'CHI_TIẾT_ĐƠN_HÀNG'!$B$2:$B$500,A258))</x:f>
      </x:c>
      <x:c r="H258" s="35" t="str">
        <x:f>IF(A258="","",SUMIFS('THANH_TOÁN'!$D$2:$D$500,'THANH_TOÁN'!$B$2:$B$500,A258,'THANH_TOÁN'!$F$2:$F$500,"ĐÃ XÁC NHẬN"))</x:f>
      </x:c>
      <x:c r="I258" s="35" t="str">
        <x:f>IF(A258="","",MAX(0,G258-H258))</x:f>
      </x:c>
      <x:c r="J258" s="36" t="str">
        <x:f>IF(A258="","",IF(AND(E258&lt;TODAY(),I258&gt;0,K258&lt;&gt;"HỦY"),"QUÁ HẠN",""))</x:f>
      </x:c>
      <x:c r="K258" s="39"/>
      <x:c r="L258" s="39"/>
      <x:c r="M258" s="39"/>
      <x:c r="N258" s="39"/>
      <x:c r="O258" s="42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41"/>
      <x:c r="E259" s="41"/>
      <x:c r="F259" s="39"/>
      <x:c r="G259" s="35" t="str">
        <x:f>IF(A259="","",SUMIFS('CHI_TIẾT_ĐƠN_HÀNG'!$H$2:$H$500,'CHI_TIẾT_ĐƠN_HÀNG'!$B$2:$B$500,A259))</x:f>
      </x:c>
      <x:c r="H259" s="35" t="str">
        <x:f>IF(A259="","",SUMIFS('THANH_TOÁN'!$D$2:$D$500,'THANH_TOÁN'!$B$2:$B$500,A259,'THANH_TOÁN'!$F$2:$F$500,"ĐÃ XÁC NHẬN"))</x:f>
      </x:c>
      <x:c r="I259" s="35" t="str">
        <x:f>IF(A259="","",MAX(0,G259-H259))</x:f>
      </x:c>
      <x:c r="J259" s="36" t="str">
        <x:f>IF(A259="","",IF(AND(E259&lt;TODAY(),I259&gt;0,K259&lt;&gt;"HỦY"),"QUÁ HẠN",""))</x:f>
      </x:c>
      <x:c r="K259" s="39"/>
      <x:c r="L259" s="39"/>
      <x:c r="M259" s="39"/>
      <x:c r="N259" s="39"/>
      <x:c r="O259" s="42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41"/>
      <x:c r="E260" s="41"/>
      <x:c r="F260" s="39"/>
      <x:c r="G260" s="35" t="str">
        <x:f>IF(A260="","",SUMIFS('CHI_TIẾT_ĐƠN_HÀNG'!$H$2:$H$500,'CHI_TIẾT_ĐƠN_HÀNG'!$B$2:$B$500,A260))</x:f>
      </x:c>
      <x:c r="H260" s="35" t="str">
        <x:f>IF(A260="","",SUMIFS('THANH_TOÁN'!$D$2:$D$500,'THANH_TOÁN'!$B$2:$B$500,A260,'THANH_TOÁN'!$F$2:$F$500,"ĐÃ XÁC NHẬN"))</x:f>
      </x:c>
      <x:c r="I260" s="35" t="str">
        <x:f>IF(A260="","",MAX(0,G260-H260))</x:f>
      </x:c>
      <x:c r="J260" s="36" t="str">
        <x:f>IF(A260="","",IF(AND(E260&lt;TODAY(),I260&gt;0,K260&lt;&gt;"HỦY"),"QUÁ HẠN",""))</x:f>
      </x:c>
      <x:c r="K260" s="39"/>
      <x:c r="L260" s="39"/>
      <x:c r="M260" s="39"/>
      <x:c r="N260" s="39"/>
      <x:c r="O260" s="42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41"/>
      <x:c r="E261" s="41"/>
      <x:c r="F261" s="39"/>
      <x:c r="G261" s="35" t="str">
        <x:f>IF(A261="","",SUMIFS('CHI_TIẾT_ĐƠN_HÀNG'!$H$2:$H$500,'CHI_TIẾT_ĐƠN_HÀNG'!$B$2:$B$500,A261))</x:f>
      </x:c>
      <x:c r="H261" s="35" t="str">
        <x:f>IF(A261="","",SUMIFS('THANH_TOÁN'!$D$2:$D$500,'THANH_TOÁN'!$B$2:$B$500,A261,'THANH_TOÁN'!$F$2:$F$500,"ĐÃ XÁC NHẬN"))</x:f>
      </x:c>
      <x:c r="I261" s="35" t="str">
        <x:f>IF(A261="","",MAX(0,G261-H261))</x:f>
      </x:c>
      <x:c r="J261" s="36" t="str">
        <x:f>IF(A261="","",IF(AND(E261&lt;TODAY(),I261&gt;0,K261&lt;&gt;"HỦY"),"QUÁ HẠN",""))</x:f>
      </x:c>
      <x:c r="K261" s="39"/>
      <x:c r="L261" s="39"/>
      <x:c r="M261" s="39"/>
      <x:c r="N261" s="39"/>
      <x:c r="O261" s="42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41"/>
      <x:c r="E262" s="41"/>
      <x:c r="F262" s="39"/>
      <x:c r="G262" s="35" t="str">
        <x:f>IF(A262="","",SUMIFS('CHI_TIẾT_ĐƠN_HÀNG'!$H$2:$H$500,'CHI_TIẾT_ĐƠN_HÀNG'!$B$2:$B$500,A262))</x:f>
      </x:c>
      <x:c r="H262" s="35" t="str">
        <x:f>IF(A262="","",SUMIFS('THANH_TOÁN'!$D$2:$D$500,'THANH_TOÁN'!$B$2:$B$500,A262,'THANH_TOÁN'!$F$2:$F$500,"ĐÃ XÁC NHẬN"))</x:f>
      </x:c>
      <x:c r="I262" s="35" t="str">
        <x:f>IF(A262="","",MAX(0,G262-H262))</x:f>
      </x:c>
      <x:c r="J262" s="36" t="str">
        <x:f>IF(A262="","",IF(AND(E262&lt;TODAY(),I262&gt;0,K262&lt;&gt;"HỦY"),"QUÁ HẠN",""))</x:f>
      </x:c>
      <x:c r="K262" s="39"/>
      <x:c r="L262" s="39"/>
      <x:c r="M262" s="39"/>
      <x:c r="N262" s="39"/>
      <x:c r="O262" s="42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41"/>
      <x:c r="E263" s="41"/>
      <x:c r="F263" s="39"/>
      <x:c r="G263" s="35" t="str">
        <x:f>IF(A263="","",SUMIFS('CHI_TIẾT_ĐƠN_HÀNG'!$H$2:$H$500,'CHI_TIẾT_ĐƠN_HÀNG'!$B$2:$B$500,A263))</x:f>
      </x:c>
      <x:c r="H263" s="35" t="str">
        <x:f>IF(A263="","",SUMIFS('THANH_TOÁN'!$D$2:$D$500,'THANH_TOÁN'!$B$2:$B$500,A263,'THANH_TOÁN'!$F$2:$F$500,"ĐÃ XÁC NHẬN"))</x:f>
      </x:c>
      <x:c r="I263" s="35" t="str">
        <x:f>IF(A263="","",MAX(0,G263-H263))</x:f>
      </x:c>
      <x:c r="J263" s="36" t="str">
        <x:f>IF(A263="","",IF(AND(E263&lt;TODAY(),I263&gt;0,K263&lt;&gt;"HỦY"),"QUÁ HẠN",""))</x:f>
      </x:c>
      <x:c r="K263" s="39"/>
      <x:c r="L263" s="39"/>
      <x:c r="M263" s="39"/>
      <x:c r="N263" s="39"/>
      <x:c r="O263" s="42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41"/>
      <x:c r="E264" s="41"/>
      <x:c r="F264" s="39"/>
      <x:c r="G264" s="35" t="str">
        <x:f>IF(A264="","",SUMIFS('CHI_TIẾT_ĐƠN_HÀNG'!$H$2:$H$500,'CHI_TIẾT_ĐƠN_HÀNG'!$B$2:$B$500,A264))</x:f>
      </x:c>
      <x:c r="H264" s="35" t="str">
        <x:f>IF(A264="","",SUMIFS('THANH_TOÁN'!$D$2:$D$500,'THANH_TOÁN'!$B$2:$B$500,A264,'THANH_TOÁN'!$F$2:$F$500,"ĐÃ XÁC NHẬN"))</x:f>
      </x:c>
      <x:c r="I264" s="35" t="str">
        <x:f>IF(A264="","",MAX(0,G264-H264))</x:f>
      </x:c>
      <x:c r="J264" s="36" t="str">
        <x:f>IF(A264="","",IF(AND(E264&lt;TODAY(),I264&gt;0,K264&lt;&gt;"HỦY"),"QUÁ HẠN",""))</x:f>
      </x:c>
      <x:c r="K264" s="39"/>
      <x:c r="L264" s="39"/>
      <x:c r="M264" s="39"/>
      <x:c r="N264" s="39"/>
      <x:c r="O264" s="42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41"/>
      <x:c r="E265" s="41"/>
      <x:c r="F265" s="39"/>
      <x:c r="G265" s="35" t="str">
        <x:f>IF(A265="","",SUMIFS('CHI_TIẾT_ĐƠN_HÀNG'!$H$2:$H$500,'CHI_TIẾT_ĐƠN_HÀNG'!$B$2:$B$500,A265))</x:f>
      </x:c>
      <x:c r="H265" s="35" t="str">
        <x:f>IF(A265="","",SUMIFS('THANH_TOÁN'!$D$2:$D$500,'THANH_TOÁN'!$B$2:$B$500,A265,'THANH_TOÁN'!$F$2:$F$500,"ĐÃ XÁC NHẬN"))</x:f>
      </x:c>
      <x:c r="I265" s="35" t="str">
        <x:f>IF(A265="","",MAX(0,G265-H265))</x:f>
      </x:c>
      <x:c r="J265" s="36" t="str">
        <x:f>IF(A265="","",IF(AND(E265&lt;TODAY(),I265&gt;0,K265&lt;&gt;"HỦY"),"QUÁ HẠN",""))</x:f>
      </x:c>
      <x:c r="K265" s="39"/>
      <x:c r="L265" s="39"/>
      <x:c r="M265" s="39"/>
      <x:c r="N265" s="39"/>
      <x:c r="O265" s="42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41"/>
      <x:c r="E266" s="41"/>
      <x:c r="F266" s="39"/>
      <x:c r="G266" s="35" t="str">
        <x:f>IF(A266="","",SUMIFS('CHI_TIẾT_ĐƠN_HÀNG'!$H$2:$H$500,'CHI_TIẾT_ĐƠN_HÀNG'!$B$2:$B$500,A266))</x:f>
      </x:c>
      <x:c r="H266" s="35" t="str">
        <x:f>IF(A266="","",SUMIFS('THANH_TOÁN'!$D$2:$D$500,'THANH_TOÁN'!$B$2:$B$500,A266,'THANH_TOÁN'!$F$2:$F$500,"ĐÃ XÁC NHẬN"))</x:f>
      </x:c>
      <x:c r="I266" s="35" t="str">
        <x:f>IF(A266="","",MAX(0,G266-H266))</x:f>
      </x:c>
      <x:c r="J266" s="36" t="str">
        <x:f>IF(A266="","",IF(AND(E266&lt;TODAY(),I266&gt;0,K266&lt;&gt;"HỦY"),"QUÁ HẠN",""))</x:f>
      </x:c>
      <x:c r="K266" s="39"/>
      <x:c r="L266" s="39"/>
      <x:c r="M266" s="39"/>
      <x:c r="N266" s="39"/>
      <x:c r="O266" s="42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41"/>
      <x:c r="E267" s="41"/>
      <x:c r="F267" s="39"/>
      <x:c r="G267" s="35" t="str">
        <x:f>IF(A267="","",SUMIFS('CHI_TIẾT_ĐƠN_HÀNG'!$H$2:$H$500,'CHI_TIẾT_ĐƠN_HÀNG'!$B$2:$B$500,A267))</x:f>
      </x:c>
      <x:c r="H267" s="35" t="str">
        <x:f>IF(A267="","",SUMIFS('THANH_TOÁN'!$D$2:$D$500,'THANH_TOÁN'!$B$2:$B$500,A267,'THANH_TOÁN'!$F$2:$F$500,"ĐÃ XÁC NHẬN"))</x:f>
      </x:c>
      <x:c r="I267" s="35" t="str">
        <x:f>IF(A267="","",MAX(0,G267-H267))</x:f>
      </x:c>
      <x:c r="J267" s="36" t="str">
        <x:f>IF(A267="","",IF(AND(E267&lt;TODAY(),I267&gt;0,K267&lt;&gt;"HỦY"),"QUÁ HẠN",""))</x:f>
      </x:c>
      <x:c r="K267" s="39"/>
      <x:c r="L267" s="39"/>
      <x:c r="M267" s="39"/>
      <x:c r="N267" s="39"/>
      <x:c r="O267" s="42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41"/>
      <x:c r="E268" s="41"/>
      <x:c r="F268" s="39"/>
      <x:c r="G268" s="35" t="str">
        <x:f>IF(A268="","",SUMIFS('CHI_TIẾT_ĐƠN_HÀNG'!$H$2:$H$500,'CHI_TIẾT_ĐƠN_HÀNG'!$B$2:$B$500,A268))</x:f>
      </x:c>
      <x:c r="H268" s="35" t="str">
        <x:f>IF(A268="","",SUMIFS('THANH_TOÁN'!$D$2:$D$500,'THANH_TOÁN'!$B$2:$B$500,A268,'THANH_TOÁN'!$F$2:$F$500,"ĐÃ XÁC NHẬN"))</x:f>
      </x:c>
      <x:c r="I268" s="35" t="str">
        <x:f>IF(A268="","",MAX(0,G268-H268))</x:f>
      </x:c>
      <x:c r="J268" s="36" t="str">
        <x:f>IF(A268="","",IF(AND(E268&lt;TODAY(),I268&gt;0,K268&lt;&gt;"HỦY"),"QUÁ HẠN",""))</x:f>
      </x:c>
      <x:c r="K268" s="39"/>
      <x:c r="L268" s="39"/>
      <x:c r="M268" s="39"/>
      <x:c r="N268" s="39"/>
      <x:c r="O268" s="42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41"/>
      <x:c r="E269" s="41"/>
      <x:c r="F269" s="39"/>
      <x:c r="G269" s="35" t="str">
        <x:f>IF(A269="","",SUMIFS('CHI_TIẾT_ĐƠN_HÀNG'!$H$2:$H$500,'CHI_TIẾT_ĐƠN_HÀNG'!$B$2:$B$500,A269))</x:f>
      </x:c>
      <x:c r="H269" s="35" t="str">
        <x:f>IF(A269="","",SUMIFS('THANH_TOÁN'!$D$2:$D$500,'THANH_TOÁN'!$B$2:$B$500,A269,'THANH_TOÁN'!$F$2:$F$500,"ĐÃ XÁC NHẬN"))</x:f>
      </x:c>
      <x:c r="I269" s="35" t="str">
        <x:f>IF(A269="","",MAX(0,G269-H269))</x:f>
      </x:c>
      <x:c r="J269" s="36" t="str">
        <x:f>IF(A269="","",IF(AND(E269&lt;TODAY(),I269&gt;0,K269&lt;&gt;"HỦY"),"QUÁ HẠN",""))</x:f>
      </x:c>
      <x:c r="K269" s="39"/>
      <x:c r="L269" s="39"/>
      <x:c r="M269" s="39"/>
      <x:c r="N269" s="39"/>
      <x:c r="O269" s="42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41"/>
      <x:c r="E270" s="41"/>
      <x:c r="F270" s="39"/>
      <x:c r="G270" s="35" t="str">
        <x:f>IF(A270="","",SUMIFS('CHI_TIẾT_ĐƠN_HÀNG'!$H$2:$H$500,'CHI_TIẾT_ĐƠN_HÀNG'!$B$2:$B$500,A270))</x:f>
      </x:c>
      <x:c r="H270" s="35" t="str">
        <x:f>IF(A270="","",SUMIFS('THANH_TOÁN'!$D$2:$D$500,'THANH_TOÁN'!$B$2:$B$500,A270,'THANH_TOÁN'!$F$2:$F$500,"ĐÃ XÁC NHẬN"))</x:f>
      </x:c>
      <x:c r="I270" s="35" t="str">
        <x:f>IF(A270="","",MAX(0,G270-H270))</x:f>
      </x:c>
      <x:c r="J270" s="36" t="str">
        <x:f>IF(A270="","",IF(AND(E270&lt;TODAY(),I270&gt;0,K270&lt;&gt;"HỦY"),"QUÁ HẠN",""))</x:f>
      </x:c>
      <x:c r="K270" s="39"/>
      <x:c r="L270" s="39"/>
      <x:c r="M270" s="39"/>
      <x:c r="N270" s="39"/>
      <x:c r="O270" s="42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41"/>
      <x:c r="E271" s="41"/>
      <x:c r="F271" s="39"/>
      <x:c r="G271" s="35" t="str">
        <x:f>IF(A271="","",SUMIFS('CHI_TIẾT_ĐƠN_HÀNG'!$H$2:$H$500,'CHI_TIẾT_ĐƠN_HÀNG'!$B$2:$B$500,A271))</x:f>
      </x:c>
      <x:c r="H271" s="35" t="str">
        <x:f>IF(A271="","",SUMIFS('THANH_TOÁN'!$D$2:$D$500,'THANH_TOÁN'!$B$2:$B$500,A271,'THANH_TOÁN'!$F$2:$F$500,"ĐÃ XÁC NHẬN"))</x:f>
      </x:c>
      <x:c r="I271" s="35" t="str">
        <x:f>IF(A271="","",MAX(0,G271-H271))</x:f>
      </x:c>
      <x:c r="J271" s="36" t="str">
        <x:f>IF(A271="","",IF(AND(E271&lt;TODAY(),I271&gt;0,K271&lt;&gt;"HỦY"),"QUÁ HẠN",""))</x:f>
      </x:c>
      <x:c r="K271" s="39"/>
      <x:c r="L271" s="39"/>
      <x:c r="M271" s="39"/>
      <x:c r="N271" s="39"/>
      <x:c r="O271" s="42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41"/>
      <x:c r="E272" s="41"/>
      <x:c r="F272" s="39"/>
      <x:c r="G272" s="35" t="str">
        <x:f>IF(A272="","",SUMIFS('CHI_TIẾT_ĐƠN_HÀNG'!$H$2:$H$500,'CHI_TIẾT_ĐƠN_HÀNG'!$B$2:$B$500,A272))</x:f>
      </x:c>
      <x:c r="H272" s="35" t="str">
        <x:f>IF(A272="","",SUMIFS('THANH_TOÁN'!$D$2:$D$500,'THANH_TOÁN'!$B$2:$B$500,A272,'THANH_TOÁN'!$F$2:$F$500,"ĐÃ XÁC NHẬN"))</x:f>
      </x:c>
      <x:c r="I272" s="35" t="str">
        <x:f>IF(A272="","",MAX(0,G272-H272))</x:f>
      </x:c>
      <x:c r="J272" s="36" t="str">
        <x:f>IF(A272="","",IF(AND(E272&lt;TODAY(),I272&gt;0,K272&lt;&gt;"HỦY"),"QUÁ HẠN",""))</x:f>
      </x:c>
      <x:c r="K272" s="39"/>
      <x:c r="L272" s="39"/>
      <x:c r="M272" s="39"/>
      <x:c r="N272" s="39"/>
      <x:c r="O272" s="42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41"/>
      <x:c r="E273" s="41"/>
      <x:c r="F273" s="39"/>
      <x:c r="G273" s="35" t="str">
        <x:f>IF(A273="","",SUMIFS('CHI_TIẾT_ĐƠN_HÀNG'!$H$2:$H$500,'CHI_TIẾT_ĐƠN_HÀNG'!$B$2:$B$500,A273))</x:f>
      </x:c>
      <x:c r="H273" s="35" t="str">
        <x:f>IF(A273="","",SUMIFS('THANH_TOÁN'!$D$2:$D$500,'THANH_TOÁN'!$B$2:$B$500,A273,'THANH_TOÁN'!$F$2:$F$500,"ĐÃ XÁC NHẬN"))</x:f>
      </x:c>
      <x:c r="I273" s="35" t="str">
        <x:f>IF(A273="","",MAX(0,G273-H273))</x:f>
      </x:c>
      <x:c r="J273" s="36" t="str">
        <x:f>IF(A273="","",IF(AND(E273&lt;TODAY(),I273&gt;0,K273&lt;&gt;"HỦY"),"QUÁ HẠN",""))</x:f>
      </x:c>
      <x:c r="K273" s="39"/>
      <x:c r="L273" s="39"/>
      <x:c r="M273" s="39"/>
      <x:c r="N273" s="39"/>
      <x:c r="O273" s="42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41"/>
      <x:c r="E274" s="41"/>
      <x:c r="F274" s="39"/>
      <x:c r="G274" s="35" t="str">
        <x:f>IF(A274="","",SUMIFS('CHI_TIẾT_ĐƠN_HÀNG'!$H$2:$H$500,'CHI_TIẾT_ĐƠN_HÀNG'!$B$2:$B$500,A274))</x:f>
      </x:c>
      <x:c r="H274" s="35" t="str">
        <x:f>IF(A274="","",SUMIFS('THANH_TOÁN'!$D$2:$D$500,'THANH_TOÁN'!$B$2:$B$500,A274,'THANH_TOÁN'!$F$2:$F$500,"ĐÃ XÁC NHẬN"))</x:f>
      </x:c>
      <x:c r="I274" s="35" t="str">
        <x:f>IF(A274="","",MAX(0,G274-H274))</x:f>
      </x:c>
      <x:c r="J274" s="36" t="str">
        <x:f>IF(A274="","",IF(AND(E274&lt;TODAY(),I274&gt;0,K274&lt;&gt;"HỦY"),"QUÁ HẠN",""))</x:f>
      </x:c>
      <x:c r="K274" s="39"/>
      <x:c r="L274" s="39"/>
      <x:c r="M274" s="39"/>
      <x:c r="N274" s="39"/>
      <x:c r="O274" s="42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41"/>
      <x:c r="E275" s="41"/>
      <x:c r="F275" s="39"/>
      <x:c r="G275" s="35" t="str">
        <x:f>IF(A275="","",SUMIFS('CHI_TIẾT_ĐƠN_HÀNG'!$H$2:$H$500,'CHI_TIẾT_ĐƠN_HÀNG'!$B$2:$B$500,A275))</x:f>
      </x:c>
      <x:c r="H275" s="35" t="str">
        <x:f>IF(A275="","",SUMIFS('THANH_TOÁN'!$D$2:$D$500,'THANH_TOÁN'!$B$2:$B$500,A275,'THANH_TOÁN'!$F$2:$F$500,"ĐÃ XÁC NHẬN"))</x:f>
      </x:c>
      <x:c r="I275" s="35" t="str">
        <x:f>IF(A275="","",MAX(0,G275-H275))</x:f>
      </x:c>
      <x:c r="J275" s="36" t="str">
        <x:f>IF(A275="","",IF(AND(E275&lt;TODAY(),I275&gt;0,K275&lt;&gt;"HỦY"),"QUÁ HẠN",""))</x:f>
      </x:c>
      <x:c r="K275" s="39"/>
      <x:c r="L275" s="39"/>
      <x:c r="M275" s="39"/>
      <x:c r="N275" s="39"/>
      <x:c r="O275" s="42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41"/>
      <x:c r="E276" s="41"/>
      <x:c r="F276" s="39"/>
      <x:c r="G276" s="35" t="str">
        <x:f>IF(A276="","",SUMIFS('CHI_TIẾT_ĐƠN_HÀNG'!$H$2:$H$500,'CHI_TIẾT_ĐƠN_HÀNG'!$B$2:$B$500,A276))</x:f>
      </x:c>
      <x:c r="H276" s="35" t="str">
        <x:f>IF(A276="","",SUMIFS('THANH_TOÁN'!$D$2:$D$500,'THANH_TOÁN'!$B$2:$B$500,A276,'THANH_TOÁN'!$F$2:$F$500,"ĐÃ XÁC NHẬN"))</x:f>
      </x:c>
      <x:c r="I276" s="35" t="str">
        <x:f>IF(A276="","",MAX(0,G276-H276))</x:f>
      </x:c>
      <x:c r="J276" s="36" t="str">
        <x:f>IF(A276="","",IF(AND(E276&lt;TODAY(),I276&gt;0,K276&lt;&gt;"HỦY"),"QUÁ HẠN",""))</x:f>
      </x:c>
      <x:c r="K276" s="39"/>
      <x:c r="L276" s="39"/>
      <x:c r="M276" s="39"/>
      <x:c r="N276" s="39"/>
      <x:c r="O276" s="42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41"/>
      <x:c r="E277" s="41"/>
      <x:c r="F277" s="39"/>
      <x:c r="G277" s="35" t="str">
        <x:f>IF(A277="","",SUMIFS('CHI_TIẾT_ĐƠN_HÀNG'!$H$2:$H$500,'CHI_TIẾT_ĐƠN_HÀNG'!$B$2:$B$500,A277))</x:f>
      </x:c>
      <x:c r="H277" s="35" t="str">
        <x:f>IF(A277="","",SUMIFS('THANH_TOÁN'!$D$2:$D$500,'THANH_TOÁN'!$B$2:$B$500,A277,'THANH_TOÁN'!$F$2:$F$500,"ĐÃ XÁC NHẬN"))</x:f>
      </x:c>
      <x:c r="I277" s="35" t="str">
        <x:f>IF(A277="","",MAX(0,G277-H277))</x:f>
      </x:c>
      <x:c r="J277" s="36" t="str">
        <x:f>IF(A277="","",IF(AND(E277&lt;TODAY(),I277&gt;0,K277&lt;&gt;"HỦY"),"QUÁ HẠN",""))</x:f>
      </x:c>
      <x:c r="K277" s="39"/>
      <x:c r="L277" s="39"/>
      <x:c r="M277" s="39"/>
      <x:c r="N277" s="39"/>
      <x:c r="O277" s="42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41"/>
      <x:c r="E278" s="41"/>
      <x:c r="F278" s="39"/>
      <x:c r="G278" s="35" t="str">
        <x:f>IF(A278="","",SUMIFS('CHI_TIẾT_ĐƠN_HÀNG'!$H$2:$H$500,'CHI_TIẾT_ĐƠN_HÀNG'!$B$2:$B$500,A278))</x:f>
      </x:c>
      <x:c r="H278" s="35" t="str">
        <x:f>IF(A278="","",SUMIFS('THANH_TOÁN'!$D$2:$D$500,'THANH_TOÁN'!$B$2:$B$500,A278,'THANH_TOÁN'!$F$2:$F$500,"ĐÃ XÁC NHẬN"))</x:f>
      </x:c>
      <x:c r="I278" s="35" t="str">
        <x:f>IF(A278="","",MAX(0,G278-H278))</x:f>
      </x:c>
      <x:c r="J278" s="36" t="str">
        <x:f>IF(A278="","",IF(AND(E278&lt;TODAY(),I278&gt;0,K278&lt;&gt;"HỦY"),"QUÁ HẠN",""))</x:f>
      </x:c>
      <x:c r="K278" s="39"/>
      <x:c r="L278" s="39"/>
      <x:c r="M278" s="39"/>
      <x:c r="N278" s="39"/>
      <x:c r="O278" s="42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41"/>
      <x:c r="E279" s="41"/>
      <x:c r="F279" s="39"/>
      <x:c r="G279" s="35" t="str">
        <x:f>IF(A279="","",SUMIFS('CHI_TIẾT_ĐƠN_HÀNG'!$H$2:$H$500,'CHI_TIẾT_ĐƠN_HÀNG'!$B$2:$B$500,A279))</x:f>
      </x:c>
      <x:c r="H279" s="35" t="str">
        <x:f>IF(A279="","",SUMIFS('THANH_TOÁN'!$D$2:$D$500,'THANH_TOÁN'!$B$2:$B$500,A279,'THANH_TOÁN'!$F$2:$F$500,"ĐÃ XÁC NHẬN"))</x:f>
      </x:c>
      <x:c r="I279" s="35" t="str">
        <x:f>IF(A279="","",MAX(0,G279-H279))</x:f>
      </x:c>
      <x:c r="J279" s="36" t="str">
        <x:f>IF(A279="","",IF(AND(E279&lt;TODAY(),I279&gt;0,K279&lt;&gt;"HỦY"),"QUÁ HẠN",""))</x:f>
      </x:c>
      <x:c r="K279" s="39"/>
      <x:c r="L279" s="39"/>
      <x:c r="M279" s="39"/>
      <x:c r="N279" s="39"/>
      <x:c r="O279" s="42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41"/>
      <x:c r="E280" s="41"/>
      <x:c r="F280" s="39"/>
      <x:c r="G280" s="35" t="str">
        <x:f>IF(A280="","",SUMIFS('CHI_TIẾT_ĐƠN_HÀNG'!$H$2:$H$500,'CHI_TIẾT_ĐƠN_HÀNG'!$B$2:$B$500,A280))</x:f>
      </x:c>
      <x:c r="H280" s="35" t="str">
        <x:f>IF(A280="","",SUMIFS('THANH_TOÁN'!$D$2:$D$500,'THANH_TOÁN'!$B$2:$B$500,A280,'THANH_TOÁN'!$F$2:$F$500,"ĐÃ XÁC NHẬN"))</x:f>
      </x:c>
      <x:c r="I280" s="35" t="str">
        <x:f>IF(A280="","",MAX(0,G280-H280))</x:f>
      </x:c>
      <x:c r="J280" s="36" t="str">
        <x:f>IF(A280="","",IF(AND(E280&lt;TODAY(),I280&gt;0,K280&lt;&gt;"HỦY"),"QUÁ HẠN",""))</x:f>
      </x:c>
      <x:c r="K280" s="39"/>
      <x:c r="L280" s="39"/>
      <x:c r="M280" s="39"/>
      <x:c r="N280" s="39"/>
      <x:c r="O280" s="42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41"/>
      <x:c r="E281" s="41"/>
      <x:c r="F281" s="39"/>
      <x:c r="G281" s="35" t="str">
        <x:f>IF(A281="","",SUMIFS('CHI_TIẾT_ĐƠN_HÀNG'!$H$2:$H$500,'CHI_TIẾT_ĐƠN_HÀNG'!$B$2:$B$500,A281))</x:f>
      </x:c>
      <x:c r="H281" s="35" t="str">
        <x:f>IF(A281="","",SUMIFS('THANH_TOÁN'!$D$2:$D$500,'THANH_TOÁN'!$B$2:$B$500,A281,'THANH_TOÁN'!$F$2:$F$500,"ĐÃ XÁC NHẬN"))</x:f>
      </x:c>
      <x:c r="I281" s="35" t="str">
        <x:f>IF(A281="","",MAX(0,G281-H281))</x:f>
      </x:c>
      <x:c r="J281" s="36" t="str">
        <x:f>IF(A281="","",IF(AND(E281&lt;TODAY(),I281&gt;0,K281&lt;&gt;"HỦY"),"QUÁ HẠN",""))</x:f>
      </x:c>
      <x:c r="K281" s="39"/>
      <x:c r="L281" s="39"/>
      <x:c r="M281" s="39"/>
      <x:c r="N281" s="39"/>
      <x:c r="O281" s="42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41"/>
      <x:c r="E282" s="41"/>
      <x:c r="F282" s="39"/>
      <x:c r="G282" s="35" t="str">
        <x:f>IF(A282="","",SUMIFS('CHI_TIẾT_ĐƠN_HÀNG'!$H$2:$H$500,'CHI_TIẾT_ĐƠN_HÀNG'!$B$2:$B$500,A282))</x:f>
      </x:c>
      <x:c r="H282" s="35" t="str">
        <x:f>IF(A282="","",SUMIFS('THANH_TOÁN'!$D$2:$D$500,'THANH_TOÁN'!$B$2:$B$500,A282,'THANH_TOÁN'!$F$2:$F$500,"ĐÃ XÁC NHẬN"))</x:f>
      </x:c>
      <x:c r="I282" s="35" t="str">
        <x:f>IF(A282="","",MAX(0,G282-H282))</x:f>
      </x:c>
      <x:c r="J282" s="36" t="str">
        <x:f>IF(A282="","",IF(AND(E282&lt;TODAY(),I282&gt;0,K282&lt;&gt;"HỦY"),"QUÁ HẠN",""))</x:f>
      </x:c>
      <x:c r="K282" s="39"/>
      <x:c r="L282" s="39"/>
      <x:c r="M282" s="39"/>
      <x:c r="N282" s="39"/>
      <x:c r="O282" s="42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41"/>
      <x:c r="E283" s="41"/>
      <x:c r="F283" s="39"/>
      <x:c r="G283" s="35" t="str">
        <x:f>IF(A283="","",SUMIFS('CHI_TIẾT_ĐƠN_HÀNG'!$H$2:$H$500,'CHI_TIẾT_ĐƠN_HÀNG'!$B$2:$B$500,A283))</x:f>
      </x:c>
      <x:c r="H283" s="35" t="str">
        <x:f>IF(A283="","",SUMIFS('THANH_TOÁN'!$D$2:$D$500,'THANH_TOÁN'!$B$2:$B$500,A283,'THANH_TOÁN'!$F$2:$F$500,"ĐÃ XÁC NHẬN"))</x:f>
      </x:c>
      <x:c r="I283" s="35" t="str">
        <x:f>IF(A283="","",MAX(0,G283-H283))</x:f>
      </x:c>
      <x:c r="J283" s="36" t="str">
        <x:f>IF(A283="","",IF(AND(E283&lt;TODAY(),I283&gt;0,K283&lt;&gt;"HỦY"),"QUÁ HẠN",""))</x:f>
      </x:c>
      <x:c r="K283" s="39"/>
      <x:c r="L283" s="39"/>
      <x:c r="M283" s="39"/>
      <x:c r="N283" s="39"/>
      <x:c r="O283" s="42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41"/>
      <x:c r="E284" s="41"/>
      <x:c r="F284" s="39"/>
      <x:c r="G284" s="35" t="str">
        <x:f>IF(A284="","",SUMIFS('CHI_TIẾT_ĐƠN_HÀNG'!$H$2:$H$500,'CHI_TIẾT_ĐƠN_HÀNG'!$B$2:$B$500,A284))</x:f>
      </x:c>
      <x:c r="H284" s="35" t="str">
        <x:f>IF(A284="","",SUMIFS('THANH_TOÁN'!$D$2:$D$500,'THANH_TOÁN'!$B$2:$B$500,A284,'THANH_TOÁN'!$F$2:$F$500,"ĐÃ XÁC NHẬN"))</x:f>
      </x:c>
      <x:c r="I284" s="35" t="str">
        <x:f>IF(A284="","",MAX(0,G284-H284))</x:f>
      </x:c>
      <x:c r="J284" s="36" t="str">
        <x:f>IF(A284="","",IF(AND(E284&lt;TODAY(),I284&gt;0,K284&lt;&gt;"HỦY"),"QUÁ HẠN",""))</x:f>
      </x:c>
      <x:c r="K284" s="39"/>
      <x:c r="L284" s="39"/>
      <x:c r="M284" s="39"/>
      <x:c r="N284" s="39"/>
      <x:c r="O284" s="42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41"/>
      <x:c r="E285" s="41"/>
      <x:c r="F285" s="39"/>
      <x:c r="G285" s="35" t="str">
        <x:f>IF(A285="","",SUMIFS('CHI_TIẾT_ĐƠN_HÀNG'!$H$2:$H$500,'CHI_TIẾT_ĐƠN_HÀNG'!$B$2:$B$500,A285))</x:f>
      </x:c>
      <x:c r="H285" s="35" t="str">
        <x:f>IF(A285="","",SUMIFS('THANH_TOÁN'!$D$2:$D$500,'THANH_TOÁN'!$B$2:$B$500,A285,'THANH_TOÁN'!$F$2:$F$500,"ĐÃ XÁC NHẬN"))</x:f>
      </x:c>
      <x:c r="I285" s="35" t="str">
        <x:f>IF(A285="","",MAX(0,G285-H285))</x:f>
      </x:c>
      <x:c r="J285" s="36" t="str">
        <x:f>IF(A285="","",IF(AND(E285&lt;TODAY(),I285&gt;0,K285&lt;&gt;"HỦY"),"QUÁ HẠN",""))</x:f>
      </x:c>
      <x:c r="K285" s="39"/>
      <x:c r="L285" s="39"/>
      <x:c r="M285" s="39"/>
      <x:c r="N285" s="39"/>
      <x:c r="O285" s="42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41"/>
      <x:c r="E286" s="41"/>
      <x:c r="F286" s="39"/>
      <x:c r="G286" s="35" t="str">
        <x:f>IF(A286="","",SUMIFS('CHI_TIẾT_ĐƠN_HÀNG'!$H$2:$H$500,'CHI_TIẾT_ĐƠN_HÀNG'!$B$2:$B$500,A286))</x:f>
      </x:c>
      <x:c r="H286" s="35" t="str">
        <x:f>IF(A286="","",SUMIFS('THANH_TOÁN'!$D$2:$D$500,'THANH_TOÁN'!$B$2:$B$500,A286,'THANH_TOÁN'!$F$2:$F$500,"ĐÃ XÁC NHẬN"))</x:f>
      </x:c>
      <x:c r="I286" s="35" t="str">
        <x:f>IF(A286="","",MAX(0,G286-H286))</x:f>
      </x:c>
      <x:c r="J286" s="36" t="str">
        <x:f>IF(A286="","",IF(AND(E286&lt;TODAY(),I286&gt;0,K286&lt;&gt;"HỦY"),"QUÁ HẠN",""))</x:f>
      </x:c>
      <x:c r="K286" s="39"/>
      <x:c r="L286" s="39"/>
      <x:c r="M286" s="39"/>
      <x:c r="N286" s="39"/>
      <x:c r="O286" s="42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41"/>
      <x:c r="E287" s="41"/>
      <x:c r="F287" s="39"/>
      <x:c r="G287" s="35" t="str">
        <x:f>IF(A287="","",SUMIFS('CHI_TIẾT_ĐƠN_HÀNG'!$H$2:$H$500,'CHI_TIẾT_ĐƠN_HÀNG'!$B$2:$B$500,A287))</x:f>
      </x:c>
      <x:c r="H287" s="35" t="str">
        <x:f>IF(A287="","",SUMIFS('THANH_TOÁN'!$D$2:$D$500,'THANH_TOÁN'!$B$2:$B$500,A287,'THANH_TOÁN'!$F$2:$F$500,"ĐÃ XÁC NHẬN"))</x:f>
      </x:c>
      <x:c r="I287" s="35" t="str">
        <x:f>IF(A287="","",MAX(0,G287-H287))</x:f>
      </x:c>
      <x:c r="J287" s="36" t="str">
        <x:f>IF(A287="","",IF(AND(E287&lt;TODAY(),I287&gt;0,K287&lt;&gt;"HỦY"),"QUÁ HẠN",""))</x:f>
      </x:c>
      <x:c r="K287" s="39"/>
      <x:c r="L287" s="39"/>
      <x:c r="M287" s="39"/>
      <x:c r="N287" s="39"/>
      <x:c r="O287" s="42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41"/>
      <x:c r="E288" s="41"/>
      <x:c r="F288" s="39"/>
      <x:c r="G288" s="35" t="str">
        <x:f>IF(A288="","",SUMIFS('CHI_TIẾT_ĐƠN_HÀNG'!$H$2:$H$500,'CHI_TIẾT_ĐƠN_HÀNG'!$B$2:$B$500,A288))</x:f>
      </x:c>
      <x:c r="H288" s="35" t="str">
        <x:f>IF(A288="","",SUMIFS('THANH_TOÁN'!$D$2:$D$500,'THANH_TOÁN'!$B$2:$B$500,A288,'THANH_TOÁN'!$F$2:$F$500,"ĐÃ XÁC NHẬN"))</x:f>
      </x:c>
      <x:c r="I288" s="35" t="str">
        <x:f>IF(A288="","",MAX(0,G288-H288))</x:f>
      </x:c>
      <x:c r="J288" s="36" t="str">
        <x:f>IF(A288="","",IF(AND(E288&lt;TODAY(),I288&gt;0,K288&lt;&gt;"HỦY"),"QUÁ HẠN",""))</x:f>
      </x:c>
      <x:c r="K288" s="39"/>
      <x:c r="L288" s="39"/>
      <x:c r="M288" s="39"/>
      <x:c r="N288" s="39"/>
      <x:c r="O288" s="42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41"/>
      <x:c r="E289" s="41"/>
      <x:c r="F289" s="39"/>
      <x:c r="G289" s="35" t="str">
        <x:f>IF(A289="","",SUMIFS('CHI_TIẾT_ĐƠN_HÀNG'!$H$2:$H$500,'CHI_TIẾT_ĐƠN_HÀNG'!$B$2:$B$500,A289))</x:f>
      </x:c>
      <x:c r="H289" s="35" t="str">
        <x:f>IF(A289="","",SUMIFS('THANH_TOÁN'!$D$2:$D$500,'THANH_TOÁN'!$B$2:$B$500,A289,'THANH_TOÁN'!$F$2:$F$500,"ĐÃ XÁC NHẬN"))</x:f>
      </x:c>
      <x:c r="I289" s="35" t="str">
        <x:f>IF(A289="","",MAX(0,G289-H289))</x:f>
      </x:c>
      <x:c r="J289" s="36" t="str">
        <x:f>IF(A289="","",IF(AND(E289&lt;TODAY(),I289&gt;0,K289&lt;&gt;"HỦY"),"QUÁ HẠN",""))</x:f>
      </x:c>
      <x:c r="K289" s="39"/>
      <x:c r="L289" s="39"/>
      <x:c r="M289" s="39"/>
      <x:c r="N289" s="39"/>
      <x:c r="O289" s="42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41"/>
      <x:c r="E290" s="41"/>
      <x:c r="F290" s="39"/>
      <x:c r="G290" s="35" t="str">
        <x:f>IF(A290="","",SUMIFS('CHI_TIẾT_ĐƠN_HÀNG'!$H$2:$H$500,'CHI_TIẾT_ĐƠN_HÀNG'!$B$2:$B$500,A290))</x:f>
      </x:c>
      <x:c r="H290" s="35" t="str">
        <x:f>IF(A290="","",SUMIFS('THANH_TOÁN'!$D$2:$D$500,'THANH_TOÁN'!$B$2:$B$500,A290,'THANH_TOÁN'!$F$2:$F$500,"ĐÃ XÁC NHẬN"))</x:f>
      </x:c>
      <x:c r="I290" s="35" t="str">
        <x:f>IF(A290="","",MAX(0,G290-H290))</x:f>
      </x:c>
      <x:c r="J290" s="36" t="str">
        <x:f>IF(A290="","",IF(AND(E290&lt;TODAY(),I290&gt;0,K290&lt;&gt;"HỦY"),"QUÁ HẠN",""))</x:f>
      </x:c>
      <x:c r="K290" s="39"/>
      <x:c r="L290" s="39"/>
      <x:c r="M290" s="39"/>
      <x:c r="N290" s="39"/>
      <x:c r="O290" s="42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41"/>
      <x:c r="E291" s="41"/>
      <x:c r="F291" s="39"/>
      <x:c r="G291" s="35" t="str">
        <x:f>IF(A291="","",SUMIFS('CHI_TIẾT_ĐƠN_HÀNG'!$H$2:$H$500,'CHI_TIẾT_ĐƠN_HÀNG'!$B$2:$B$500,A291))</x:f>
      </x:c>
      <x:c r="H291" s="35" t="str">
        <x:f>IF(A291="","",SUMIFS('THANH_TOÁN'!$D$2:$D$500,'THANH_TOÁN'!$B$2:$B$500,A291,'THANH_TOÁN'!$F$2:$F$500,"ĐÃ XÁC NHẬN"))</x:f>
      </x:c>
      <x:c r="I291" s="35" t="str">
        <x:f>IF(A291="","",MAX(0,G291-H291))</x:f>
      </x:c>
      <x:c r="J291" s="36" t="str">
        <x:f>IF(A291="","",IF(AND(E291&lt;TODAY(),I291&gt;0,K291&lt;&gt;"HỦY"),"QUÁ HẠN",""))</x:f>
      </x:c>
      <x:c r="K291" s="39"/>
      <x:c r="L291" s="39"/>
      <x:c r="M291" s="39"/>
      <x:c r="N291" s="39"/>
      <x:c r="O291" s="42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41"/>
      <x:c r="E292" s="41"/>
      <x:c r="F292" s="39"/>
      <x:c r="G292" s="35" t="str">
        <x:f>IF(A292="","",SUMIFS('CHI_TIẾT_ĐƠN_HÀNG'!$H$2:$H$500,'CHI_TIẾT_ĐƠN_HÀNG'!$B$2:$B$500,A292))</x:f>
      </x:c>
      <x:c r="H292" s="35" t="str">
        <x:f>IF(A292="","",SUMIFS('THANH_TOÁN'!$D$2:$D$500,'THANH_TOÁN'!$B$2:$B$500,A292,'THANH_TOÁN'!$F$2:$F$500,"ĐÃ XÁC NHẬN"))</x:f>
      </x:c>
      <x:c r="I292" s="35" t="str">
        <x:f>IF(A292="","",MAX(0,G292-H292))</x:f>
      </x:c>
      <x:c r="J292" s="36" t="str">
        <x:f>IF(A292="","",IF(AND(E292&lt;TODAY(),I292&gt;0,K292&lt;&gt;"HỦY"),"QUÁ HẠN",""))</x:f>
      </x:c>
      <x:c r="K292" s="39"/>
      <x:c r="L292" s="39"/>
      <x:c r="M292" s="39"/>
      <x:c r="N292" s="39"/>
      <x:c r="O292" s="42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41"/>
      <x:c r="E293" s="41"/>
      <x:c r="F293" s="39"/>
      <x:c r="G293" s="35" t="str">
        <x:f>IF(A293="","",SUMIFS('CHI_TIẾT_ĐƠN_HÀNG'!$H$2:$H$500,'CHI_TIẾT_ĐƠN_HÀNG'!$B$2:$B$500,A293))</x:f>
      </x:c>
      <x:c r="H293" s="35" t="str">
        <x:f>IF(A293="","",SUMIFS('THANH_TOÁN'!$D$2:$D$500,'THANH_TOÁN'!$B$2:$B$500,A293,'THANH_TOÁN'!$F$2:$F$500,"ĐÃ XÁC NHẬN"))</x:f>
      </x:c>
      <x:c r="I293" s="35" t="str">
        <x:f>IF(A293="","",MAX(0,G293-H293))</x:f>
      </x:c>
      <x:c r="J293" s="36" t="str">
        <x:f>IF(A293="","",IF(AND(E293&lt;TODAY(),I293&gt;0,K293&lt;&gt;"HỦY"),"QUÁ HẠN",""))</x:f>
      </x:c>
      <x:c r="K293" s="39"/>
      <x:c r="L293" s="39"/>
      <x:c r="M293" s="39"/>
      <x:c r="N293" s="39"/>
      <x:c r="O293" s="42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41"/>
      <x:c r="E294" s="41"/>
      <x:c r="F294" s="39"/>
      <x:c r="G294" s="35" t="str">
        <x:f>IF(A294="","",SUMIFS('CHI_TIẾT_ĐƠN_HÀNG'!$H$2:$H$500,'CHI_TIẾT_ĐƠN_HÀNG'!$B$2:$B$500,A294))</x:f>
      </x:c>
      <x:c r="H294" s="35" t="str">
        <x:f>IF(A294="","",SUMIFS('THANH_TOÁN'!$D$2:$D$500,'THANH_TOÁN'!$B$2:$B$500,A294,'THANH_TOÁN'!$F$2:$F$500,"ĐÃ XÁC NHẬN"))</x:f>
      </x:c>
      <x:c r="I294" s="35" t="str">
        <x:f>IF(A294="","",MAX(0,G294-H294))</x:f>
      </x:c>
      <x:c r="J294" s="36" t="str">
        <x:f>IF(A294="","",IF(AND(E294&lt;TODAY(),I294&gt;0,K294&lt;&gt;"HỦY"),"QUÁ HẠN",""))</x:f>
      </x:c>
      <x:c r="K294" s="39"/>
      <x:c r="L294" s="39"/>
      <x:c r="M294" s="39"/>
      <x:c r="N294" s="39"/>
      <x:c r="O294" s="42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41"/>
      <x:c r="E295" s="41"/>
      <x:c r="F295" s="39"/>
      <x:c r="G295" s="35" t="str">
        <x:f>IF(A295="","",SUMIFS('CHI_TIẾT_ĐƠN_HÀNG'!$H$2:$H$500,'CHI_TIẾT_ĐƠN_HÀNG'!$B$2:$B$500,A295))</x:f>
      </x:c>
      <x:c r="H295" s="35" t="str">
        <x:f>IF(A295="","",SUMIFS('THANH_TOÁN'!$D$2:$D$500,'THANH_TOÁN'!$B$2:$B$500,A295,'THANH_TOÁN'!$F$2:$F$500,"ĐÃ XÁC NHẬN"))</x:f>
      </x:c>
      <x:c r="I295" s="35" t="str">
        <x:f>IF(A295="","",MAX(0,G295-H295))</x:f>
      </x:c>
      <x:c r="J295" s="36" t="str">
        <x:f>IF(A295="","",IF(AND(E295&lt;TODAY(),I295&gt;0,K295&lt;&gt;"HỦY"),"QUÁ HẠN",""))</x:f>
      </x:c>
      <x:c r="K295" s="39"/>
      <x:c r="L295" s="39"/>
      <x:c r="M295" s="39"/>
      <x:c r="N295" s="39"/>
      <x:c r="O295" s="42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41"/>
      <x:c r="E296" s="41"/>
      <x:c r="F296" s="39"/>
      <x:c r="G296" s="35" t="str">
        <x:f>IF(A296="","",SUMIFS('CHI_TIẾT_ĐƠN_HÀNG'!$H$2:$H$500,'CHI_TIẾT_ĐƠN_HÀNG'!$B$2:$B$500,A296))</x:f>
      </x:c>
      <x:c r="H296" s="35" t="str">
        <x:f>IF(A296="","",SUMIFS('THANH_TOÁN'!$D$2:$D$500,'THANH_TOÁN'!$B$2:$B$500,A296,'THANH_TOÁN'!$F$2:$F$500,"ĐÃ XÁC NHẬN"))</x:f>
      </x:c>
      <x:c r="I296" s="35" t="str">
        <x:f>IF(A296="","",MAX(0,G296-H296))</x:f>
      </x:c>
      <x:c r="J296" s="36" t="str">
        <x:f>IF(A296="","",IF(AND(E296&lt;TODAY(),I296&gt;0,K296&lt;&gt;"HỦY"),"QUÁ HẠN",""))</x:f>
      </x:c>
      <x:c r="K296" s="39"/>
      <x:c r="L296" s="39"/>
      <x:c r="M296" s="39"/>
      <x:c r="N296" s="39"/>
      <x:c r="O296" s="42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41"/>
      <x:c r="E297" s="41"/>
      <x:c r="F297" s="39"/>
      <x:c r="G297" s="35" t="str">
        <x:f>IF(A297="","",SUMIFS('CHI_TIẾT_ĐƠN_HÀNG'!$H$2:$H$500,'CHI_TIẾT_ĐƠN_HÀNG'!$B$2:$B$500,A297))</x:f>
      </x:c>
      <x:c r="H297" s="35" t="str">
        <x:f>IF(A297="","",SUMIFS('THANH_TOÁN'!$D$2:$D$500,'THANH_TOÁN'!$B$2:$B$500,A297,'THANH_TOÁN'!$F$2:$F$500,"ĐÃ XÁC NHẬN"))</x:f>
      </x:c>
      <x:c r="I297" s="35" t="str">
        <x:f>IF(A297="","",MAX(0,G297-H297))</x:f>
      </x:c>
      <x:c r="J297" s="36" t="str">
        <x:f>IF(A297="","",IF(AND(E297&lt;TODAY(),I297&gt;0,K297&lt;&gt;"HỦY"),"QUÁ HẠN",""))</x:f>
      </x:c>
      <x:c r="K297" s="39"/>
      <x:c r="L297" s="39"/>
      <x:c r="M297" s="39"/>
      <x:c r="N297" s="39"/>
      <x:c r="O297" s="42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41"/>
      <x:c r="E298" s="41"/>
      <x:c r="F298" s="39"/>
      <x:c r="G298" s="35" t="str">
        <x:f>IF(A298="","",SUMIFS('CHI_TIẾT_ĐƠN_HÀNG'!$H$2:$H$500,'CHI_TIẾT_ĐƠN_HÀNG'!$B$2:$B$500,A298))</x:f>
      </x:c>
      <x:c r="H298" s="35" t="str">
        <x:f>IF(A298="","",SUMIFS('THANH_TOÁN'!$D$2:$D$500,'THANH_TOÁN'!$B$2:$B$500,A298,'THANH_TOÁN'!$F$2:$F$500,"ĐÃ XÁC NHẬN"))</x:f>
      </x:c>
      <x:c r="I298" s="35" t="str">
        <x:f>IF(A298="","",MAX(0,G298-H298))</x:f>
      </x:c>
      <x:c r="J298" s="36" t="str">
        <x:f>IF(A298="","",IF(AND(E298&lt;TODAY(),I298&gt;0,K298&lt;&gt;"HỦY"),"QUÁ HẠN",""))</x:f>
      </x:c>
      <x:c r="K298" s="39"/>
      <x:c r="L298" s="39"/>
      <x:c r="M298" s="39"/>
      <x:c r="N298" s="39"/>
      <x:c r="O298" s="42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41"/>
      <x:c r="E299" s="41"/>
      <x:c r="F299" s="39"/>
      <x:c r="G299" s="35" t="str">
        <x:f>IF(A299="","",SUMIFS('CHI_TIẾT_ĐƠN_HÀNG'!$H$2:$H$500,'CHI_TIẾT_ĐƠN_HÀNG'!$B$2:$B$500,A299))</x:f>
      </x:c>
      <x:c r="H299" s="35" t="str">
        <x:f>IF(A299="","",SUMIFS('THANH_TOÁN'!$D$2:$D$500,'THANH_TOÁN'!$B$2:$B$500,A299,'THANH_TOÁN'!$F$2:$F$500,"ĐÃ XÁC NHẬN"))</x:f>
      </x:c>
      <x:c r="I299" s="35" t="str">
        <x:f>IF(A299="","",MAX(0,G299-H299))</x:f>
      </x:c>
      <x:c r="J299" s="36" t="str">
        <x:f>IF(A299="","",IF(AND(E299&lt;TODAY(),I299&gt;0,K299&lt;&gt;"HỦY"),"QUÁ HẠN",""))</x:f>
      </x:c>
      <x:c r="K299" s="39"/>
      <x:c r="L299" s="39"/>
      <x:c r="M299" s="39"/>
      <x:c r="N299" s="39"/>
      <x:c r="O299" s="42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41"/>
      <x:c r="E300" s="41"/>
      <x:c r="F300" s="39"/>
      <x:c r="G300" s="35" t="str">
        <x:f>IF(A300="","",SUMIFS('CHI_TIẾT_ĐƠN_HÀNG'!$H$2:$H$500,'CHI_TIẾT_ĐƠN_HÀNG'!$B$2:$B$500,A300))</x:f>
      </x:c>
      <x:c r="H300" s="35" t="str">
        <x:f>IF(A300="","",SUMIFS('THANH_TOÁN'!$D$2:$D$500,'THANH_TOÁN'!$B$2:$B$500,A300,'THANH_TOÁN'!$F$2:$F$500,"ĐÃ XÁC NHẬN"))</x:f>
      </x:c>
      <x:c r="I300" s="35" t="str">
        <x:f>IF(A300="","",MAX(0,G300-H300))</x:f>
      </x:c>
      <x:c r="J300" s="36" t="str">
        <x:f>IF(A300="","",IF(AND(E300&lt;TODAY(),I300&gt;0,K300&lt;&gt;"HỦY"),"QUÁ HẠN",""))</x:f>
      </x:c>
      <x:c r="K300" s="39"/>
      <x:c r="L300" s="39"/>
      <x:c r="M300" s="39"/>
      <x:c r="N300" s="39"/>
      <x:c r="O300" s="42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41"/>
      <x:c r="E301" s="41"/>
      <x:c r="F301" s="39"/>
      <x:c r="G301" s="35" t="str">
        <x:f>IF(A301="","",SUMIFS('CHI_TIẾT_ĐƠN_HÀNG'!$H$2:$H$500,'CHI_TIẾT_ĐƠN_HÀNG'!$B$2:$B$500,A301))</x:f>
      </x:c>
      <x:c r="H301" s="35" t="str">
        <x:f>IF(A301="","",SUMIFS('THANH_TOÁN'!$D$2:$D$500,'THANH_TOÁN'!$B$2:$B$500,A301,'THANH_TOÁN'!$F$2:$F$500,"ĐÃ XÁC NHẬN"))</x:f>
      </x:c>
      <x:c r="I301" s="35" t="str">
        <x:f>IF(A301="","",MAX(0,G301-H301))</x:f>
      </x:c>
      <x:c r="J301" s="36" t="str">
        <x:f>IF(A301="","",IF(AND(E301&lt;TODAY(),I301&gt;0,K301&lt;&gt;"HỦY"),"QUÁ HẠN",""))</x:f>
      </x:c>
      <x:c r="K301" s="39"/>
      <x:c r="L301" s="39"/>
      <x:c r="M301" s="39"/>
      <x:c r="N301" s="39"/>
      <x:c r="O301" s="42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41"/>
      <x:c r="E302" s="41"/>
      <x:c r="F302" s="39"/>
      <x:c r="G302" s="35" t="str">
        <x:f>IF(A302="","",SUMIFS('CHI_TIẾT_ĐƠN_HÀNG'!$H$2:$H$500,'CHI_TIẾT_ĐƠN_HÀNG'!$B$2:$B$500,A302))</x:f>
      </x:c>
      <x:c r="H302" s="35" t="str">
        <x:f>IF(A302="","",SUMIFS('THANH_TOÁN'!$D$2:$D$500,'THANH_TOÁN'!$B$2:$B$500,A302,'THANH_TOÁN'!$F$2:$F$500,"ĐÃ XÁC NHẬN"))</x:f>
      </x:c>
      <x:c r="I302" s="35" t="str">
        <x:f>IF(A302="","",MAX(0,G302-H302))</x:f>
      </x:c>
      <x:c r="J302" s="36" t="str">
        <x:f>IF(A302="","",IF(AND(E302&lt;TODAY(),I302&gt;0,K302&lt;&gt;"HỦY"),"QUÁ HẠN",""))</x:f>
      </x:c>
      <x:c r="K302" s="39"/>
      <x:c r="L302" s="39"/>
      <x:c r="M302" s="39"/>
      <x:c r="N302" s="39"/>
      <x:c r="O302" s="42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41"/>
      <x:c r="E303" s="41"/>
      <x:c r="F303" s="39"/>
      <x:c r="G303" s="35" t="str">
        <x:f>IF(A303="","",SUMIFS('CHI_TIẾT_ĐƠN_HÀNG'!$H$2:$H$500,'CHI_TIẾT_ĐƠN_HÀNG'!$B$2:$B$500,A303))</x:f>
      </x:c>
      <x:c r="H303" s="35" t="str">
        <x:f>IF(A303="","",SUMIFS('THANH_TOÁN'!$D$2:$D$500,'THANH_TOÁN'!$B$2:$B$500,A303,'THANH_TOÁN'!$F$2:$F$500,"ĐÃ XÁC NHẬN"))</x:f>
      </x:c>
      <x:c r="I303" s="35" t="str">
        <x:f>IF(A303="","",MAX(0,G303-H303))</x:f>
      </x:c>
      <x:c r="J303" s="36" t="str">
        <x:f>IF(A303="","",IF(AND(E303&lt;TODAY(),I303&gt;0,K303&lt;&gt;"HỦY"),"QUÁ HẠN",""))</x:f>
      </x:c>
      <x:c r="K303" s="39"/>
      <x:c r="L303" s="39"/>
      <x:c r="M303" s="39"/>
      <x:c r="N303" s="39"/>
      <x:c r="O303" s="42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41"/>
      <x:c r="E304" s="41"/>
      <x:c r="F304" s="39"/>
      <x:c r="G304" s="35" t="str">
        <x:f>IF(A304="","",SUMIFS('CHI_TIẾT_ĐƠN_HÀNG'!$H$2:$H$500,'CHI_TIẾT_ĐƠN_HÀNG'!$B$2:$B$500,A304))</x:f>
      </x:c>
      <x:c r="H304" s="35" t="str">
        <x:f>IF(A304="","",SUMIFS('THANH_TOÁN'!$D$2:$D$500,'THANH_TOÁN'!$B$2:$B$500,A304,'THANH_TOÁN'!$F$2:$F$500,"ĐÃ XÁC NHẬN"))</x:f>
      </x:c>
      <x:c r="I304" s="35" t="str">
        <x:f>IF(A304="","",MAX(0,G304-H304))</x:f>
      </x:c>
      <x:c r="J304" s="36" t="str">
        <x:f>IF(A304="","",IF(AND(E304&lt;TODAY(),I304&gt;0,K304&lt;&gt;"HỦY"),"QUÁ HẠN",""))</x:f>
      </x:c>
      <x:c r="K304" s="39"/>
      <x:c r="L304" s="39"/>
      <x:c r="M304" s="39"/>
      <x:c r="N304" s="39"/>
      <x:c r="O304" s="42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41"/>
      <x:c r="E305" s="41"/>
      <x:c r="F305" s="39"/>
      <x:c r="G305" s="35" t="str">
        <x:f>IF(A305="","",SUMIFS('CHI_TIẾT_ĐƠN_HÀNG'!$H$2:$H$500,'CHI_TIẾT_ĐƠN_HÀNG'!$B$2:$B$500,A305))</x:f>
      </x:c>
      <x:c r="H305" s="35" t="str">
        <x:f>IF(A305="","",SUMIFS('THANH_TOÁN'!$D$2:$D$500,'THANH_TOÁN'!$B$2:$B$500,A305,'THANH_TOÁN'!$F$2:$F$500,"ĐÃ XÁC NHẬN"))</x:f>
      </x:c>
      <x:c r="I305" s="35" t="str">
        <x:f>IF(A305="","",MAX(0,G305-H305))</x:f>
      </x:c>
      <x:c r="J305" s="36" t="str">
        <x:f>IF(A305="","",IF(AND(E305&lt;TODAY(),I305&gt;0,K305&lt;&gt;"HỦY"),"QUÁ HẠN",""))</x:f>
      </x:c>
      <x:c r="K305" s="39"/>
      <x:c r="L305" s="39"/>
      <x:c r="M305" s="39"/>
      <x:c r="N305" s="39"/>
      <x:c r="O305" s="42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41"/>
      <x:c r="E306" s="41"/>
      <x:c r="F306" s="39"/>
      <x:c r="G306" s="35" t="str">
        <x:f>IF(A306="","",SUMIFS('CHI_TIẾT_ĐƠN_HÀNG'!$H$2:$H$500,'CHI_TIẾT_ĐƠN_HÀNG'!$B$2:$B$500,A306))</x:f>
      </x:c>
      <x:c r="H306" s="35" t="str">
        <x:f>IF(A306="","",SUMIFS('THANH_TOÁN'!$D$2:$D$500,'THANH_TOÁN'!$B$2:$B$500,A306,'THANH_TOÁN'!$F$2:$F$500,"ĐÃ XÁC NHẬN"))</x:f>
      </x:c>
      <x:c r="I306" s="35" t="str">
        <x:f>IF(A306="","",MAX(0,G306-H306))</x:f>
      </x:c>
      <x:c r="J306" s="36" t="str">
        <x:f>IF(A306="","",IF(AND(E306&lt;TODAY(),I306&gt;0,K306&lt;&gt;"HỦY"),"QUÁ HẠN",""))</x:f>
      </x:c>
      <x:c r="K306" s="39"/>
      <x:c r="L306" s="39"/>
      <x:c r="M306" s="39"/>
      <x:c r="N306" s="39"/>
      <x:c r="O306" s="42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41"/>
      <x:c r="E307" s="41"/>
      <x:c r="F307" s="39"/>
      <x:c r="G307" s="35" t="str">
        <x:f>IF(A307="","",SUMIFS('CHI_TIẾT_ĐƠN_HÀNG'!$H$2:$H$500,'CHI_TIẾT_ĐƠN_HÀNG'!$B$2:$B$500,A307))</x:f>
      </x:c>
      <x:c r="H307" s="35" t="str">
        <x:f>IF(A307="","",SUMIFS('THANH_TOÁN'!$D$2:$D$500,'THANH_TOÁN'!$B$2:$B$500,A307,'THANH_TOÁN'!$F$2:$F$500,"ĐÃ XÁC NHẬN"))</x:f>
      </x:c>
      <x:c r="I307" s="35" t="str">
        <x:f>IF(A307="","",MAX(0,G307-H307))</x:f>
      </x:c>
      <x:c r="J307" s="36" t="str">
        <x:f>IF(A307="","",IF(AND(E307&lt;TODAY(),I307&gt;0,K307&lt;&gt;"HỦY"),"QUÁ HẠN",""))</x:f>
      </x:c>
      <x:c r="K307" s="39"/>
      <x:c r="L307" s="39"/>
      <x:c r="M307" s="39"/>
      <x:c r="N307" s="39"/>
      <x:c r="O307" s="42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41"/>
      <x:c r="E308" s="41"/>
      <x:c r="F308" s="39"/>
      <x:c r="G308" s="35" t="str">
        <x:f>IF(A308="","",SUMIFS('CHI_TIẾT_ĐƠN_HÀNG'!$H$2:$H$500,'CHI_TIẾT_ĐƠN_HÀNG'!$B$2:$B$500,A308))</x:f>
      </x:c>
      <x:c r="H308" s="35" t="str">
        <x:f>IF(A308="","",SUMIFS('THANH_TOÁN'!$D$2:$D$500,'THANH_TOÁN'!$B$2:$B$500,A308,'THANH_TOÁN'!$F$2:$F$500,"ĐÃ XÁC NHẬN"))</x:f>
      </x:c>
      <x:c r="I308" s="35" t="str">
        <x:f>IF(A308="","",MAX(0,G308-H308))</x:f>
      </x:c>
      <x:c r="J308" s="36" t="str">
        <x:f>IF(A308="","",IF(AND(E308&lt;TODAY(),I308&gt;0,K308&lt;&gt;"HỦY"),"QUÁ HẠN",""))</x:f>
      </x:c>
      <x:c r="K308" s="39"/>
      <x:c r="L308" s="39"/>
      <x:c r="M308" s="39"/>
      <x:c r="N308" s="39"/>
      <x:c r="O308" s="42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41"/>
      <x:c r="E309" s="41"/>
      <x:c r="F309" s="39"/>
      <x:c r="G309" s="35" t="str">
        <x:f>IF(A309="","",SUMIFS('CHI_TIẾT_ĐƠN_HÀNG'!$H$2:$H$500,'CHI_TIẾT_ĐƠN_HÀNG'!$B$2:$B$500,A309))</x:f>
      </x:c>
      <x:c r="H309" s="35" t="str">
        <x:f>IF(A309="","",SUMIFS('THANH_TOÁN'!$D$2:$D$500,'THANH_TOÁN'!$B$2:$B$500,A309,'THANH_TOÁN'!$F$2:$F$500,"ĐÃ XÁC NHẬN"))</x:f>
      </x:c>
      <x:c r="I309" s="35" t="str">
        <x:f>IF(A309="","",MAX(0,G309-H309))</x:f>
      </x:c>
      <x:c r="J309" s="36" t="str">
        <x:f>IF(A309="","",IF(AND(E309&lt;TODAY(),I309&gt;0,K309&lt;&gt;"HỦY"),"QUÁ HẠN",""))</x:f>
      </x:c>
      <x:c r="K309" s="39"/>
      <x:c r="L309" s="39"/>
      <x:c r="M309" s="39"/>
      <x:c r="N309" s="39"/>
      <x:c r="O309" s="42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41"/>
      <x:c r="E310" s="41"/>
      <x:c r="F310" s="39"/>
      <x:c r="G310" s="35" t="str">
        <x:f>IF(A310="","",SUMIFS('CHI_TIẾT_ĐƠN_HÀNG'!$H$2:$H$500,'CHI_TIẾT_ĐƠN_HÀNG'!$B$2:$B$500,A310))</x:f>
      </x:c>
      <x:c r="H310" s="35" t="str">
        <x:f>IF(A310="","",SUMIFS('THANH_TOÁN'!$D$2:$D$500,'THANH_TOÁN'!$B$2:$B$500,A310,'THANH_TOÁN'!$F$2:$F$500,"ĐÃ XÁC NHẬN"))</x:f>
      </x:c>
      <x:c r="I310" s="35" t="str">
        <x:f>IF(A310="","",MAX(0,G310-H310))</x:f>
      </x:c>
      <x:c r="J310" s="36" t="str">
        <x:f>IF(A310="","",IF(AND(E310&lt;TODAY(),I310&gt;0,K310&lt;&gt;"HỦY"),"QUÁ HẠN",""))</x:f>
      </x:c>
      <x:c r="K310" s="39"/>
      <x:c r="L310" s="39"/>
      <x:c r="M310" s="39"/>
      <x:c r="N310" s="39"/>
      <x:c r="O310" s="42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41"/>
      <x:c r="E311" s="41"/>
      <x:c r="F311" s="39"/>
      <x:c r="G311" s="35" t="str">
        <x:f>IF(A311="","",SUMIFS('CHI_TIẾT_ĐƠN_HÀNG'!$H$2:$H$500,'CHI_TIẾT_ĐƠN_HÀNG'!$B$2:$B$500,A311))</x:f>
      </x:c>
      <x:c r="H311" s="35" t="str">
        <x:f>IF(A311="","",SUMIFS('THANH_TOÁN'!$D$2:$D$500,'THANH_TOÁN'!$B$2:$B$500,A311,'THANH_TOÁN'!$F$2:$F$500,"ĐÃ XÁC NHẬN"))</x:f>
      </x:c>
      <x:c r="I311" s="35" t="str">
        <x:f>IF(A311="","",MAX(0,G311-H311))</x:f>
      </x:c>
      <x:c r="J311" s="36" t="str">
        <x:f>IF(A311="","",IF(AND(E311&lt;TODAY(),I311&gt;0,K311&lt;&gt;"HỦY"),"QUÁ HẠN",""))</x:f>
      </x:c>
      <x:c r="K311" s="39"/>
      <x:c r="L311" s="39"/>
      <x:c r="M311" s="39"/>
      <x:c r="N311" s="39"/>
      <x:c r="O311" s="42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41"/>
      <x:c r="E312" s="41"/>
      <x:c r="F312" s="39"/>
      <x:c r="G312" s="35" t="str">
        <x:f>IF(A312="","",SUMIFS('CHI_TIẾT_ĐƠN_HÀNG'!$H$2:$H$500,'CHI_TIẾT_ĐƠN_HÀNG'!$B$2:$B$500,A312))</x:f>
      </x:c>
      <x:c r="H312" s="35" t="str">
        <x:f>IF(A312="","",SUMIFS('THANH_TOÁN'!$D$2:$D$500,'THANH_TOÁN'!$B$2:$B$500,A312,'THANH_TOÁN'!$F$2:$F$500,"ĐÃ XÁC NHẬN"))</x:f>
      </x:c>
      <x:c r="I312" s="35" t="str">
        <x:f>IF(A312="","",MAX(0,G312-H312))</x:f>
      </x:c>
      <x:c r="J312" s="36" t="str">
        <x:f>IF(A312="","",IF(AND(E312&lt;TODAY(),I312&gt;0,K312&lt;&gt;"HỦY"),"QUÁ HẠN",""))</x:f>
      </x:c>
      <x:c r="K312" s="39"/>
      <x:c r="L312" s="39"/>
      <x:c r="M312" s="39"/>
      <x:c r="N312" s="39"/>
      <x:c r="O312" s="42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41"/>
      <x:c r="E313" s="41"/>
      <x:c r="F313" s="39"/>
      <x:c r="G313" s="35" t="str">
        <x:f>IF(A313="","",SUMIFS('CHI_TIẾT_ĐƠN_HÀNG'!$H$2:$H$500,'CHI_TIẾT_ĐƠN_HÀNG'!$B$2:$B$500,A313))</x:f>
      </x:c>
      <x:c r="H313" s="35" t="str">
        <x:f>IF(A313="","",SUMIFS('THANH_TOÁN'!$D$2:$D$500,'THANH_TOÁN'!$B$2:$B$500,A313,'THANH_TOÁN'!$F$2:$F$500,"ĐÃ XÁC NHẬN"))</x:f>
      </x:c>
      <x:c r="I313" s="35" t="str">
        <x:f>IF(A313="","",MAX(0,G313-H313))</x:f>
      </x:c>
      <x:c r="J313" s="36" t="str">
        <x:f>IF(A313="","",IF(AND(E313&lt;TODAY(),I313&gt;0,K313&lt;&gt;"HỦY"),"QUÁ HẠN",""))</x:f>
      </x:c>
      <x:c r="K313" s="39"/>
      <x:c r="L313" s="39"/>
      <x:c r="M313" s="39"/>
      <x:c r="N313" s="39"/>
      <x:c r="O313" s="42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41"/>
      <x:c r="E314" s="41"/>
      <x:c r="F314" s="39"/>
      <x:c r="G314" s="35" t="str">
        <x:f>IF(A314="","",SUMIFS('CHI_TIẾT_ĐƠN_HÀNG'!$H$2:$H$500,'CHI_TIẾT_ĐƠN_HÀNG'!$B$2:$B$500,A314))</x:f>
      </x:c>
      <x:c r="H314" s="35" t="str">
        <x:f>IF(A314="","",SUMIFS('THANH_TOÁN'!$D$2:$D$500,'THANH_TOÁN'!$B$2:$B$500,A314,'THANH_TOÁN'!$F$2:$F$500,"ĐÃ XÁC NHẬN"))</x:f>
      </x:c>
      <x:c r="I314" s="35" t="str">
        <x:f>IF(A314="","",MAX(0,G314-H314))</x:f>
      </x:c>
      <x:c r="J314" s="36" t="str">
        <x:f>IF(A314="","",IF(AND(E314&lt;TODAY(),I314&gt;0,K314&lt;&gt;"HỦY"),"QUÁ HẠN",""))</x:f>
      </x:c>
      <x:c r="K314" s="39"/>
      <x:c r="L314" s="39"/>
      <x:c r="M314" s="39"/>
      <x:c r="N314" s="39"/>
      <x:c r="O314" s="42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41"/>
      <x:c r="E315" s="41"/>
      <x:c r="F315" s="39"/>
      <x:c r="G315" s="35" t="str">
        <x:f>IF(A315="","",SUMIFS('CHI_TIẾT_ĐƠN_HÀNG'!$H$2:$H$500,'CHI_TIẾT_ĐƠN_HÀNG'!$B$2:$B$500,A315))</x:f>
      </x:c>
      <x:c r="H315" s="35" t="str">
        <x:f>IF(A315="","",SUMIFS('THANH_TOÁN'!$D$2:$D$500,'THANH_TOÁN'!$B$2:$B$500,A315,'THANH_TOÁN'!$F$2:$F$500,"ĐÃ XÁC NHẬN"))</x:f>
      </x:c>
      <x:c r="I315" s="35" t="str">
        <x:f>IF(A315="","",MAX(0,G315-H315))</x:f>
      </x:c>
      <x:c r="J315" s="36" t="str">
        <x:f>IF(A315="","",IF(AND(E315&lt;TODAY(),I315&gt;0,K315&lt;&gt;"HỦY"),"QUÁ HẠN",""))</x:f>
      </x:c>
      <x:c r="K315" s="39"/>
      <x:c r="L315" s="39"/>
      <x:c r="M315" s="39"/>
      <x:c r="N315" s="39"/>
      <x:c r="O315" s="42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41"/>
      <x:c r="E316" s="41"/>
      <x:c r="F316" s="39"/>
      <x:c r="G316" s="35" t="str">
        <x:f>IF(A316="","",SUMIFS('CHI_TIẾT_ĐƠN_HÀNG'!$H$2:$H$500,'CHI_TIẾT_ĐƠN_HÀNG'!$B$2:$B$500,A316))</x:f>
      </x:c>
      <x:c r="H316" s="35" t="str">
        <x:f>IF(A316="","",SUMIFS('THANH_TOÁN'!$D$2:$D$500,'THANH_TOÁN'!$B$2:$B$500,A316,'THANH_TOÁN'!$F$2:$F$500,"ĐÃ XÁC NHẬN"))</x:f>
      </x:c>
      <x:c r="I316" s="35" t="str">
        <x:f>IF(A316="","",MAX(0,G316-H316))</x:f>
      </x:c>
      <x:c r="J316" s="36" t="str">
        <x:f>IF(A316="","",IF(AND(E316&lt;TODAY(),I316&gt;0,K316&lt;&gt;"HỦY"),"QUÁ HẠN",""))</x:f>
      </x:c>
      <x:c r="K316" s="39"/>
      <x:c r="L316" s="39"/>
      <x:c r="M316" s="39"/>
      <x:c r="N316" s="39"/>
      <x:c r="O316" s="42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41"/>
      <x:c r="E317" s="41"/>
      <x:c r="F317" s="39"/>
      <x:c r="G317" s="35" t="str">
        <x:f>IF(A317="","",SUMIFS('CHI_TIẾT_ĐƠN_HÀNG'!$H$2:$H$500,'CHI_TIẾT_ĐƠN_HÀNG'!$B$2:$B$500,A317))</x:f>
      </x:c>
      <x:c r="H317" s="35" t="str">
        <x:f>IF(A317="","",SUMIFS('THANH_TOÁN'!$D$2:$D$500,'THANH_TOÁN'!$B$2:$B$500,A317,'THANH_TOÁN'!$F$2:$F$500,"ĐÃ XÁC NHẬN"))</x:f>
      </x:c>
      <x:c r="I317" s="35" t="str">
        <x:f>IF(A317="","",MAX(0,G317-H317))</x:f>
      </x:c>
      <x:c r="J317" s="36" t="str">
        <x:f>IF(A317="","",IF(AND(E317&lt;TODAY(),I317&gt;0,K317&lt;&gt;"HỦY"),"QUÁ HẠN",""))</x:f>
      </x:c>
      <x:c r="K317" s="39"/>
      <x:c r="L317" s="39"/>
      <x:c r="M317" s="39"/>
      <x:c r="N317" s="39"/>
      <x:c r="O317" s="42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41"/>
      <x:c r="E318" s="41"/>
      <x:c r="F318" s="39"/>
      <x:c r="G318" s="35" t="str">
        <x:f>IF(A318="","",SUMIFS('CHI_TIẾT_ĐƠN_HÀNG'!$H$2:$H$500,'CHI_TIẾT_ĐƠN_HÀNG'!$B$2:$B$500,A318))</x:f>
      </x:c>
      <x:c r="H318" s="35" t="str">
        <x:f>IF(A318="","",SUMIFS('THANH_TOÁN'!$D$2:$D$500,'THANH_TOÁN'!$B$2:$B$500,A318,'THANH_TOÁN'!$F$2:$F$500,"ĐÃ XÁC NHẬN"))</x:f>
      </x:c>
      <x:c r="I318" s="35" t="str">
        <x:f>IF(A318="","",MAX(0,G318-H318))</x:f>
      </x:c>
      <x:c r="J318" s="36" t="str">
        <x:f>IF(A318="","",IF(AND(E318&lt;TODAY(),I318&gt;0,K318&lt;&gt;"HỦY"),"QUÁ HẠN",""))</x:f>
      </x:c>
      <x:c r="K318" s="39"/>
      <x:c r="L318" s="39"/>
      <x:c r="M318" s="39"/>
      <x:c r="N318" s="39"/>
      <x:c r="O318" s="42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41"/>
      <x:c r="E319" s="41"/>
      <x:c r="F319" s="39"/>
      <x:c r="G319" s="35" t="str">
        <x:f>IF(A319="","",SUMIFS('CHI_TIẾT_ĐƠN_HÀNG'!$H$2:$H$500,'CHI_TIẾT_ĐƠN_HÀNG'!$B$2:$B$500,A319))</x:f>
      </x:c>
      <x:c r="H319" s="35" t="str">
        <x:f>IF(A319="","",SUMIFS('THANH_TOÁN'!$D$2:$D$500,'THANH_TOÁN'!$B$2:$B$500,A319,'THANH_TOÁN'!$F$2:$F$500,"ĐÃ XÁC NHẬN"))</x:f>
      </x:c>
      <x:c r="I319" s="35" t="str">
        <x:f>IF(A319="","",MAX(0,G319-H319))</x:f>
      </x:c>
      <x:c r="J319" s="36" t="str">
        <x:f>IF(A319="","",IF(AND(E319&lt;TODAY(),I319&gt;0,K319&lt;&gt;"HỦY"),"QUÁ HẠN",""))</x:f>
      </x:c>
      <x:c r="K319" s="39"/>
      <x:c r="L319" s="39"/>
      <x:c r="M319" s="39"/>
      <x:c r="N319" s="39"/>
      <x:c r="O319" s="42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41"/>
      <x:c r="E320" s="41"/>
      <x:c r="F320" s="39"/>
      <x:c r="G320" s="35" t="str">
        <x:f>IF(A320="","",SUMIFS('CHI_TIẾT_ĐƠN_HÀNG'!$H$2:$H$500,'CHI_TIẾT_ĐƠN_HÀNG'!$B$2:$B$500,A320))</x:f>
      </x:c>
      <x:c r="H320" s="35" t="str">
        <x:f>IF(A320="","",SUMIFS('THANH_TOÁN'!$D$2:$D$500,'THANH_TOÁN'!$B$2:$B$500,A320,'THANH_TOÁN'!$F$2:$F$500,"ĐÃ XÁC NHẬN"))</x:f>
      </x:c>
      <x:c r="I320" s="35" t="str">
        <x:f>IF(A320="","",MAX(0,G320-H320))</x:f>
      </x:c>
      <x:c r="J320" s="36" t="str">
        <x:f>IF(A320="","",IF(AND(E320&lt;TODAY(),I320&gt;0,K320&lt;&gt;"HỦY"),"QUÁ HẠN",""))</x:f>
      </x:c>
      <x:c r="K320" s="39"/>
      <x:c r="L320" s="39"/>
      <x:c r="M320" s="39"/>
      <x:c r="N320" s="39"/>
      <x:c r="O320" s="42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41"/>
      <x:c r="E321" s="41"/>
      <x:c r="F321" s="39"/>
      <x:c r="G321" s="35" t="str">
        <x:f>IF(A321="","",SUMIFS('CHI_TIẾT_ĐƠN_HÀNG'!$H$2:$H$500,'CHI_TIẾT_ĐƠN_HÀNG'!$B$2:$B$500,A321))</x:f>
      </x:c>
      <x:c r="H321" s="35" t="str">
        <x:f>IF(A321="","",SUMIFS('THANH_TOÁN'!$D$2:$D$500,'THANH_TOÁN'!$B$2:$B$500,A321,'THANH_TOÁN'!$F$2:$F$500,"ĐÃ XÁC NHẬN"))</x:f>
      </x:c>
      <x:c r="I321" s="35" t="str">
        <x:f>IF(A321="","",MAX(0,G321-H321))</x:f>
      </x:c>
      <x:c r="J321" s="36" t="str">
        <x:f>IF(A321="","",IF(AND(E321&lt;TODAY(),I321&gt;0,K321&lt;&gt;"HỦY"),"QUÁ HẠN",""))</x:f>
      </x:c>
      <x:c r="K321" s="39"/>
      <x:c r="L321" s="39"/>
      <x:c r="M321" s="39"/>
      <x:c r="N321" s="39"/>
      <x:c r="O321" s="42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41"/>
      <x:c r="E322" s="41"/>
      <x:c r="F322" s="39"/>
      <x:c r="G322" s="35" t="str">
        <x:f>IF(A322="","",SUMIFS('CHI_TIẾT_ĐƠN_HÀNG'!$H$2:$H$500,'CHI_TIẾT_ĐƠN_HÀNG'!$B$2:$B$500,A322))</x:f>
      </x:c>
      <x:c r="H322" s="35" t="str">
        <x:f>IF(A322="","",SUMIFS('THANH_TOÁN'!$D$2:$D$500,'THANH_TOÁN'!$B$2:$B$500,A322,'THANH_TOÁN'!$F$2:$F$500,"ĐÃ XÁC NHẬN"))</x:f>
      </x:c>
      <x:c r="I322" s="35" t="str">
        <x:f>IF(A322="","",MAX(0,G322-H322))</x:f>
      </x:c>
      <x:c r="J322" s="36" t="str">
        <x:f>IF(A322="","",IF(AND(E322&lt;TODAY(),I322&gt;0,K322&lt;&gt;"HỦY"),"QUÁ HẠN",""))</x:f>
      </x:c>
      <x:c r="K322" s="39"/>
      <x:c r="L322" s="39"/>
      <x:c r="M322" s="39"/>
      <x:c r="N322" s="39"/>
      <x:c r="O322" s="42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41"/>
      <x:c r="E323" s="41"/>
      <x:c r="F323" s="39"/>
      <x:c r="G323" s="35" t="str">
        <x:f>IF(A323="","",SUMIFS('CHI_TIẾT_ĐƠN_HÀNG'!$H$2:$H$500,'CHI_TIẾT_ĐƠN_HÀNG'!$B$2:$B$500,A323))</x:f>
      </x:c>
      <x:c r="H323" s="35" t="str">
        <x:f>IF(A323="","",SUMIFS('THANH_TOÁN'!$D$2:$D$500,'THANH_TOÁN'!$B$2:$B$500,A323,'THANH_TOÁN'!$F$2:$F$500,"ĐÃ XÁC NHẬN"))</x:f>
      </x:c>
      <x:c r="I323" s="35" t="str">
        <x:f>IF(A323="","",MAX(0,G323-H323))</x:f>
      </x:c>
      <x:c r="J323" s="36" t="str">
        <x:f>IF(A323="","",IF(AND(E323&lt;TODAY(),I323&gt;0,K323&lt;&gt;"HỦY"),"QUÁ HẠN",""))</x:f>
      </x:c>
      <x:c r="K323" s="39"/>
      <x:c r="L323" s="39"/>
      <x:c r="M323" s="39"/>
      <x:c r="N323" s="39"/>
      <x:c r="O323" s="42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41"/>
      <x:c r="E324" s="41"/>
      <x:c r="F324" s="39"/>
      <x:c r="G324" s="35" t="str">
        <x:f>IF(A324="","",SUMIFS('CHI_TIẾT_ĐƠN_HÀNG'!$H$2:$H$500,'CHI_TIẾT_ĐƠN_HÀNG'!$B$2:$B$500,A324))</x:f>
      </x:c>
      <x:c r="H324" s="35" t="str">
        <x:f>IF(A324="","",SUMIFS('THANH_TOÁN'!$D$2:$D$500,'THANH_TOÁN'!$B$2:$B$500,A324,'THANH_TOÁN'!$F$2:$F$500,"ĐÃ XÁC NHẬN"))</x:f>
      </x:c>
      <x:c r="I324" s="35" t="str">
        <x:f>IF(A324="","",MAX(0,G324-H324))</x:f>
      </x:c>
      <x:c r="J324" s="36" t="str">
        <x:f>IF(A324="","",IF(AND(E324&lt;TODAY(),I324&gt;0,K324&lt;&gt;"HỦY"),"QUÁ HẠN",""))</x:f>
      </x:c>
      <x:c r="K324" s="39"/>
      <x:c r="L324" s="39"/>
      <x:c r="M324" s="39"/>
      <x:c r="N324" s="39"/>
      <x:c r="O324" s="42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41"/>
      <x:c r="E325" s="41"/>
      <x:c r="F325" s="39"/>
      <x:c r="G325" s="35" t="str">
        <x:f>IF(A325="","",SUMIFS('CHI_TIẾT_ĐƠN_HÀNG'!$H$2:$H$500,'CHI_TIẾT_ĐƠN_HÀNG'!$B$2:$B$500,A325))</x:f>
      </x:c>
      <x:c r="H325" s="35" t="str">
        <x:f>IF(A325="","",SUMIFS('THANH_TOÁN'!$D$2:$D$500,'THANH_TOÁN'!$B$2:$B$500,A325,'THANH_TOÁN'!$F$2:$F$500,"ĐÃ XÁC NHẬN"))</x:f>
      </x:c>
      <x:c r="I325" s="35" t="str">
        <x:f>IF(A325="","",MAX(0,G325-H325))</x:f>
      </x:c>
      <x:c r="J325" s="36" t="str">
        <x:f>IF(A325="","",IF(AND(E325&lt;TODAY(),I325&gt;0,K325&lt;&gt;"HỦY"),"QUÁ HẠN",""))</x:f>
      </x:c>
      <x:c r="K325" s="39"/>
      <x:c r="L325" s="39"/>
      <x:c r="M325" s="39"/>
      <x:c r="N325" s="39"/>
      <x:c r="O325" s="42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41"/>
      <x:c r="E326" s="41"/>
      <x:c r="F326" s="39"/>
      <x:c r="G326" s="35" t="str">
        <x:f>IF(A326="","",SUMIFS('CHI_TIẾT_ĐƠN_HÀNG'!$H$2:$H$500,'CHI_TIẾT_ĐƠN_HÀNG'!$B$2:$B$500,A326))</x:f>
      </x:c>
      <x:c r="H326" s="35" t="str">
        <x:f>IF(A326="","",SUMIFS('THANH_TOÁN'!$D$2:$D$500,'THANH_TOÁN'!$B$2:$B$500,A326,'THANH_TOÁN'!$F$2:$F$500,"ĐÃ XÁC NHẬN"))</x:f>
      </x:c>
      <x:c r="I326" s="35" t="str">
        <x:f>IF(A326="","",MAX(0,G326-H326))</x:f>
      </x:c>
      <x:c r="J326" s="36" t="str">
        <x:f>IF(A326="","",IF(AND(E326&lt;TODAY(),I326&gt;0,K326&lt;&gt;"HỦY"),"QUÁ HẠN",""))</x:f>
      </x:c>
      <x:c r="K326" s="39"/>
      <x:c r="L326" s="39"/>
      <x:c r="M326" s="39"/>
      <x:c r="N326" s="39"/>
      <x:c r="O326" s="42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41"/>
      <x:c r="E327" s="41"/>
      <x:c r="F327" s="39"/>
      <x:c r="G327" s="35" t="str">
        <x:f>IF(A327="","",SUMIFS('CHI_TIẾT_ĐƠN_HÀNG'!$H$2:$H$500,'CHI_TIẾT_ĐƠN_HÀNG'!$B$2:$B$500,A327))</x:f>
      </x:c>
      <x:c r="H327" s="35" t="str">
        <x:f>IF(A327="","",SUMIFS('THANH_TOÁN'!$D$2:$D$500,'THANH_TOÁN'!$B$2:$B$500,A327,'THANH_TOÁN'!$F$2:$F$500,"ĐÃ XÁC NHẬN"))</x:f>
      </x:c>
      <x:c r="I327" s="35" t="str">
        <x:f>IF(A327="","",MAX(0,G327-H327))</x:f>
      </x:c>
      <x:c r="J327" s="36" t="str">
        <x:f>IF(A327="","",IF(AND(E327&lt;TODAY(),I327&gt;0,K327&lt;&gt;"HỦY"),"QUÁ HẠN",""))</x:f>
      </x:c>
      <x:c r="K327" s="39"/>
      <x:c r="L327" s="39"/>
      <x:c r="M327" s="39"/>
      <x:c r="N327" s="39"/>
      <x:c r="O327" s="42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41"/>
      <x:c r="E328" s="41"/>
      <x:c r="F328" s="39"/>
      <x:c r="G328" s="35" t="str">
        <x:f>IF(A328="","",SUMIFS('CHI_TIẾT_ĐƠN_HÀNG'!$H$2:$H$500,'CHI_TIẾT_ĐƠN_HÀNG'!$B$2:$B$500,A328))</x:f>
      </x:c>
      <x:c r="H328" s="35" t="str">
        <x:f>IF(A328="","",SUMIFS('THANH_TOÁN'!$D$2:$D$500,'THANH_TOÁN'!$B$2:$B$500,A328,'THANH_TOÁN'!$F$2:$F$500,"ĐÃ XÁC NHẬN"))</x:f>
      </x:c>
      <x:c r="I328" s="35" t="str">
        <x:f>IF(A328="","",MAX(0,G328-H328))</x:f>
      </x:c>
      <x:c r="J328" s="36" t="str">
        <x:f>IF(A328="","",IF(AND(E328&lt;TODAY(),I328&gt;0,K328&lt;&gt;"HỦY"),"QUÁ HẠN",""))</x:f>
      </x:c>
      <x:c r="K328" s="39"/>
      <x:c r="L328" s="39"/>
      <x:c r="M328" s="39"/>
      <x:c r="N328" s="39"/>
      <x:c r="O328" s="42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41"/>
      <x:c r="E329" s="41"/>
      <x:c r="F329" s="39"/>
      <x:c r="G329" s="35" t="str">
        <x:f>IF(A329="","",SUMIFS('CHI_TIẾT_ĐƠN_HÀNG'!$H$2:$H$500,'CHI_TIẾT_ĐƠN_HÀNG'!$B$2:$B$500,A329))</x:f>
      </x:c>
      <x:c r="H329" s="35" t="str">
        <x:f>IF(A329="","",SUMIFS('THANH_TOÁN'!$D$2:$D$500,'THANH_TOÁN'!$B$2:$B$500,A329,'THANH_TOÁN'!$F$2:$F$500,"ĐÃ XÁC NHẬN"))</x:f>
      </x:c>
      <x:c r="I329" s="35" t="str">
        <x:f>IF(A329="","",MAX(0,G329-H329))</x:f>
      </x:c>
      <x:c r="J329" s="36" t="str">
        <x:f>IF(A329="","",IF(AND(E329&lt;TODAY(),I329&gt;0,K329&lt;&gt;"HỦY"),"QUÁ HẠN",""))</x:f>
      </x:c>
      <x:c r="K329" s="39"/>
      <x:c r="L329" s="39"/>
      <x:c r="M329" s="39"/>
      <x:c r="N329" s="39"/>
      <x:c r="O329" s="42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41"/>
      <x:c r="E330" s="41"/>
      <x:c r="F330" s="39"/>
      <x:c r="G330" s="35" t="str">
        <x:f>IF(A330="","",SUMIFS('CHI_TIẾT_ĐƠN_HÀNG'!$H$2:$H$500,'CHI_TIẾT_ĐƠN_HÀNG'!$B$2:$B$500,A330))</x:f>
      </x:c>
      <x:c r="H330" s="35" t="str">
        <x:f>IF(A330="","",SUMIFS('THANH_TOÁN'!$D$2:$D$500,'THANH_TOÁN'!$B$2:$B$500,A330,'THANH_TOÁN'!$F$2:$F$500,"ĐÃ XÁC NHẬN"))</x:f>
      </x:c>
      <x:c r="I330" s="35" t="str">
        <x:f>IF(A330="","",MAX(0,G330-H330))</x:f>
      </x:c>
      <x:c r="J330" s="36" t="str">
        <x:f>IF(A330="","",IF(AND(E330&lt;TODAY(),I330&gt;0,K330&lt;&gt;"HỦY"),"QUÁ HẠN",""))</x:f>
      </x:c>
      <x:c r="K330" s="39"/>
      <x:c r="L330" s="39"/>
      <x:c r="M330" s="39"/>
      <x:c r="N330" s="39"/>
      <x:c r="O330" s="42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41"/>
      <x:c r="E331" s="41"/>
      <x:c r="F331" s="39"/>
      <x:c r="G331" s="35" t="str">
        <x:f>IF(A331="","",SUMIFS('CHI_TIẾT_ĐƠN_HÀNG'!$H$2:$H$500,'CHI_TIẾT_ĐƠN_HÀNG'!$B$2:$B$500,A331))</x:f>
      </x:c>
      <x:c r="H331" s="35" t="str">
        <x:f>IF(A331="","",SUMIFS('THANH_TOÁN'!$D$2:$D$500,'THANH_TOÁN'!$B$2:$B$500,A331,'THANH_TOÁN'!$F$2:$F$500,"ĐÃ XÁC NHẬN"))</x:f>
      </x:c>
      <x:c r="I331" s="35" t="str">
        <x:f>IF(A331="","",MAX(0,G331-H331))</x:f>
      </x:c>
      <x:c r="J331" s="36" t="str">
        <x:f>IF(A331="","",IF(AND(E331&lt;TODAY(),I331&gt;0,K331&lt;&gt;"HỦY"),"QUÁ HẠN",""))</x:f>
      </x:c>
      <x:c r="K331" s="39"/>
      <x:c r="L331" s="39"/>
      <x:c r="M331" s="39"/>
      <x:c r="N331" s="39"/>
      <x:c r="O331" s="42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41"/>
      <x:c r="E332" s="41"/>
      <x:c r="F332" s="39"/>
      <x:c r="G332" s="35" t="str">
        <x:f>IF(A332="","",SUMIFS('CHI_TIẾT_ĐƠN_HÀNG'!$H$2:$H$500,'CHI_TIẾT_ĐƠN_HÀNG'!$B$2:$B$500,A332))</x:f>
      </x:c>
      <x:c r="H332" s="35" t="str">
        <x:f>IF(A332="","",SUMIFS('THANH_TOÁN'!$D$2:$D$500,'THANH_TOÁN'!$B$2:$B$500,A332,'THANH_TOÁN'!$F$2:$F$500,"ĐÃ XÁC NHẬN"))</x:f>
      </x:c>
      <x:c r="I332" s="35" t="str">
        <x:f>IF(A332="","",MAX(0,G332-H332))</x:f>
      </x:c>
      <x:c r="J332" s="36" t="str">
        <x:f>IF(A332="","",IF(AND(E332&lt;TODAY(),I332&gt;0,K332&lt;&gt;"HỦY"),"QUÁ HẠN",""))</x:f>
      </x:c>
      <x:c r="K332" s="39"/>
      <x:c r="L332" s="39"/>
      <x:c r="M332" s="39"/>
      <x:c r="N332" s="39"/>
      <x:c r="O332" s="42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41"/>
      <x:c r="E333" s="41"/>
      <x:c r="F333" s="39"/>
      <x:c r="G333" s="35" t="str">
        <x:f>IF(A333="","",SUMIFS('CHI_TIẾT_ĐƠN_HÀNG'!$H$2:$H$500,'CHI_TIẾT_ĐƠN_HÀNG'!$B$2:$B$500,A333))</x:f>
      </x:c>
      <x:c r="H333" s="35" t="str">
        <x:f>IF(A333="","",SUMIFS('THANH_TOÁN'!$D$2:$D$500,'THANH_TOÁN'!$B$2:$B$500,A333,'THANH_TOÁN'!$F$2:$F$500,"ĐÃ XÁC NHẬN"))</x:f>
      </x:c>
      <x:c r="I333" s="35" t="str">
        <x:f>IF(A333="","",MAX(0,G333-H333))</x:f>
      </x:c>
      <x:c r="J333" s="36" t="str">
        <x:f>IF(A333="","",IF(AND(E333&lt;TODAY(),I333&gt;0,K333&lt;&gt;"HỦY"),"QUÁ HẠN",""))</x:f>
      </x:c>
      <x:c r="K333" s="39"/>
      <x:c r="L333" s="39"/>
      <x:c r="M333" s="39"/>
      <x:c r="N333" s="39"/>
      <x:c r="O333" s="42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41"/>
      <x:c r="E334" s="41"/>
      <x:c r="F334" s="39"/>
      <x:c r="G334" s="35" t="str">
        <x:f>IF(A334="","",SUMIFS('CHI_TIẾT_ĐƠN_HÀNG'!$H$2:$H$500,'CHI_TIẾT_ĐƠN_HÀNG'!$B$2:$B$500,A334))</x:f>
      </x:c>
      <x:c r="H334" s="35" t="str">
        <x:f>IF(A334="","",SUMIFS('THANH_TOÁN'!$D$2:$D$500,'THANH_TOÁN'!$B$2:$B$500,A334,'THANH_TOÁN'!$F$2:$F$500,"ĐÃ XÁC NHẬN"))</x:f>
      </x:c>
      <x:c r="I334" s="35" t="str">
        <x:f>IF(A334="","",MAX(0,G334-H334))</x:f>
      </x:c>
      <x:c r="J334" s="36" t="str">
        <x:f>IF(A334="","",IF(AND(E334&lt;TODAY(),I334&gt;0,K334&lt;&gt;"HỦY"),"QUÁ HẠN",""))</x:f>
      </x:c>
      <x:c r="K334" s="39"/>
      <x:c r="L334" s="39"/>
      <x:c r="M334" s="39"/>
      <x:c r="N334" s="39"/>
      <x:c r="O334" s="42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41"/>
      <x:c r="E335" s="41"/>
      <x:c r="F335" s="39"/>
      <x:c r="G335" s="35" t="str">
        <x:f>IF(A335="","",SUMIFS('CHI_TIẾT_ĐƠN_HÀNG'!$H$2:$H$500,'CHI_TIẾT_ĐƠN_HÀNG'!$B$2:$B$500,A335))</x:f>
      </x:c>
      <x:c r="H335" s="35" t="str">
        <x:f>IF(A335="","",SUMIFS('THANH_TOÁN'!$D$2:$D$500,'THANH_TOÁN'!$B$2:$B$500,A335,'THANH_TOÁN'!$F$2:$F$500,"ĐÃ XÁC NHẬN"))</x:f>
      </x:c>
      <x:c r="I335" s="35" t="str">
        <x:f>IF(A335="","",MAX(0,G335-H335))</x:f>
      </x:c>
      <x:c r="J335" s="36" t="str">
        <x:f>IF(A335="","",IF(AND(E335&lt;TODAY(),I335&gt;0,K335&lt;&gt;"HỦY"),"QUÁ HẠN",""))</x:f>
      </x:c>
      <x:c r="K335" s="39"/>
      <x:c r="L335" s="39"/>
      <x:c r="M335" s="39"/>
      <x:c r="N335" s="39"/>
      <x:c r="O335" s="42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41"/>
      <x:c r="E336" s="41"/>
      <x:c r="F336" s="39"/>
      <x:c r="G336" s="35" t="str">
        <x:f>IF(A336="","",SUMIFS('CHI_TIẾT_ĐƠN_HÀNG'!$H$2:$H$500,'CHI_TIẾT_ĐƠN_HÀNG'!$B$2:$B$500,A336))</x:f>
      </x:c>
      <x:c r="H336" s="35" t="str">
        <x:f>IF(A336="","",SUMIFS('THANH_TOÁN'!$D$2:$D$500,'THANH_TOÁN'!$B$2:$B$500,A336,'THANH_TOÁN'!$F$2:$F$500,"ĐÃ XÁC NHẬN"))</x:f>
      </x:c>
      <x:c r="I336" s="35" t="str">
        <x:f>IF(A336="","",MAX(0,G336-H336))</x:f>
      </x:c>
      <x:c r="J336" s="36" t="str">
        <x:f>IF(A336="","",IF(AND(E336&lt;TODAY(),I336&gt;0,K336&lt;&gt;"HỦY"),"QUÁ HẠN",""))</x:f>
      </x:c>
      <x:c r="K336" s="39"/>
      <x:c r="L336" s="39"/>
      <x:c r="M336" s="39"/>
      <x:c r="N336" s="39"/>
      <x:c r="O336" s="42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41"/>
      <x:c r="E337" s="41"/>
      <x:c r="F337" s="39"/>
      <x:c r="G337" s="35" t="str">
        <x:f>IF(A337="","",SUMIFS('CHI_TIẾT_ĐƠN_HÀNG'!$H$2:$H$500,'CHI_TIẾT_ĐƠN_HÀNG'!$B$2:$B$500,A337))</x:f>
      </x:c>
      <x:c r="H337" s="35" t="str">
        <x:f>IF(A337="","",SUMIFS('THANH_TOÁN'!$D$2:$D$500,'THANH_TOÁN'!$B$2:$B$500,A337,'THANH_TOÁN'!$F$2:$F$500,"ĐÃ XÁC NHẬN"))</x:f>
      </x:c>
      <x:c r="I337" s="35" t="str">
        <x:f>IF(A337="","",MAX(0,G337-H337))</x:f>
      </x:c>
      <x:c r="J337" s="36" t="str">
        <x:f>IF(A337="","",IF(AND(E337&lt;TODAY(),I337&gt;0,K337&lt;&gt;"HỦY"),"QUÁ HẠN",""))</x:f>
      </x:c>
      <x:c r="K337" s="39"/>
      <x:c r="L337" s="39"/>
      <x:c r="M337" s="39"/>
      <x:c r="N337" s="39"/>
      <x:c r="O337" s="42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41"/>
      <x:c r="E338" s="41"/>
      <x:c r="F338" s="39"/>
      <x:c r="G338" s="35" t="str">
        <x:f>IF(A338="","",SUMIFS('CHI_TIẾT_ĐƠN_HÀNG'!$H$2:$H$500,'CHI_TIẾT_ĐƠN_HÀNG'!$B$2:$B$500,A338))</x:f>
      </x:c>
      <x:c r="H338" s="35" t="str">
        <x:f>IF(A338="","",SUMIFS('THANH_TOÁN'!$D$2:$D$500,'THANH_TOÁN'!$B$2:$B$500,A338,'THANH_TOÁN'!$F$2:$F$500,"ĐÃ XÁC NHẬN"))</x:f>
      </x:c>
      <x:c r="I338" s="35" t="str">
        <x:f>IF(A338="","",MAX(0,G338-H338))</x:f>
      </x:c>
      <x:c r="J338" s="36" t="str">
        <x:f>IF(A338="","",IF(AND(E338&lt;TODAY(),I338&gt;0,K338&lt;&gt;"HỦY"),"QUÁ HẠN",""))</x:f>
      </x:c>
      <x:c r="K338" s="39"/>
      <x:c r="L338" s="39"/>
      <x:c r="M338" s="39"/>
      <x:c r="N338" s="39"/>
      <x:c r="O338" s="42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41"/>
      <x:c r="E339" s="41"/>
      <x:c r="F339" s="39"/>
      <x:c r="G339" s="35" t="str">
        <x:f>IF(A339="","",SUMIFS('CHI_TIẾT_ĐƠN_HÀNG'!$H$2:$H$500,'CHI_TIẾT_ĐƠN_HÀNG'!$B$2:$B$500,A339))</x:f>
      </x:c>
      <x:c r="H339" s="35" t="str">
        <x:f>IF(A339="","",SUMIFS('THANH_TOÁN'!$D$2:$D$500,'THANH_TOÁN'!$B$2:$B$500,A339,'THANH_TOÁN'!$F$2:$F$500,"ĐÃ XÁC NHẬN"))</x:f>
      </x:c>
      <x:c r="I339" s="35" t="str">
        <x:f>IF(A339="","",MAX(0,G339-H339))</x:f>
      </x:c>
      <x:c r="J339" s="36" t="str">
        <x:f>IF(A339="","",IF(AND(E339&lt;TODAY(),I339&gt;0,K339&lt;&gt;"HỦY"),"QUÁ HẠN",""))</x:f>
      </x:c>
      <x:c r="K339" s="39"/>
      <x:c r="L339" s="39"/>
      <x:c r="M339" s="39"/>
      <x:c r="N339" s="39"/>
      <x:c r="O339" s="42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41"/>
      <x:c r="E340" s="41"/>
      <x:c r="F340" s="39"/>
      <x:c r="G340" s="35" t="str">
        <x:f>IF(A340="","",SUMIFS('CHI_TIẾT_ĐƠN_HÀNG'!$H$2:$H$500,'CHI_TIẾT_ĐƠN_HÀNG'!$B$2:$B$500,A340))</x:f>
      </x:c>
      <x:c r="H340" s="35" t="str">
        <x:f>IF(A340="","",SUMIFS('THANH_TOÁN'!$D$2:$D$500,'THANH_TOÁN'!$B$2:$B$500,A340,'THANH_TOÁN'!$F$2:$F$500,"ĐÃ XÁC NHẬN"))</x:f>
      </x:c>
      <x:c r="I340" s="35" t="str">
        <x:f>IF(A340="","",MAX(0,G340-H340))</x:f>
      </x:c>
      <x:c r="J340" s="36" t="str">
        <x:f>IF(A340="","",IF(AND(E340&lt;TODAY(),I340&gt;0,K340&lt;&gt;"HỦY"),"QUÁ HẠN",""))</x:f>
      </x:c>
      <x:c r="K340" s="39"/>
      <x:c r="L340" s="39"/>
      <x:c r="M340" s="39"/>
      <x:c r="N340" s="39"/>
      <x:c r="O340" s="42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41"/>
      <x:c r="E341" s="41"/>
      <x:c r="F341" s="39"/>
      <x:c r="G341" s="35" t="str">
        <x:f>IF(A341="","",SUMIFS('CHI_TIẾT_ĐƠN_HÀNG'!$H$2:$H$500,'CHI_TIẾT_ĐƠN_HÀNG'!$B$2:$B$500,A341))</x:f>
      </x:c>
      <x:c r="H341" s="35" t="str">
        <x:f>IF(A341="","",SUMIFS('THANH_TOÁN'!$D$2:$D$500,'THANH_TOÁN'!$B$2:$B$500,A341,'THANH_TOÁN'!$F$2:$F$500,"ĐÃ XÁC NHẬN"))</x:f>
      </x:c>
      <x:c r="I341" s="35" t="str">
        <x:f>IF(A341="","",MAX(0,G341-H341))</x:f>
      </x:c>
      <x:c r="J341" s="36" t="str">
        <x:f>IF(A341="","",IF(AND(E341&lt;TODAY(),I341&gt;0,K341&lt;&gt;"HỦY"),"QUÁ HẠN",""))</x:f>
      </x:c>
      <x:c r="K341" s="39"/>
      <x:c r="L341" s="39"/>
      <x:c r="M341" s="39"/>
      <x:c r="N341" s="39"/>
      <x:c r="O341" s="42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41"/>
      <x:c r="E342" s="41"/>
      <x:c r="F342" s="39"/>
      <x:c r="G342" s="35" t="str">
        <x:f>IF(A342="","",SUMIFS('CHI_TIẾT_ĐƠN_HÀNG'!$H$2:$H$500,'CHI_TIẾT_ĐƠN_HÀNG'!$B$2:$B$500,A342))</x:f>
      </x:c>
      <x:c r="H342" s="35" t="str">
        <x:f>IF(A342="","",SUMIFS('THANH_TOÁN'!$D$2:$D$500,'THANH_TOÁN'!$B$2:$B$500,A342,'THANH_TOÁN'!$F$2:$F$500,"ĐÃ XÁC NHẬN"))</x:f>
      </x:c>
      <x:c r="I342" s="35" t="str">
        <x:f>IF(A342="","",MAX(0,G342-H342))</x:f>
      </x:c>
      <x:c r="J342" s="36" t="str">
        <x:f>IF(A342="","",IF(AND(E342&lt;TODAY(),I342&gt;0,K342&lt;&gt;"HỦY"),"QUÁ HẠN",""))</x:f>
      </x:c>
      <x:c r="K342" s="39"/>
      <x:c r="L342" s="39"/>
      <x:c r="M342" s="39"/>
      <x:c r="N342" s="39"/>
      <x:c r="O342" s="42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41"/>
      <x:c r="E343" s="41"/>
      <x:c r="F343" s="39"/>
      <x:c r="G343" s="35" t="str">
        <x:f>IF(A343="","",SUMIFS('CHI_TIẾT_ĐƠN_HÀNG'!$H$2:$H$500,'CHI_TIẾT_ĐƠN_HÀNG'!$B$2:$B$500,A343))</x:f>
      </x:c>
      <x:c r="H343" s="35" t="str">
        <x:f>IF(A343="","",SUMIFS('THANH_TOÁN'!$D$2:$D$500,'THANH_TOÁN'!$B$2:$B$500,A343,'THANH_TOÁN'!$F$2:$F$500,"ĐÃ XÁC NHẬN"))</x:f>
      </x:c>
      <x:c r="I343" s="35" t="str">
        <x:f>IF(A343="","",MAX(0,G343-H343))</x:f>
      </x:c>
      <x:c r="J343" s="36" t="str">
        <x:f>IF(A343="","",IF(AND(E343&lt;TODAY(),I343&gt;0,K343&lt;&gt;"HỦY"),"QUÁ HẠN",""))</x:f>
      </x:c>
      <x:c r="K343" s="39"/>
      <x:c r="L343" s="39"/>
      <x:c r="M343" s="39"/>
      <x:c r="N343" s="39"/>
      <x:c r="O343" s="42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41"/>
      <x:c r="E344" s="41"/>
      <x:c r="F344" s="39"/>
      <x:c r="G344" s="35" t="str">
        <x:f>IF(A344="","",SUMIFS('CHI_TIẾT_ĐƠN_HÀNG'!$H$2:$H$500,'CHI_TIẾT_ĐƠN_HÀNG'!$B$2:$B$500,A344))</x:f>
      </x:c>
      <x:c r="H344" s="35" t="str">
        <x:f>IF(A344="","",SUMIFS('THANH_TOÁN'!$D$2:$D$500,'THANH_TOÁN'!$B$2:$B$500,A344,'THANH_TOÁN'!$F$2:$F$500,"ĐÃ XÁC NHẬN"))</x:f>
      </x:c>
      <x:c r="I344" s="35" t="str">
        <x:f>IF(A344="","",MAX(0,G344-H344))</x:f>
      </x:c>
      <x:c r="J344" s="36" t="str">
        <x:f>IF(A344="","",IF(AND(E344&lt;TODAY(),I344&gt;0,K344&lt;&gt;"HỦY"),"QUÁ HẠN",""))</x:f>
      </x:c>
      <x:c r="K344" s="39"/>
      <x:c r="L344" s="39"/>
      <x:c r="M344" s="39"/>
      <x:c r="N344" s="39"/>
      <x:c r="O344" s="42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41"/>
      <x:c r="E345" s="41"/>
      <x:c r="F345" s="39"/>
      <x:c r="G345" s="35" t="str">
        <x:f>IF(A345="","",SUMIFS('CHI_TIẾT_ĐƠN_HÀNG'!$H$2:$H$500,'CHI_TIẾT_ĐƠN_HÀNG'!$B$2:$B$500,A345))</x:f>
      </x:c>
      <x:c r="H345" s="35" t="str">
        <x:f>IF(A345="","",SUMIFS('THANH_TOÁN'!$D$2:$D$500,'THANH_TOÁN'!$B$2:$B$500,A345,'THANH_TOÁN'!$F$2:$F$500,"ĐÃ XÁC NHẬN"))</x:f>
      </x:c>
      <x:c r="I345" s="35" t="str">
        <x:f>IF(A345="","",MAX(0,G345-H345))</x:f>
      </x:c>
      <x:c r="J345" s="36" t="str">
        <x:f>IF(A345="","",IF(AND(E345&lt;TODAY(),I345&gt;0,K345&lt;&gt;"HỦY"),"QUÁ HẠN",""))</x:f>
      </x:c>
      <x:c r="K345" s="39"/>
      <x:c r="L345" s="39"/>
      <x:c r="M345" s="39"/>
      <x:c r="N345" s="39"/>
      <x:c r="O345" s="42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41"/>
      <x:c r="E346" s="41"/>
      <x:c r="F346" s="39"/>
      <x:c r="G346" s="35" t="str">
        <x:f>IF(A346="","",SUMIFS('CHI_TIẾT_ĐƠN_HÀNG'!$H$2:$H$500,'CHI_TIẾT_ĐƠN_HÀNG'!$B$2:$B$500,A346))</x:f>
      </x:c>
      <x:c r="H346" s="35" t="str">
        <x:f>IF(A346="","",SUMIFS('THANH_TOÁN'!$D$2:$D$500,'THANH_TOÁN'!$B$2:$B$500,A346,'THANH_TOÁN'!$F$2:$F$500,"ĐÃ XÁC NHẬN"))</x:f>
      </x:c>
      <x:c r="I346" s="35" t="str">
        <x:f>IF(A346="","",MAX(0,G346-H346))</x:f>
      </x:c>
      <x:c r="J346" s="36" t="str">
        <x:f>IF(A346="","",IF(AND(E346&lt;TODAY(),I346&gt;0,K346&lt;&gt;"HỦY"),"QUÁ HẠN",""))</x:f>
      </x:c>
      <x:c r="K346" s="39"/>
      <x:c r="L346" s="39"/>
      <x:c r="M346" s="39"/>
      <x:c r="N346" s="39"/>
      <x:c r="O346" s="42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41"/>
      <x:c r="E347" s="41"/>
      <x:c r="F347" s="39"/>
      <x:c r="G347" s="35" t="str">
        <x:f>IF(A347="","",SUMIFS('CHI_TIẾT_ĐƠN_HÀNG'!$H$2:$H$500,'CHI_TIẾT_ĐƠN_HÀNG'!$B$2:$B$500,A347))</x:f>
      </x:c>
      <x:c r="H347" s="35" t="str">
        <x:f>IF(A347="","",SUMIFS('THANH_TOÁN'!$D$2:$D$500,'THANH_TOÁN'!$B$2:$B$500,A347,'THANH_TOÁN'!$F$2:$F$500,"ĐÃ XÁC NHẬN"))</x:f>
      </x:c>
      <x:c r="I347" s="35" t="str">
        <x:f>IF(A347="","",MAX(0,G347-H347))</x:f>
      </x:c>
      <x:c r="J347" s="36" t="str">
        <x:f>IF(A347="","",IF(AND(E347&lt;TODAY(),I347&gt;0,K347&lt;&gt;"HỦY"),"QUÁ HẠN",""))</x:f>
      </x:c>
      <x:c r="K347" s="39"/>
      <x:c r="L347" s="39"/>
      <x:c r="M347" s="39"/>
      <x:c r="N347" s="39"/>
      <x:c r="O347" s="42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41"/>
      <x:c r="E348" s="41"/>
      <x:c r="F348" s="39"/>
      <x:c r="G348" s="35" t="str">
        <x:f>IF(A348="","",SUMIFS('CHI_TIẾT_ĐƠN_HÀNG'!$H$2:$H$500,'CHI_TIẾT_ĐƠN_HÀNG'!$B$2:$B$500,A348))</x:f>
      </x:c>
      <x:c r="H348" s="35" t="str">
        <x:f>IF(A348="","",SUMIFS('THANH_TOÁN'!$D$2:$D$500,'THANH_TOÁN'!$B$2:$B$500,A348,'THANH_TOÁN'!$F$2:$F$500,"ĐÃ XÁC NHẬN"))</x:f>
      </x:c>
      <x:c r="I348" s="35" t="str">
        <x:f>IF(A348="","",MAX(0,G348-H348))</x:f>
      </x:c>
      <x:c r="J348" s="36" t="str">
        <x:f>IF(A348="","",IF(AND(E348&lt;TODAY(),I348&gt;0,K348&lt;&gt;"HỦY"),"QUÁ HẠN",""))</x:f>
      </x:c>
      <x:c r="K348" s="39"/>
      <x:c r="L348" s="39"/>
      <x:c r="M348" s="39"/>
      <x:c r="N348" s="39"/>
      <x:c r="O348" s="42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41"/>
      <x:c r="E349" s="41"/>
      <x:c r="F349" s="39"/>
      <x:c r="G349" s="35" t="str">
        <x:f>IF(A349="","",SUMIFS('CHI_TIẾT_ĐƠN_HÀNG'!$H$2:$H$500,'CHI_TIẾT_ĐƠN_HÀNG'!$B$2:$B$500,A349))</x:f>
      </x:c>
      <x:c r="H349" s="35" t="str">
        <x:f>IF(A349="","",SUMIFS('THANH_TOÁN'!$D$2:$D$500,'THANH_TOÁN'!$B$2:$B$500,A349,'THANH_TOÁN'!$F$2:$F$500,"ĐÃ XÁC NHẬN"))</x:f>
      </x:c>
      <x:c r="I349" s="35" t="str">
        <x:f>IF(A349="","",MAX(0,G349-H349))</x:f>
      </x:c>
      <x:c r="J349" s="36" t="str">
        <x:f>IF(A349="","",IF(AND(E349&lt;TODAY(),I349&gt;0,K349&lt;&gt;"HỦY"),"QUÁ HẠN",""))</x:f>
      </x:c>
      <x:c r="K349" s="39"/>
      <x:c r="L349" s="39"/>
      <x:c r="M349" s="39"/>
      <x:c r="N349" s="39"/>
      <x:c r="O349" s="42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41"/>
      <x:c r="E350" s="41"/>
      <x:c r="F350" s="39"/>
      <x:c r="G350" s="35" t="str">
        <x:f>IF(A350="","",SUMIFS('CHI_TIẾT_ĐƠN_HÀNG'!$H$2:$H$500,'CHI_TIẾT_ĐƠN_HÀNG'!$B$2:$B$500,A350))</x:f>
      </x:c>
      <x:c r="H350" s="35" t="str">
        <x:f>IF(A350="","",SUMIFS('THANH_TOÁN'!$D$2:$D$500,'THANH_TOÁN'!$B$2:$B$500,A350,'THANH_TOÁN'!$F$2:$F$500,"ĐÃ XÁC NHẬN"))</x:f>
      </x:c>
      <x:c r="I350" s="35" t="str">
        <x:f>IF(A350="","",MAX(0,G350-H350))</x:f>
      </x:c>
      <x:c r="J350" s="36" t="str">
        <x:f>IF(A350="","",IF(AND(E350&lt;TODAY(),I350&gt;0,K350&lt;&gt;"HỦY"),"QUÁ HẠN",""))</x:f>
      </x:c>
      <x:c r="K350" s="39"/>
      <x:c r="L350" s="39"/>
      <x:c r="M350" s="39"/>
      <x:c r="N350" s="39"/>
      <x:c r="O350" s="42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41"/>
      <x:c r="E351" s="41"/>
      <x:c r="F351" s="39"/>
      <x:c r="G351" s="35" t="str">
        <x:f>IF(A351="","",SUMIFS('CHI_TIẾT_ĐƠN_HÀNG'!$H$2:$H$500,'CHI_TIẾT_ĐƠN_HÀNG'!$B$2:$B$500,A351))</x:f>
      </x:c>
      <x:c r="H351" s="35" t="str">
        <x:f>IF(A351="","",SUMIFS('THANH_TOÁN'!$D$2:$D$500,'THANH_TOÁN'!$B$2:$B$500,A351,'THANH_TOÁN'!$F$2:$F$500,"ĐÃ XÁC NHẬN"))</x:f>
      </x:c>
      <x:c r="I351" s="35" t="str">
        <x:f>IF(A351="","",MAX(0,G351-H351))</x:f>
      </x:c>
      <x:c r="J351" s="36" t="str">
        <x:f>IF(A351="","",IF(AND(E351&lt;TODAY(),I351&gt;0,K351&lt;&gt;"HỦY"),"QUÁ HẠN",""))</x:f>
      </x:c>
      <x:c r="K351" s="39"/>
      <x:c r="L351" s="39"/>
      <x:c r="M351" s="39"/>
      <x:c r="N351" s="39"/>
      <x:c r="O351" s="42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41"/>
      <x:c r="E352" s="41"/>
      <x:c r="F352" s="39"/>
      <x:c r="G352" s="35" t="str">
        <x:f>IF(A352="","",SUMIFS('CHI_TIẾT_ĐƠN_HÀNG'!$H$2:$H$500,'CHI_TIẾT_ĐƠN_HÀNG'!$B$2:$B$500,A352))</x:f>
      </x:c>
      <x:c r="H352" s="35" t="str">
        <x:f>IF(A352="","",SUMIFS('THANH_TOÁN'!$D$2:$D$500,'THANH_TOÁN'!$B$2:$B$500,A352,'THANH_TOÁN'!$F$2:$F$500,"ĐÃ XÁC NHẬN"))</x:f>
      </x:c>
      <x:c r="I352" s="35" t="str">
        <x:f>IF(A352="","",MAX(0,G352-H352))</x:f>
      </x:c>
      <x:c r="J352" s="36" t="str">
        <x:f>IF(A352="","",IF(AND(E352&lt;TODAY(),I352&gt;0,K352&lt;&gt;"HỦY"),"QUÁ HẠN",""))</x:f>
      </x:c>
      <x:c r="K352" s="39"/>
      <x:c r="L352" s="39"/>
      <x:c r="M352" s="39"/>
      <x:c r="N352" s="39"/>
      <x:c r="O352" s="42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41"/>
      <x:c r="E353" s="41"/>
      <x:c r="F353" s="39"/>
      <x:c r="G353" s="35" t="str">
        <x:f>IF(A353="","",SUMIFS('CHI_TIẾT_ĐƠN_HÀNG'!$H$2:$H$500,'CHI_TIẾT_ĐƠN_HÀNG'!$B$2:$B$500,A353))</x:f>
      </x:c>
      <x:c r="H353" s="35" t="str">
        <x:f>IF(A353="","",SUMIFS('THANH_TOÁN'!$D$2:$D$500,'THANH_TOÁN'!$B$2:$B$500,A353,'THANH_TOÁN'!$F$2:$F$500,"ĐÃ XÁC NHẬN"))</x:f>
      </x:c>
      <x:c r="I353" s="35" t="str">
        <x:f>IF(A353="","",MAX(0,G353-H353))</x:f>
      </x:c>
      <x:c r="J353" s="36" t="str">
        <x:f>IF(A353="","",IF(AND(E353&lt;TODAY(),I353&gt;0,K353&lt;&gt;"HỦY"),"QUÁ HẠN",""))</x:f>
      </x:c>
      <x:c r="K353" s="39"/>
      <x:c r="L353" s="39"/>
      <x:c r="M353" s="39"/>
      <x:c r="N353" s="39"/>
      <x:c r="O353" s="42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41"/>
      <x:c r="E354" s="41"/>
      <x:c r="F354" s="39"/>
      <x:c r="G354" s="35" t="str">
        <x:f>IF(A354="","",SUMIFS('CHI_TIẾT_ĐƠN_HÀNG'!$H$2:$H$500,'CHI_TIẾT_ĐƠN_HÀNG'!$B$2:$B$500,A354))</x:f>
      </x:c>
      <x:c r="H354" s="35" t="str">
        <x:f>IF(A354="","",SUMIFS('THANH_TOÁN'!$D$2:$D$500,'THANH_TOÁN'!$B$2:$B$500,A354,'THANH_TOÁN'!$F$2:$F$500,"ĐÃ XÁC NHẬN"))</x:f>
      </x:c>
      <x:c r="I354" s="35" t="str">
        <x:f>IF(A354="","",MAX(0,G354-H354))</x:f>
      </x:c>
      <x:c r="J354" s="36" t="str">
        <x:f>IF(A354="","",IF(AND(E354&lt;TODAY(),I354&gt;0,K354&lt;&gt;"HỦY"),"QUÁ HẠN",""))</x:f>
      </x:c>
      <x:c r="K354" s="39"/>
      <x:c r="L354" s="39"/>
      <x:c r="M354" s="39"/>
      <x:c r="N354" s="39"/>
      <x:c r="O354" s="42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41"/>
      <x:c r="E355" s="41"/>
      <x:c r="F355" s="39"/>
      <x:c r="G355" s="35" t="str">
        <x:f>IF(A355="","",SUMIFS('CHI_TIẾT_ĐƠN_HÀNG'!$H$2:$H$500,'CHI_TIẾT_ĐƠN_HÀNG'!$B$2:$B$500,A355))</x:f>
      </x:c>
      <x:c r="H355" s="35" t="str">
        <x:f>IF(A355="","",SUMIFS('THANH_TOÁN'!$D$2:$D$500,'THANH_TOÁN'!$B$2:$B$500,A355,'THANH_TOÁN'!$F$2:$F$500,"ĐÃ XÁC NHẬN"))</x:f>
      </x:c>
      <x:c r="I355" s="35" t="str">
        <x:f>IF(A355="","",MAX(0,G355-H355))</x:f>
      </x:c>
      <x:c r="J355" s="36" t="str">
        <x:f>IF(A355="","",IF(AND(E355&lt;TODAY(),I355&gt;0,K355&lt;&gt;"HỦY"),"QUÁ HẠN",""))</x:f>
      </x:c>
      <x:c r="K355" s="39"/>
      <x:c r="L355" s="39"/>
      <x:c r="M355" s="39"/>
      <x:c r="N355" s="39"/>
      <x:c r="O355" s="42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41"/>
      <x:c r="E356" s="41"/>
      <x:c r="F356" s="39"/>
      <x:c r="G356" s="35" t="str">
        <x:f>IF(A356="","",SUMIFS('CHI_TIẾT_ĐƠN_HÀNG'!$H$2:$H$500,'CHI_TIẾT_ĐƠN_HÀNG'!$B$2:$B$500,A356))</x:f>
      </x:c>
      <x:c r="H356" s="35" t="str">
        <x:f>IF(A356="","",SUMIFS('THANH_TOÁN'!$D$2:$D$500,'THANH_TOÁN'!$B$2:$B$500,A356,'THANH_TOÁN'!$F$2:$F$500,"ĐÃ XÁC NHẬN"))</x:f>
      </x:c>
      <x:c r="I356" s="35" t="str">
        <x:f>IF(A356="","",MAX(0,G356-H356))</x:f>
      </x:c>
      <x:c r="J356" s="36" t="str">
        <x:f>IF(A356="","",IF(AND(E356&lt;TODAY(),I356&gt;0,K356&lt;&gt;"HỦY"),"QUÁ HẠN",""))</x:f>
      </x:c>
      <x:c r="K356" s="39"/>
      <x:c r="L356" s="39"/>
      <x:c r="M356" s="39"/>
      <x:c r="N356" s="39"/>
      <x:c r="O356" s="42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41"/>
      <x:c r="E357" s="41"/>
      <x:c r="F357" s="39"/>
      <x:c r="G357" s="35" t="str">
        <x:f>IF(A357="","",SUMIFS('CHI_TIẾT_ĐƠN_HÀNG'!$H$2:$H$500,'CHI_TIẾT_ĐƠN_HÀNG'!$B$2:$B$500,A357))</x:f>
      </x:c>
      <x:c r="H357" s="35" t="str">
        <x:f>IF(A357="","",SUMIFS('THANH_TOÁN'!$D$2:$D$500,'THANH_TOÁN'!$B$2:$B$500,A357,'THANH_TOÁN'!$F$2:$F$500,"ĐÃ XÁC NHẬN"))</x:f>
      </x:c>
      <x:c r="I357" s="35" t="str">
        <x:f>IF(A357="","",MAX(0,G357-H357))</x:f>
      </x:c>
      <x:c r="J357" s="36" t="str">
        <x:f>IF(A357="","",IF(AND(E357&lt;TODAY(),I357&gt;0,K357&lt;&gt;"HỦY"),"QUÁ HẠN",""))</x:f>
      </x:c>
      <x:c r="K357" s="39"/>
      <x:c r="L357" s="39"/>
      <x:c r="M357" s="39"/>
      <x:c r="N357" s="39"/>
      <x:c r="O357" s="42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41"/>
      <x:c r="E358" s="41"/>
      <x:c r="F358" s="39"/>
      <x:c r="G358" s="35" t="str">
        <x:f>IF(A358="","",SUMIFS('CHI_TIẾT_ĐƠN_HÀNG'!$H$2:$H$500,'CHI_TIẾT_ĐƠN_HÀNG'!$B$2:$B$500,A358))</x:f>
      </x:c>
      <x:c r="H358" s="35" t="str">
        <x:f>IF(A358="","",SUMIFS('THANH_TOÁN'!$D$2:$D$500,'THANH_TOÁN'!$B$2:$B$500,A358,'THANH_TOÁN'!$F$2:$F$500,"ĐÃ XÁC NHẬN"))</x:f>
      </x:c>
      <x:c r="I358" s="35" t="str">
        <x:f>IF(A358="","",MAX(0,G358-H358))</x:f>
      </x:c>
      <x:c r="J358" s="36" t="str">
        <x:f>IF(A358="","",IF(AND(E358&lt;TODAY(),I358&gt;0,K358&lt;&gt;"HỦY"),"QUÁ HẠN",""))</x:f>
      </x:c>
      <x:c r="K358" s="39"/>
      <x:c r="L358" s="39"/>
      <x:c r="M358" s="39"/>
      <x:c r="N358" s="39"/>
      <x:c r="O358" s="42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41"/>
      <x:c r="E359" s="41"/>
      <x:c r="F359" s="39"/>
      <x:c r="G359" s="35" t="str">
        <x:f>IF(A359="","",SUMIFS('CHI_TIẾT_ĐƠN_HÀNG'!$H$2:$H$500,'CHI_TIẾT_ĐƠN_HÀNG'!$B$2:$B$500,A359))</x:f>
      </x:c>
      <x:c r="H359" s="35" t="str">
        <x:f>IF(A359="","",SUMIFS('THANH_TOÁN'!$D$2:$D$500,'THANH_TOÁN'!$B$2:$B$500,A359,'THANH_TOÁN'!$F$2:$F$500,"ĐÃ XÁC NHẬN"))</x:f>
      </x:c>
      <x:c r="I359" s="35" t="str">
        <x:f>IF(A359="","",MAX(0,G359-H359))</x:f>
      </x:c>
      <x:c r="J359" s="36" t="str">
        <x:f>IF(A359="","",IF(AND(E359&lt;TODAY(),I359&gt;0,K359&lt;&gt;"HỦY"),"QUÁ HẠN",""))</x:f>
      </x:c>
      <x:c r="K359" s="39"/>
      <x:c r="L359" s="39"/>
      <x:c r="M359" s="39"/>
      <x:c r="N359" s="39"/>
      <x:c r="O359" s="42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41"/>
      <x:c r="E360" s="41"/>
      <x:c r="F360" s="39"/>
      <x:c r="G360" s="35" t="str">
        <x:f>IF(A360="","",SUMIFS('CHI_TIẾT_ĐƠN_HÀNG'!$H$2:$H$500,'CHI_TIẾT_ĐƠN_HÀNG'!$B$2:$B$500,A360))</x:f>
      </x:c>
      <x:c r="H360" s="35" t="str">
        <x:f>IF(A360="","",SUMIFS('THANH_TOÁN'!$D$2:$D$500,'THANH_TOÁN'!$B$2:$B$500,A360,'THANH_TOÁN'!$F$2:$F$500,"ĐÃ XÁC NHẬN"))</x:f>
      </x:c>
      <x:c r="I360" s="35" t="str">
        <x:f>IF(A360="","",MAX(0,G360-H360))</x:f>
      </x:c>
      <x:c r="J360" s="36" t="str">
        <x:f>IF(A360="","",IF(AND(E360&lt;TODAY(),I360&gt;0,K360&lt;&gt;"HỦY"),"QUÁ HẠN",""))</x:f>
      </x:c>
      <x:c r="K360" s="39"/>
      <x:c r="L360" s="39"/>
      <x:c r="M360" s="39"/>
      <x:c r="N360" s="39"/>
      <x:c r="O360" s="42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41"/>
      <x:c r="E361" s="41"/>
      <x:c r="F361" s="39"/>
      <x:c r="G361" s="35" t="str">
        <x:f>IF(A361="","",SUMIFS('CHI_TIẾT_ĐƠN_HÀNG'!$H$2:$H$500,'CHI_TIẾT_ĐƠN_HÀNG'!$B$2:$B$500,A361))</x:f>
      </x:c>
      <x:c r="H361" s="35" t="str">
        <x:f>IF(A361="","",SUMIFS('THANH_TOÁN'!$D$2:$D$500,'THANH_TOÁN'!$B$2:$B$500,A361,'THANH_TOÁN'!$F$2:$F$500,"ĐÃ XÁC NHẬN"))</x:f>
      </x:c>
      <x:c r="I361" s="35" t="str">
        <x:f>IF(A361="","",MAX(0,G361-H361))</x:f>
      </x:c>
      <x:c r="J361" s="36" t="str">
        <x:f>IF(A361="","",IF(AND(E361&lt;TODAY(),I361&gt;0,K361&lt;&gt;"HỦY"),"QUÁ HẠN",""))</x:f>
      </x:c>
      <x:c r="K361" s="39"/>
      <x:c r="L361" s="39"/>
      <x:c r="M361" s="39"/>
      <x:c r="N361" s="39"/>
      <x:c r="O361" s="42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41"/>
      <x:c r="E362" s="41"/>
      <x:c r="F362" s="39"/>
      <x:c r="G362" s="35" t="str">
        <x:f>IF(A362="","",SUMIFS('CHI_TIẾT_ĐƠN_HÀNG'!$H$2:$H$500,'CHI_TIẾT_ĐƠN_HÀNG'!$B$2:$B$500,A362))</x:f>
      </x:c>
      <x:c r="H362" s="35" t="str">
        <x:f>IF(A362="","",SUMIFS('THANH_TOÁN'!$D$2:$D$500,'THANH_TOÁN'!$B$2:$B$500,A362,'THANH_TOÁN'!$F$2:$F$500,"ĐÃ XÁC NHẬN"))</x:f>
      </x:c>
      <x:c r="I362" s="35" t="str">
        <x:f>IF(A362="","",MAX(0,G362-H362))</x:f>
      </x:c>
      <x:c r="J362" s="36" t="str">
        <x:f>IF(A362="","",IF(AND(E362&lt;TODAY(),I362&gt;0,K362&lt;&gt;"HỦY"),"QUÁ HẠN",""))</x:f>
      </x:c>
      <x:c r="K362" s="39"/>
      <x:c r="L362" s="39"/>
      <x:c r="M362" s="39"/>
      <x:c r="N362" s="39"/>
      <x:c r="O362" s="42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41"/>
      <x:c r="E363" s="41"/>
      <x:c r="F363" s="39"/>
      <x:c r="G363" s="35" t="str">
        <x:f>IF(A363="","",SUMIFS('CHI_TIẾT_ĐƠN_HÀNG'!$H$2:$H$500,'CHI_TIẾT_ĐƠN_HÀNG'!$B$2:$B$500,A363))</x:f>
      </x:c>
      <x:c r="H363" s="35" t="str">
        <x:f>IF(A363="","",SUMIFS('THANH_TOÁN'!$D$2:$D$500,'THANH_TOÁN'!$B$2:$B$500,A363,'THANH_TOÁN'!$F$2:$F$500,"ĐÃ XÁC NHẬN"))</x:f>
      </x:c>
      <x:c r="I363" s="35" t="str">
        <x:f>IF(A363="","",MAX(0,G363-H363))</x:f>
      </x:c>
      <x:c r="J363" s="36" t="str">
        <x:f>IF(A363="","",IF(AND(E363&lt;TODAY(),I363&gt;0,K363&lt;&gt;"HỦY"),"QUÁ HẠN",""))</x:f>
      </x:c>
      <x:c r="K363" s="39"/>
      <x:c r="L363" s="39"/>
      <x:c r="M363" s="39"/>
      <x:c r="N363" s="39"/>
      <x:c r="O363" s="42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41"/>
      <x:c r="E364" s="41"/>
      <x:c r="F364" s="39"/>
      <x:c r="G364" s="35" t="str">
        <x:f>IF(A364="","",SUMIFS('CHI_TIẾT_ĐƠN_HÀNG'!$H$2:$H$500,'CHI_TIẾT_ĐƠN_HÀNG'!$B$2:$B$500,A364))</x:f>
      </x:c>
      <x:c r="H364" s="35" t="str">
        <x:f>IF(A364="","",SUMIFS('THANH_TOÁN'!$D$2:$D$500,'THANH_TOÁN'!$B$2:$B$500,A364,'THANH_TOÁN'!$F$2:$F$500,"ĐÃ XÁC NHẬN"))</x:f>
      </x:c>
      <x:c r="I364" s="35" t="str">
        <x:f>IF(A364="","",MAX(0,G364-H364))</x:f>
      </x:c>
      <x:c r="J364" s="36" t="str">
        <x:f>IF(A364="","",IF(AND(E364&lt;TODAY(),I364&gt;0,K364&lt;&gt;"HỦY"),"QUÁ HẠN",""))</x:f>
      </x:c>
      <x:c r="K364" s="39"/>
      <x:c r="L364" s="39"/>
      <x:c r="M364" s="39"/>
      <x:c r="N364" s="39"/>
      <x:c r="O364" s="42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41"/>
      <x:c r="E365" s="41"/>
      <x:c r="F365" s="39"/>
      <x:c r="G365" s="35" t="str">
        <x:f>IF(A365="","",SUMIFS('CHI_TIẾT_ĐƠN_HÀNG'!$H$2:$H$500,'CHI_TIẾT_ĐƠN_HÀNG'!$B$2:$B$500,A365))</x:f>
      </x:c>
      <x:c r="H365" s="35" t="str">
        <x:f>IF(A365="","",SUMIFS('THANH_TOÁN'!$D$2:$D$500,'THANH_TOÁN'!$B$2:$B$500,A365,'THANH_TOÁN'!$F$2:$F$500,"ĐÃ XÁC NHẬN"))</x:f>
      </x:c>
      <x:c r="I365" s="35" t="str">
        <x:f>IF(A365="","",MAX(0,G365-H365))</x:f>
      </x:c>
      <x:c r="J365" s="36" t="str">
        <x:f>IF(A365="","",IF(AND(E365&lt;TODAY(),I365&gt;0,K365&lt;&gt;"HỦY"),"QUÁ HẠN",""))</x:f>
      </x:c>
      <x:c r="K365" s="39"/>
      <x:c r="L365" s="39"/>
      <x:c r="M365" s="39"/>
      <x:c r="N365" s="39"/>
      <x:c r="O365" s="42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41"/>
      <x:c r="E366" s="41"/>
      <x:c r="F366" s="39"/>
      <x:c r="G366" s="35" t="str">
        <x:f>IF(A366="","",SUMIFS('CHI_TIẾT_ĐƠN_HÀNG'!$H$2:$H$500,'CHI_TIẾT_ĐƠN_HÀNG'!$B$2:$B$500,A366))</x:f>
      </x:c>
      <x:c r="H366" s="35" t="str">
        <x:f>IF(A366="","",SUMIFS('THANH_TOÁN'!$D$2:$D$500,'THANH_TOÁN'!$B$2:$B$500,A366,'THANH_TOÁN'!$F$2:$F$500,"ĐÃ XÁC NHẬN"))</x:f>
      </x:c>
      <x:c r="I366" s="35" t="str">
        <x:f>IF(A366="","",MAX(0,G366-H366))</x:f>
      </x:c>
      <x:c r="J366" s="36" t="str">
        <x:f>IF(A366="","",IF(AND(E366&lt;TODAY(),I366&gt;0,K366&lt;&gt;"HỦY"),"QUÁ HẠN",""))</x:f>
      </x:c>
      <x:c r="K366" s="39"/>
      <x:c r="L366" s="39"/>
      <x:c r="M366" s="39"/>
      <x:c r="N366" s="39"/>
      <x:c r="O366" s="42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41"/>
      <x:c r="E367" s="41"/>
      <x:c r="F367" s="39"/>
      <x:c r="G367" s="35" t="str">
        <x:f>IF(A367="","",SUMIFS('CHI_TIẾT_ĐƠN_HÀNG'!$H$2:$H$500,'CHI_TIẾT_ĐƠN_HÀNG'!$B$2:$B$500,A367))</x:f>
      </x:c>
      <x:c r="H367" s="35" t="str">
        <x:f>IF(A367="","",SUMIFS('THANH_TOÁN'!$D$2:$D$500,'THANH_TOÁN'!$B$2:$B$500,A367,'THANH_TOÁN'!$F$2:$F$500,"ĐÃ XÁC NHẬN"))</x:f>
      </x:c>
      <x:c r="I367" s="35" t="str">
        <x:f>IF(A367="","",MAX(0,G367-H367))</x:f>
      </x:c>
      <x:c r="J367" s="36" t="str">
        <x:f>IF(A367="","",IF(AND(E367&lt;TODAY(),I367&gt;0,K367&lt;&gt;"HỦY"),"QUÁ HẠN",""))</x:f>
      </x:c>
      <x:c r="K367" s="39"/>
      <x:c r="L367" s="39"/>
      <x:c r="M367" s="39"/>
      <x:c r="N367" s="39"/>
      <x:c r="O367" s="42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41"/>
      <x:c r="E368" s="41"/>
      <x:c r="F368" s="39"/>
      <x:c r="G368" s="35" t="str">
        <x:f>IF(A368="","",SUMIFS('CHI_TIẾT_ĐƠN_HÀNG'!$H$2:$H$500,'CHI_TIẾT_ĐƠN_HÀNG'!$B$2:$B$500,A368))</x:f>
      </x:c>
      <x:c r="H368" s="35" t="str">
        <x:f>IF(A368="","",SUMIFS('THANH_TOÁN'!$D$2:$D$500,'THANH_TOÁN'!$B$2:$B$500,A368,'THANH_TOÁN'!$F$2:$F$500,"ĐÃ XÁC NHẬN"))</x:f>
      </x:c>
      <x:c r="I368" s="35" t="str">
        <x:f>IF(A368="","",MAX(0,G368-H368))</x:f>
      </x:c>
      <x:c r="J368" s="36" t="str">
        <x:f>IF(A368="","",IF(AND(E368&lt;TODAY(),I368&gt;0,K368&lt;&gt;"HỦY"),"QUÁ HẠN",""))</x:f>
      </x:c>
      <x:c r="K368" s="39"/>
      <x:c r="L368" s="39"/>
      <x:c r="M368" s="39"/>
      <x:c r="N368" s="39"/>
      <x:c r="O368" s="42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41"/>
      <x:c r="E369" s="41"/>
      <x:c r="F369" s="39"/>
      <x:c r="G369" s="35" t="str">
        <x:f>IF(A369="","",SUMIFS('CHI_TIẾT_ĐƠN_HÀNG'!$H$2:$H$500,'CHI_TIẾT_ĐƠN_HÀNG'!$B$2:$B$500,A369))</x:f>
      </x:c>
      <x:c r="H369" s="35" t="str">
        <x:f>IF(A369="","",SUMIFS('THANH_TOÁN'!$D$2:$D$500,'THANH_TOÁN'!$B$2:$B$500,A369,'THANH_TOÁN'!$F$2:$F$500,"ĐÃ XÁC NHẬN"))</x:f>
      </x:c>
      <x:c r="I369" s="35" t="str">
        <x:f>IF(A369="","",MAX(0,G369-H369))</x:f>
      </x:c>
      <x:c r="J369" s="36" t="str">
        <x:f>IF(A369="","",IF(AND(E369&lt;TODAY(),I369&gt;0,K369&lt;&gt;"HỦY"),"QUÁ HẠN",""))</x:f>
      </x:c>
      <x:c r="K369" s="39"/>
      <x:c r="L369" s="39"/>
      <x:c r="M369" s="39"/>
      <x:c r="N369" s="39"/>
      <x:c r="O369" s="42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41"/>
      <x:c r="E370" s="41"/>
      <x:c r="F370" s="39"/>
      <x:c r="G370" s="35" t="str">
        <x:f>IF(A370="","",SUMIFS('CHI_TIẾT_ĐƠN_HÀNG'!$H$2:$H$500,'CHI_TIẾT_ĐƠN_HÀNG'!$B$2:$B$500,A370))</x:f>
      </x:c>
      <x:c r="H370" s="35" t="str">
        <x:f>IF(A370="","",SUMIFS('THANH_TOÁN'!$D$2:$D$500,'THANH_TOÁN'!$B$2:$B$500,A370,'THANH_TOÁN'!$F$2:$F$500,"ĐÃ XÁC NHẬN"))</x:f>
      </x:c>
      <x:c r="I370" s="35" t="str">
        <x:f>IF(A370="","",MAX(0,G370-H370))</x:f>
      </x:c>
      <x:c r="J370" s="36" t="str">
        <x:f>IF(A370="","",IF(AND(E370&lt;TODAY(),I370&gt;0,K370&lt;&gt;"HỦY"),"QUÁ HẠN",""))</x:f>
      </x:c>
      <x:c r="K370" s="39"/>
      <x:c r="L370" s="39"/>
      <x:c r="M370" s="39"/>
      <x:c r="N370" s="39"/>
      <x:c r="O370" s="42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41"/>
      <x:c r="E371" s="41"/>
      <x:c r="F371" s="39"/>
      <x:c r="G371" s="35" t="str">
        <x:f>IF(A371="","",SUMIFS('CHI_TIẾT_ĐƠN_HÀNG'!$H$2:$H$500,'CHI_TIẾT_ĐƠN_HÀNG'!$B$2:$B$500,A371))</x:f>
      </x:c>
      <x:c r="H371" s="35" t="str">
        <x:f>IF(A371="","",SUMIFS('THANH_TOÁN'!$D$2:$D$500,'THANH_TOÁN'!$B$2:$B$500,A371,'THANH_TOÁN'!$F$2:$F$500,"ĐÃ XÁC NHẬN"))</x:f>
      </x:c>
      <x:c r="I371" s="35" t="str">
        <x:f>IF(A371="","",MAX(0,G371-H371))</x:f>
      </x:c>
      <x:c r="J371" s="36" t="str">
        <x:f>IF(A371="","",IF(AND(E371&lt;TODAY(),I371&gt;0,K371&lt;&gt;"HỦY"),"QUÁ HẠN",""))</x:f>
      </x:c>
      <x:c r="K371" s="39"/>
      <x:c r="L371" s="39"/>
      <x:c r="M371" s="39"/>
      <x:c r="N371" s="39"/>
      <x:c r="O371" s="42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41"/>
      <x:c r="E372" s="41"/>
      <x:c r="F372" s="39"/>
      <x:c r="G372" s="35" t="str">
        <x:f>IF(A372="","",SUMIFS('CHI_TIẾT_ĐƠN_HÀNG'!$H$2:$H$500,'CHI_TIẾT_ĐƠN_HÀNG'!$B$2:$B$500,A372))</x:f>
      </x:c>
      <x:c r="H372" s="35" t="str">
        <x:f>IF(A372="","",SUMIFS('THANH_TOÁN'!$D$2:$D$500,'THANH_TOÁN'!$B$2:$B$500,A372,'THANH_TOÁN'!$F$2:$F$500,"ĐÃ XÁC NHẬN"))</x:f>
      </x:c>
      <x:c r="I372" s="35" t="str">
        <x:f>IF(A372="","",MAX(0,G372-H372))</x:f>
      </x:c>
      <x:c r="J372" s="36" t="str">
        <x:f>IF(A372="","",IF(AND(E372&lt;TODAY(),I372&gt;0,K372&lt;&gt;"HỦY"),"QUÁ HẠN",""))</x:f>
      </x:c>
      <x:c r="K372" s="39"/>
      <x:c r="L372" s="39"/>
      <x:c r="M372" s="39"/>
      <x:c r="N372" s="39"/>
      <x:c r="O372" s="42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41"/>
      <x:c r="E373" s="41"/>
      <x:c r="F373" s="39"/>
      <x:c r="G373" s="35" t="str">
        <x:f>IF(A373="","",SUMIFS('CHI_TIẾT_ĐƠN_HÀNG'!$H$2:$H$500,'CHI_TIẾT_ĐƠN_HÀNG'!$B$2:$B$500,A373))</x:f>
      </x:c>
      <x:c r="H373" s="35" t="str">
        <x:f>IF(A373="","",SUMIFS('THANH_TOÁN'!$D$2:$D$500,'THANH_TOÁN'!$B$2:$B$500,A373,'THANH_TOÁN'!$F$2:$F$500,"ĐÃ XÁC NHẬN"))</x:f>
      </x:c>
      <x:c r="I373" s="35" t="str">
        <x:f>IF(A373="","",MAX(0,G373-H373))</x:f>
      </x:c>
      <x:c r="J373" s="36" t="str">
        <x:f>IF(A373="","",IF(AND(E373&lt;TODAY(),I373&gt;0,K373&lt;&gt;"HỦY"),"QUÁ HẠN",""))</x:f>
      </x:c>
      <x:c r="K373" s="39"/>
      <x:c r="L373" s="39"/>
      <x:c r="M373" s="39"/>
      <x:c r="N373" s="39"/>
      <x:c r="O373" s="42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41"/>
      <x:c r="E374" s="41"/>
      <x:c r="F374" s="39"/>
      <x:c r="G374" s="35" t="str">
        <x:f>IF(A374="","",SUMIFS('CHI_TIẾT_ĐƠN_HÀNG'!$H$2:$H$500,'CHI_TIẾT_ĐƠN_HÀNG'!$B$2:$B$500,A374))</x:f>
      </x:c>
      <x:c r="H374" s="35" t="str">
        <x:f>IF(A374="","",SUMIFS('THANH_TOÁN'!$D$2:$D$500,'THANH_TOÁN'!$B$2:$B$500,A374,'THANH_TOÁN'!$F$2:$F$500,"ĐÃ XÁC NHẬN"))</x:f>
      </x:c>
      <x:c r="I374" s="35" t="str">
        <x:f>IF(A374="","",MAX(0,G374-H374))</x:f>
      </x:c>
      <x:c r="J374" s="36" t="str">
        <x:f>IF(A374="","",IF(AND(E374&lt;TODAY(),I374&gt;0,K374&lt;&gt;"HỦY"),"QUÁ HẠN",""))</x:f>
      </x:c>
      <x:c r="K374" s="39"/>
      <x:c r="L374" s="39"/>
      <x:c r="M374" s="39"/>
      <x:c r="N374" s="39"/>
      <x:c r="O374" s="42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41"/>
      <x:c r="E375" s="41"/>
      <x:c r="F375" s="39"/>
      <x:c r="G375" s="35" t="str">
        <x:f>IF(A375="","",SUMIFS('CHI_TIẾT_ĐƠN_HÀNG'!$H$2:$H$500,'CHI_TIẾT_ĐƠN_HÀNG'!$B$2:$B$500,A375))</x:f>
      </x:c>
      <x:c r="H375" s="35" t="str">
        <x:f>IF(A375="","",SUMIFS('THANH_TOÁN'!$D$2:$D$500,'THANH_TOÁN'!$B$2:$B$500,A375,'THANH_TOÁN'!$F$2:$F$500,"ĐÃ XÁC NHẬN"))</x:f>
      </x:c>
      <x:c r="I375" s="35" t="str">
        <x:f>IF(A375="","",MAX(0,G375-H375))</x:f>
      </x:c>
      <x:c r="J375" s="36" t="str">
        <x:f>IF(A375="","",IF(AND(E375&lt;TODAY(),I375&gt;0,K375&lt;&gt;"HỦY"),"QUÁ HẠN",""))</x:f>
      </x:c>
      <x:c r="K375" s="39"/>
      <x:c r="L375" s="39"/>
      <x:c r="M375" s="39"/>
      <x:c r="N375" s="39"/>
      <x:c r="O375" s="42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41"/>
      <x:c r="E376" s="41"/>
      <x:c r="F376" s="39"/>
      <x:c r="G376" s="35" t="str">
        <x:f>IF(A376="","",SUMIFS('CHI_TIẾT_ĐƠN_HÀNG'!$H$2:$H$500,'CHI_TIẾT_ĐƠN_HÀNG'!$B$2:$B$500,A376))</x:f>
      </x:c>
      <x:c r="H376" s="35" t="str">
        <x:f>IF(A376="","",SUMIFS('THANH_TOÁN'!$D$2:$D$500,'THANH_TOÁN'!$B$2:$B$500,A376,'THANH_TOÁN'!$F$2:$F$500,"ĐÃ XÁC NHẬN"))</x:f>
      </x:c>
      <x:c r="I376" s="35" t="str">
        <x:f>IF(A376="","",MAX(0,G376-H376))</x:f>
      </x:c>
      <x:c r="J376" s="36" t="str">
        <x:f>IF(A376="","",IF(AND(E376&lt;TODAY(),I376&gt;0,K376&lt;&gt;"HỦY"),"QUÁ HẠN",""))</x:f>
      </x:c>
      <x:c r="K376" s="39"/>
      <x:c r="L376" s="39"/>
      <x:c r="M376" s="39"/>
      <x:c r="N376" s="39"/>
      <x:c r="O376" s="42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41"/>
      <x:c r="E377" s="41"/>
      <x:c r="F377" s="39"/>
      <x:c r="G377" s="35" t="str">
        <x:f>IF(A377="","",SUMIFS('CHI_TIẾT_ĐƠN_HÀNG'!$H$2:$H$500,'CHI_TIẾT_ĐƠN_HÀNG'!$B$2:$B$500,A377))</x:f>
      </x:c>
      <x:c r="H377" s="35" t="str">
        <x:f>IF(A377="","",SUMIFS('THANH_TOÁN'!$D$2:$D$500,'THANH_TOÁN'!$B$2:$B$500,A377,'THANH_TOÁN'!$F$2:$F$500,"ĐÃ XÁC NHẬN"))</x:f>
      </x:c>
      <x:c r="I377" s="35" t="str">
        <x:f>IF(A377="","",MAX(0,G377-H377))</x:f>
      </x:c>
      <x:c r="J377" s="36" t="str">
        <x:f>IF(A377="","",IF(AND(E377&lt;TODAY(),I377&gt;0,K377&lt;&gt;"HỦY"),"QUÁ HẠN",""))</x:f>
      </x:c>
      <x:c r="K377" s="39"/>
      <x:c r="L377" s="39"/>
      <x:c r="M377" s="39"/>
      <x:c r="N377" s="39"/>
      <x:c r="O377" s="42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41"/>
      <x:c r="E378" s="41"/>
      <x:c r="F378" s="39"/>
      <x:c r="G378" s="35" t="str">
        <x:f>IF(A378="","",SUMIFS('CHI_TIẾT_ĐƠN_HÀNG'!$H$2:$H$500,'CHI_TIẾT_ĐƠN_HÀNG'!$B$2:$B$500,A378))</x:f>
      </x:c>
      <x:c r="H378" s="35" t="str">
        <x:f>IF(A378="","",SUMIFS('THANH_TOÁN'!$D$2:$D$500,'THANH_TOÁN'!$B$2:$B$500,A378,'THANH_TOÁN'!$F$2:$F$500,"ĐÃ XÁC NHẬN"))</x:f>
      </x:c>
      <x:c r="I378" s="35" t="str">
        <x:f>IF(A378="","",MAX(0,G378-H378))</x:f>
      </x:c>
      <x:c r="J378" s="36" t="str">
        <x:f>IF(A378="","",IF(AND(E378&lt;TODAY(),I378&gt;0,K378&lt;&gt;"HỦY"),"QUÁ HẠN",""))</x:f>
      </x:c>
      <x:c r="K378" s="39"/>
      <x:c r="L378" s="39"/>
      <x:c r="M378" s="39"/>
      <x:c r="N378" s="39"/>
      <x:c r="O378" s="42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41"/>
      <x:c r="E379" s="41"/>
      <x:c r="F379" s="39"/>
      <x:c r="G379" s="35" t="str">
        <x:f>IF(A379="","",SUMIFS('CHI_TIẾT_ĐƠN_HÀNG'!$H$2:$H$500,'CHI_TIẾT_ĐƠN_HÀNG'!$B$2:$B$500,A379))</x:f>
      </x:c>
      <x:c r="H379" s="35" t="str">
        <x:f>IF(A379="","",SUMIFS('THANH_TOÁN'!$D$2:$D$500,'THANH_TOÁN'!$B$2:$B$500,A379,'THANH_TOÁN'!$F$2:$F$500,"ĐÃ XÁC NHẬN"))</x:f>
      </x:c>
      <x:c r="I379" s="35" t="str">
        <x:f>IF(A379="","",MAX(0,G379-H379))</x:f>
      </x:c>
      <x:c r="J379" s="36" t="str">
        <x:f>IF(A379="","",IF(AND(E379&lt;TODAY(),I379&gt;0,K379&lt;&gt;"HỦY"),"QUÁ HẠN",""))</x:f>
      </x:c>
      <x:c r="K379" s="39"/>
      <x:c r="L379" s="39"/>
      <x:c r="M379" s="39"/>
      <x:c r="N379" s="39"/>
      <x:c r="O379" s="42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41"/>
      <x:c r="E380" s="41"/>
      <x:c r="F380" s="39"/>
      <x:c r="G380" s="35" t="str">
        <x:f>IF(A380="","",SUMIFS('CHI_TIẾT_ĐƠN_HÀNG'!$H$2:$H$500,'CHI_TIẾT_ĐƠN_HÀNG'!$B$2:$B$500,A380))</x:f>
      </x:c>
      <x:c r="H380" s="35" t="str">
        <x:f>IF(A380="","",SUMIFS('THANH_TOÁN'!$D$2:$D$500,'THANH_TOÁN'!$B$2:$B$500,A380,'THANH_TOÁN'!$F$2:$F$500,"ĐÃ XÁC NHẬN"))</x:f>
      </x:c>
      <x:c r="I380" s="35" t="str">
        <x:f>IF(A380="","",MAX(0,G380-H380))</x:f>
      </x:c>
      <x:c r="J380" s="36" t="str">
        <x:f>IF(A380="","",IF(AND(E380&lt;TODAY(),I380&gt;0,K380&lt;&gt;"HỦY"),"QUÁ HẠN",""))</x:f>
      </x:c>
      <x:c r="K380" s="39"/>
      <x:c r="L380" s="39"/>
      <x:c r="M380" s="39"/>
      <x:c r="N380" s="39"/>
      <x:c r="O380" s="42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41"/>
      <x:c r="E381" s="41"/>
      <x:c r="F381" s="39"/>
      <x:c r="G381" s="35" t="str">
        <x:f>IF(A381="","",SUMIFS('CHI_TIẾT_ĐƠN_HÀNG'!$H$2:$H$500,'CHI_TIẾT_ĐƠN_HÀNG'!$B$2:$B$500,A381))</x:f>
      </x:c>
      <x:c r="H381" s="35" t="str">
        <x:f>IF(A381="","",SUMIFS('THANH_TOÁN'!$D$2:$D$500,'THANH_TOÁN'!$B$2:$B$500,A381,'THANH_TOÁN'!$F$2:$F$500,"ĐÃ XÁC NHẬN"))</x:f>
      </x:c>
      <x:c r="I381" s="35" t="str">
        <x:f>IF(A381="","",MAX(0,G381-H381))</x:f>
      </x:c>
      <x:c r="J381" s="36" t="str">
        <x:f>IF(A381="","",IF(AND(E381&lt;TODAY(),I381&gt;0,K381&lt;&gt;"HỦY"),"QUÁ HẠN",""))</x:f>
      </x:c>
      <x:c r="K381" s="39"/>
      <x:c r="L381" s="39"/>
      <x:c r="M381" s="39"/>
      <x:c r="N381" s="39"/>
      <x:c r="O381" s="42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41"/>
      <x:c r="E382" s="41"/>
      <x:c r="F382" s="39"/>
      <x:c r="G382" s="35" t="str">
        <x:f>IF(A382="","",SUMIFS('CHI_TIẾT_ĐƠN_HÀNG'!$H$2:$H$500,'CHI_TIẾT_ĐƠN_HÀNG'!$B$2:$B$500,A382))</x:f>
      </x:c>
      <x:c r="H382" s="35" t="str">
        <x:f>IF(A382="","",SUMIFS('THANH_TOÁN'!$D$2:$D$500,'THANH_TOÁN'!$B$2:$B$500,A382,'THANH_TOÁN'!$F$2:$F$500,"ĐÃ XÁC NHẬN"))</x:f>
      </x:c>
      <x:c r="I382" s="35" t="str">
        <x:f>IF(A382="","",MAX(0,G382-H382))</x:f>
      </x:c>
      <x:c r="J382" s="36" t="str">
        <x:f>IF(A382="","",IF(AND(E382&lt;TODAY(),I382&gt;0,K382&lt;&gt;"HỦY"),"QUÁ HẠN",""))</x:f>
      </x:c>
      <x:c r="K382" s="39"/>
      <x:c r="L382" s="39"/>
      <x:c r="M382" s="39"/>
      <x:c r="N382" s="39"/>
      <x:c r="O382" s="42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41"/>
      <x:c r="E383" s="41"/>
      <x:c r="F383" s="39"/>
      <x:c r="G383" s="35" t="str">
        <x:f>IF(A383="","",SUMIFS('CHI_TIẾT_ĐƠN_HÀNG'!$H$2:$H$500,'CHI_TIẾT_ĐƠN_HÀNG'!$B$2:$B$500,A383))</x:f>
      </x:c>
      <x:c r="H383" s="35" t="str">
        <x:f>IF(A383="","",SUMIFS('THANH_TOÁN'!$D$2:$D$500,'THANH_TOÁN'!$B$2:$B$500,A383,'THANH_TOÁN'!$F$2:$F$500,"ĐÃ XÁC NHẬN"))</x:f>
      </x:c>
      <x:c r="I383" s="35" t="str">
        <x:f>IF(A383="","",MAX(0,G383-H383))</x:f>
      </x:c>
      <x:c r="J383" s="36" t="str">
        <x:f>IF(A383="","",IF(AND(E383&lt;TODAY(),I383&gt;0,K383&lt;&gt;"HỦY"),"QUÁ HẠN",""))</x:f>
      </x:c>
      <x:c r="K383" s="39"/>
      <x:c r="L383" s="39"/>
      <x:c r="M383" s="39"/>
      <x:c r="N383" s="39"/>
      <x:c r="O383" s="42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41"/>
      <x:c r="E384" s="41"/>
      <x:c r="F384" s="39"/>
      <x:c r="G384" s="35" t="str">
        <x:f>IF(A384="","",SUMIFS('CHI_TIẾT_ĐƠN_HÀNG'!$H$2:$H$500,'CHI_TIẾT_ĐƠN_HÀNG'!$B$2:$B$500,A384))</x:f>
      </x:c>
      <x:c r="H384" s="35" t="str">
        <x:f>IF(A384="","",SUMIFS('THANH_TOÁN'!$D$2:$D$500,'THANH_TOÁN'!$B$2:$B$500,A384,'THANH_TOÁN'!$F$2:$F$500,"ĐÃ XÁC NHẬN"))</x:f>
      </x:c>
      <x:c r="I384" s="35" t="str">
        <x:f>IF(A384="","",MAX(0,G384-H384))</x:f>
      </x:c>
      <x:c r="J384" s="36" t="str">
        <x:f>IF(A384="","",IF(AND(E384&lt;TODAY(),I384&gt;0,K384&lt;&gt;"HỦY"),"QUÁ HẠN",""))</x:f>
      </x:c>
      <x:c r="K384" s="39"/>
      <x:c r="L384" s="39"/>
      <x:c r="M384" s="39"/>
      <x:c r="N384" s="39"/>
      <x:c r="O384" s="42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41"/>
      <x:c r="E385" s="41"/>
      <x:c r="F385" s="39"/>
      <x:c r="G385" s="35" t="str">
        <x:f>IF(A385="","",SUMIFS('CHI_TIẾT_ĐƠN_HÀNG'!$H$2:$H$500,'CHI_TIẾT_ĐƠN_HÀNG'!$B$2:$B$500,A385))</x:f>
      </x:c>
      <x:c r="H385" s="35" t="str">
        <x:f>IF(A385="","",SUMIFS('THANH_TOÁN'!$D$2:$D$500,'THANH_TOÁN'!$B$2:$B$500,A385,'THANH_TOÁN'!$F$2:$F$500,"ĐÃ XÁC NHẬN"))</x:f>
      </x:c>
      <x:c r="I385" s="35" t="str">
        <x:f>IF(A385="","",MAX(0,G385-H385))</x:f>
      </x:c>
      <x:c r="J385" s="36" t="str">
        <x:f>IF(A385="","",IF(AND(E385&lt;TODAY(),I385&gt;0,K385&lt;&gt;"HỦY"),"QUÁ HẠN",""))</x:f>
      </x:c>
      <x:c r="K385" s="39"/>
      <x:c r="L385" s="39"/>
      <x:c r="M385" s="39"/>
      <x:c r="N385" s="39"/>
      <x:c r="O385" s="42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41"/>
      <x:c r="E386" s="41"/>
      <x:c r="F386" s="39"/>
      <x:c r="G386" s="35" t="str">
        <x:f>IF(A386="","",SUMIFS('CHI_TIẾT_ĐƠN_HÀNG'!$H$2:$H$500,'CHI_TIẾT_ĐƠN_HÀNG'!$B$2:$B$500,A386))</x:f>
      </x:c>
      <x:c r="H386" s="35" t="str">
        <x:f>IF(A386="","",SUMIFS('THANH_TOÁN'!$D$2:$D$500,'THANH_TOÁN'!$B$2:$B$500,A386,'THANH_TOÁN'!$F$2:$F$500,"ĐÃ XÁC NHẬN"))</x:f>
      </x:c>
      <x:c r="I386" s="35" t="str">
        <x:f>IF(A386="","",MAX(0,G386-H386))</x:f>
      </x:c>
      <x:c r="J386" s="36" t="str">
        <x:f>IF(A386="","",IF(AND(E386&lt;TODAY(),I386&gt;0,K386&lt;&gt;"HỦY"),"QUÁ HẠN",""))</x:f>
      </x:c>
      <x:c r="K386" s="39"/>
      <x:c r="L386" s="39"/>
      <x:c r="M386" s="39"/>
      <x:c r="N386" s="39"/>
      <x:c r="O386" s="42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41"/>
      <x:c r="E387" s="41"/>
      <x:c r="F387" s="39"/>
      <x:c r="G387" s="35" t="str">
        <x:f>IF(A387="","",SUMIFS('CHI_TIẾT_ĐƠN_HÀNG'!$H$2:$H$500,'CHI_TIẾT_ĐƠN_HÀNG'!$B$2:$B$500,A387))</x:f>
      </x:c>
      <x:c r="H387" s="35" t="str">
        <x:f>IF(A387="","",SUMIFS('THANH_TOÁN'!$D$2:$D$500,'THANH_TOÁN'!$B$2:$B$500,A387,'THANH_TOÁN'!$F$2:$F$500,"ĐÃ XÁC NHẬN"))</x:f>
      </x:c>
      <x:c r="I387" s="35" t="str">
        <x:f>IF(A387="","",MAX(0,G387-H387))</x:f>
      </x:c>
      <x:c r="J387" s="36" t="str">
        <x:f>IF(A387="","",IF(AND(E387&lt;TODAY(),I387&gt;0,K387&lt;&gt;"HỦY"),"QUÁ HẠN",""))</x:f>
      </x:c>
      <x:c r="K387" s="39"/>
      <x:c r="L387" s="39"/>
      <x:c r="M387" s="39"/>
      <x:c r="N387" s="39"/>
      <x:c r="O387" s="42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41"/>
      <x:c r="E388" s="41"/>
      <x:c r="F388" s="39"/>
      <x:c r="G388" s="35" t="str">
        <x:f>IF(A388="","",SUMIFS('CHI_TIẾT_ĐƠN_HÀNG'!$H$2:$H$500,'CHI_TIẾT_ĐƠN_HÀNG'!$B$2:$B$500,A388))</x:f>
      </x:c>
      <x:c r="H388" s="35" t="str">
        <x:f>IF(A388="","",SUMIFS('THANH_TOÁN'!$D$2:$D$500,'THANH_TOÁN'!$B$2:$B$500,A388,'THANH_TOÁN'!$F$2:$F$500,"ĐÃ XÁC NHẬN"))</x:f>
      </x:c>
      <x:c r="I388" s="35" t="str">
        <x:f>IF(A388="","",MAX(0,G388-H388))</x:f>
      </x:c>
      <x:c r="J388" s="36" t="str">
        <x:f>IF(A388="","",IF(AND(E388&lt;TODAY(),I388&gt;0,K388&lt;&gt;"HỦY"),"QUÁ HẠN",""))</x:f>
      </x:c>
      <x:c r="K388" s="39"/>
      <x:c r="L388" s="39"/>
      <x:c r="M388" s="39"/>
      <x:c r="N388" s="39"/>
      <x:c r="O388" s="42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41"/>
      <x:c r="E389" s="41"/>
      <x:c r="F389" s="39"/>
      <x:c r="G389" s="35" t="str">
        <x:f>IF(A389="","",SUMIFS('CHI_TIẾT_ĐƠN_HÀNG'!$H$2:$H$500,'CHI_TIẾT_ĐƠN_HÀNG'!$B$2:$B$500,A389))</x:f>
      </x:c>
      <x:c r="H389" s="35" t="str">
        <x:f>IF(A389="","",SUMIFS('THANH_TOÁN'!$D$2:$D$500,'THANH_TOÁN'!$B$2:$B$500,A389,'THANH_TOÁN'!$F$2:$F$500,"ĐÃ XÁC NHẬN"))</x:f>
      </x:c>
      <x:c r="I389" s="35" t="str">
        <x:f>IF(A389="","",MAX(0,G389-H389))</x:f>
      </x:c>
      <x:c r="J389" s="36" t="str">
        <x:f>IF(A389="","",IF(AND(E389&lt;TODAY(),I389&gt;0,K389&lt;&gt;"HỦY"),"QUÁ HẠN",""))</x:f>
      </x:c>
      <x:c r="K389" s="39"/>
      <x:c r="L389" s="39"/>
      <x:c r="M389" s="39"/>
      <x:c r="N389" s="39"/>
      <x:c r="O389" s="42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41"/>
      <x:c r="E390" s="41"/>
      <x:c r="F390" s="39"/>
      <x:c r="G390" s="35" t="str">
        <x:f>IF(A390="","",SUMIFS('CHI_TIẾT_ĐƠN_HÀNG'!$H$2:$H$500,'CHI_TIẾT_ĐƠN_HÀNG'!$B$2:$B$500,A390))</x:f>
      </x:c>
      <x:c r="H390" s="35" t="str">
        <x:f>IF(A390="","",SUMIFS('THANH_TOÁN'!$D$2:$D$500,'THANH_TOÁN'!$B$2:$B$500,A390,'THANH_TOÁN'!$F$2:$F$500,"ĐÃ XÁC NHẬN"))</x:f>
      </x:c>
      <x:c r="I390" s="35" t="str">
        <x:f>IF(A390="","",MAX(0,G390-H390))</x:f>
      </x:c>
      <x:c r="J390" s="36" t="str">
        <x:f>IF(A390="","",IF(AND(E390&lt;TODAY(),I390&gt;0,K390&lt;&gt;"HỦY"),"QUÁ HẠN",""))</x:f>
      </x:c>
      <x:c r="K390" s="39"/>
      <x:c r="L390" s="39"/>
      <x:c r="M390" s="39"/>
      <x:c r="N390" s="39"/>
      <x:c r="O390" s="42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41"/>
      <x:c r="E391" s="41"/>
      <x:c r="F391" s="39"/>
      <x:c r="G391" s="35" t="str">
        <x:f>IF(A391="","",SUMIFS('CHI_TIẾT_ĐƠN_HÀNG'!$H$2:$H$500,'CHI_TIẾT_ĐƠN_HÀNG'!$B$2:$B$500,A391))</x:f>
      </x:c>
      <x:c r="H391" s="35" t="str">
        <x:f>IF(A391="","",SUMIFS('THANH_TOÁN'!$D$2:$D$500,'THANH_TOÁN'!$B$2:$B$500,A391,'THANH_TOÁN'!$F$2:$F$500,"ĐÃ XÁC NHẬN"))</x:f>
      </x:c>
      <x:c r="I391" s="35" t="str">
        <x:f>IF(A391="","",MAX(0,G391-H391))</x:f>
      </x:c>
      <x:c r="J391" s="36" t="str">
        <x:f>IF(A391="","",IF(AND(E391&lt;TODAY(),I391&gt;0,K391&lt;&gt;"HỦY"),"QUÁ HẠN",""))</x:f>
      </x:c>
      <x:c r="K391" s="39"/>
      <x:c r="L391" s="39"/>
      <x:c r="M391" s="39"/>
      <x:c r="N391" s="39"/>
      <x:c r="O391" s="42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41"/>
      <x:c r="E392" s="41"/>
      <x:c r="F392" s="39"/>
      <x:c r="G392" s="35" t="str">
        <x:f>IF(A392="","",SUMIFS('CHI_TIẾT_ĐƠN_HÀNG'!$H$2:$H$500,'CHI_TIẾT_ĐƠN_HÀNG'!$B$2:$B$500,A392))</x:f>
      </x:c>
      <x:c r="H392" s="35" t="str">
        <x:f>IF(A392="","",SUMIFS('THANH_TOÁN'!$D$2:$D$500,'THANH_TOÁN'!$B$2:$B$500,A392,'THANH_TOÁN'!$F$2:$F$500,"ĐÃ XÁC NHẬN"))</x:f>
      </x:c>
      <x:c r="I392" s="35" t="str">
        <x:f>IF(A392="","",MAX(0,G392-H392))</x:f>
      </x:c>
      <x:c r="J392" s="36" t="str">
        <x:f>IF(A392="","",IF(AND(E392&lt;TODAY(),I392&gt;0,K392&lt;&gt;"HỦY"),"QUÁ HẠN",""))</x:f>
      </x:c>
      <x:c r="K392" s="39"/>
      <x:c r="L392" s="39"/>
      <x:c r="M392" s="39"/>
      <x:c r="N392" s="39"/>
      <x:c r="O392" s="42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41"/>
      <x:c r="E393" s="41"/>
      <x:c r="F393" s="39"/>
      <x:c r="G393" s="35" t="str">
        <x:f>IF(A393="","",SUMIFS('CHI_TIẾT_ĐƠN_HÀNG'!$H$2:$H$500,'CHI_TIẾT_ĐƠN_HÀNG'!$B$2:$B$500,A393))</x:f>
      </x:c>
      <x:c r="H393" s="35" t="str">
        <x:f>IF(A393="","",SUMIFS('THANH_TOÁN'!$D$2:$D$500,'THANH_TOÁN'!$B$2:$B$500,A393,'THANH_TOÁN'!$F$2:$F$500,"ĐÃ XÁC NHẬN"))</x:f>
      </x:c>
      <x:c r="I393" s="35" t="str">
        <x:f>IF(A393="","",MAX(0,G393-H393))</x:f>
      </x:c>
      <x:c r="J393" s="36" t="str">
        <x:f>IF(A393="","",IF(AND(E393&lt;TODAY(),I393&gt;0,K393&lt;&gt;"HỦY"),"QUÁ HẠN",""))</x:f>
      </x:c>
      <x:c r="K393" s="39"/>
      <x:c r="L393" s="39"/>
      <x:c r="M393" s="39"/>
      <x:c r="N393" s="39"/>
      <x:c r="O393" s="42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41"/>
      <x:c r="E394" s="41"/>
      <x:c r="F394" s="39"/>
      <x:c r="G394" s="35" t="str">
        <x:f>IF(A394="","",SUMIFS('CHI_TIẾT_ĐƠN_HÀNG'!$H$2:$H$500,'CHI_TIẾT_ĐƠN_HÀNG'!$B$2:$B$500,A394))</x:f>
      </x:c>
      <x:c r="H394" s="35" t="str">
        <x:f>IF(A394="","",SUMIFS('THANH_TOÁN'!$D$2:$D$500,'THANH_TOÁN'!$B$2:$B$500,A394,'THANH_TOÁN'!$F$2:$F$500,"ĐÃ XÁC NHẬN"))</x:f>
      </x:c>
      <x:c r="I394" s="35" t="str">
        <x:f>IF(A394="","",MAX(0,G394-H394))</x:f>
      </x:c>
      <x:c r="J394" s="36" t="str">
        <x:f>IF(A394="","",IF(AND(E394&lt;TODAY(),I394&gt;0,K394&lt;&gt;"HỦY"),"QUÁ HẠN",""))</x:f>
      </x:c>
      <x:c r="K394" s="39"/>
      <x:c r="L394" s="39"/>
      <x:c r="M394" s="39"/>
      <x:c r="N394" s="39"/>
      <x:c r="O394" s="42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41"/>
      <x:c r="E395" s="41"/>
      <x:c r="F395" s="39"/>
      <x:c r="G395" s="35" t="str">
        <x:f>IF(A395="","",SUMIFS('CHI_TIẾT_ĐƠN_HÀNG'!$H$2:$H$500,'CHI_TIẾT_ĐƠN_HÀNG'!$B$2:$B$500,A395))</x:f>
      </x:c>
      <x:c r="H395" s="35" t="str">
        <x:f>IF(A395="","",SUMIFS('THANH_TOÁN'!$D$2:$D$500,'THANH_TOÁN'!$B$2:$B$500,A395,'THANH_TOÁN'!$F$2:$F$500,"ĐÃ XÁC NHẬN"))</x:f>
      </x:c>
      <x:c r="I395" s="35" t="str">
        <x:f>IF(A395="","",MAX(0,G395-H395))</x:f>
      </x:c>
      <x:c r="J395" s="36" t="str">
        <x:f>IF(A395="","",IF(AND(E395&lt;TODAY(),I395&gt;0,K395&lt;&gt;"HỦY"),"QUÁ HẠN",""))</x:f>
      </x:c>
      <x:c r="K395" s="39"/>
      <x:c r="L395" s="39"/>
      <x:c r="M395" s="39"/>
      <x:c r="N395" s="39"/>
      <x:c r="O395" s="42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41"/>
      <x:c r="E396" s="41"/>
      <x:c r="F396" s="39"/>
      <x:c r="G396" s="35" t="str">
        <x:f>IF(A396="","",SUMIFS('CHI_TIẾT_ĐƠN_HÀNG'!$H$2:$H$500,'CHI_TIẾT_ĐƠN_HÀNG'!$B$2:$B$500,A396))</x:f>
      </x:c>
      <x:c r="H396" s="35" t="str">
        <x:f>IF(A396="","",SUMIFS('THANH_TOÁN'!$D$2:$D$500,'THANH_TOÁN'!$B$2:$B$500,A396,'THANH_TOÁN'!$F$2:$F$500,"ĐÃ XÁC NHẬN"))</x:f>
      </x:c>
      <x:c r="I396" s="35" t="str">
        <x:f>IF(A396="","",MAX(0,G396-H396))</x:f>
      </x:c>
      <x:c r="J396" s="36" t="str">
        <x:f>IF(A396="","",IF(AND(E396&lt;TODAY(),I396&gt;0,K396&lt;&gt;"HỦY"),"QUÁ HẠN",""))</x:f>
      </x:c>
      <x:c r="K396" s="39"/>
      <x:c r="L396" s="39"/>
      <x:c r="M396" s="39"/>
      <x:c r="N396" s="39"/>
      <x:c r="O396" s="42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41"/>
      <x:c r="E397" s="41"/>
      <x:c r="F397" s="39"/>
      <x:c r="G397" s="35" t="str">
        <x:f>IF(A397="","",SUMIFS('CHI_TIẾT_ĐƠN_HÀNG'!$H$2:$H$500,'CHI_TIẾT_ĐƠN_HÀNG'!$B$2:$B$500,A397))</x:f>
      </x:c>
      <x:c r="H397" s="35" t="str">
        <x:f>IF(A397="","",SUMIFS('THANH_TOÁN'!$D$2:$D$500,'THANH_TOÁN'!$B$2:$B$500,A397,'THANH_TOÁN'!$F$2:$F$500,"ĐÃ XÁC NHẬN"))</x:f>
      </x:c>
      <x:c r="I397" s="35" t="str">
        <x:f>IF(A397="","",MAX(0,G397-H397))</x:f>
      </x:c>
      <x:c r="J397" s="36" t="str">
        <x:f>IF(A397="","",IF(AND(E397&lt;TODAY(),I397&gt;0,K397&lt;&gt;"HỦY"),"QUÁ HẠN",""))</x:f>
      </x:c>
      <x:c r="K397" s="39"/>
      <x:c r="L397" s="39"/>
      <x:c r="M397" s="39"/>
      <x:c r="N397" s="39"/>
      <x:c r="O397" s="42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41"/>
      <x:c r="E398" s="41"/>
      <x:c r="F398" s="39"/>
      <x:c r="G398" s="35" t="str">
        <x:f>IF(A398="","",SUMIFS('CHI_TIẾT_ĐƠN_HÀNG'!$H$2:$H$500,'CHI_TIẾT_ĐƠN_HÀNG'!$B$2:$B$500,A398))</x:f>
      </x:c>
      <x:c r="H398" s="35" t="str">
        <x:f>IF(A398="","",SUMIFS('THANH_TOÁN'!$D$2:$D$500,'THANH_TOÁN'!$B$2:$B$500,A398,'THANH_TOÁN'!$F$2:$F$500,"ĐÃ XÁC NHẬN"))</x:f>
      </x:c>
      <x:c r="I398" s="35" t="str">
        <x:f>IF(A398="","",MAX(0,G398-H398))</x:f>
      </x:c>
      <x:c r="J398" s="36" t="str">
        <x:f>IF(A398="","",IF(AND(E398&lt;TODAY(),I398&gt;0,K398&lt;&gt;"HỦY"),"QUÁ HẠN",""))</x:f>
      </x:c>
      <x:c r="K398" s="39"/>
      <x:c r="L398" s="39"/>
      <x:c r="M398" s="39"/>
      <x:c r="N398" s="39"/>
      <x:c r="O398" s="42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41"/>
      <x:c r="E399" s="41"/>
      <x:c r="F399" s="39"/>
      <x:c r="G399" s="35" t="str">
        <x:f>IF(A399="","",SUMIFS('CHI_TIẾT_ĐƠN_HÀNG'!$H$2:$H$500,'CHI_TIẾT_ĐƠN_HÀNG'!$B$2:$B$500,A399))</x:f>
      </x:c>
      <x:c r="H399" s="35" t="str">
        <x:f>IF(A399="","",SUMIFS('THANH_TOÁN'!$D$2:$D$500,'THANH_TOÁN'!$B$2:$B$500,A399,'THANH_TOÁN'!$F$2:$F$500,"ĐÃ XÁC NHẬN"))</x:f>
      </x:c>
      <x:c r="I399" s="35" t="str">
        <x:f>IF(A399="","",MAX(0,G399-H399))</x:f>
      </x:c>
      <x:c r="J399" s="36" t="str">
        <x:f>IF(A399="","",IF(AND(E399&lt;TODAY(),I399&gt;0,K399&lt;&gt;"HỦY"),"QUÁ HẠN",""))</x:f>
      </x:c>
      <x:c r="K399" s="39"/>
      <x:c r="L399" s="39"/>
      <x:c r="M399" s="39"/>
      <x:c r="N399" s="39"/>
      <x:c r="O399" s="42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41"/>
      <x:c r="E400" s="41"/>
      <x:c r="F400" s="39"/>
      <x:c r="G400" s="35" t="str">
        <x:f>IF(A400="","",SUMIFS('CHI_TIẾT_ĐƠN_HÀNG'!$H$2:$H$500,'CHI_TIẾT_ĐƠN_HÀNG'!$B$2:$B$500,A400))</x:f>
      </x:c>
      <x:c r="H400" s="35" t="str">
        <x:f>IF(A400="","",SUMIFS('THANH_TOÁN'!$D$2:$D$500,'THANH_TOÁN'!$B$2:$B$500,A400,'THANH_TOÁN'!$F$2:$F$500,"ĐÃ XÁC NHẬN"))</x:f>
      </x:c>
      <x:c r="I400" s="35" t="str">
        <x:f>IF(A400="","",MAX(0,G400-H400))</x:f>
      </x:c>
      <x:c r="J400" s="36" t="str">
        <x:f>IF(A400="","",IF(AND(E400&lt;TODAY(),I400&gt;0,K400&lt;&gt;"HỦY"),"QUÁ HẠN",""))</x:f>
      </x:c>
      <x:c r="K400" s="39"/>
      <x:c r="L400" s="39"/>
      <x:c r="M400" s="39"/>
      <x:c r="N400" s="39"/>
      <x:c r="O400" s="42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41"/>
      <x:c r="E401" s="41"/>
      <x:c r="F401" s="39"/>
      <x:c r="G401" s="35" t="str">
        <x:f>IF(A401="","",SUMIFS('CHI_TIẾT_ĐƠN_HÀNG'!$H$2:$H$500,'CHI_TIẾT_ĐƠN_HÀNG'!$B$2:$B$500,A401))</x:f>
      </x:c>
      <x:c r="H401" s="35" t="str">
        <x:f>IF(A401="","",SUMIFS('THANH_TOÁN'!$D$2:$D$500,'THANH_TOÁN'!$B$2:$B$500,A401,'THANH_TOÁN'!$F$2:$F$500,"ĐÃ XÁC NHẬN"))</x:f>
      </x:c>
      <x:c r="I401" s="35" t="str">
        <x:f>IF(A401="","",MAX(0,G401-H401))</x:f>
      </x:c>
      <x:c r="J401" s="36" t="str">
        <x:f>IF(A401="","",IF(AND(E401&lt;TODAY(),I401&gt;0,K401&lt;&gt;"HỦY"),"QUÁ HẠN",""))</x:f>
      </x:c>
      <x:c r="K401" s="39"/>
      <x:c r="L401" s="39"/>
      <x:c r="M401" s="39"/>
      <x:c r="N401" s="39"/>
      <x:c r="O401" s="42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41"/>
      <x:c r="E402" s="41"/>
      <x:c r="F402" s="39"/>
      <x:c r="G402" s="35" t="str">
        <x:f>IF(A402="","",SUMIFS('CHI_TIẾT_ĐƠN_HÀNG'!$H$2:$H$500,'CHI_TIẾT_ĐƠN_HÀNG'!$B$2:$B$500,A402))</x:f>
      </x:c>
      <x:c r="H402" s="35" t="str">
        <x:f>IF(A402="","",SUMIFS('THANH_TOÁN'!$D$2:$D$500,'THANH_TOÁN'!$B$2:$B$500,A402,'THANH_TOÁN'!$F$2:$F$500,"ĐÃ XÁC NHẬN"))</x:f>
      </x:c>
      <x:c r="I402" s="35" t="str">
        <x:f>IF(A402="","",MAX(0,G402-H402))</x:f>
      </x:c>
      <x:c r="J402" s="36" t="str">
        <x:f>IF(A402="","",IF(AND(E402&lt;TODAY(),I402&gt;0,K402&lt;&gt;"HỦY"),"QUÁ HẠN",""))</x:f>
      </x:c>
      <x:c r="K402" s="39"/>
      <x:c r="L402" s="39"/>
      <x:c r="M402" s="39"/>
      <x:c r="N402" s="39"/>
      <x:c r="O402" s="42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41"/>
      <x:c r="E403" s="41"/>
      <x:c r="F403" s="39"/>
      <x:c r="G403" s="35" t="str">
        <x:f>IF(A403="","",SUMIFS('CHI_TIẾT_ĐƠN_HÀNG'!$H$2:$H$500,'CHI_TIẾT_ĐƠN_HÀNG'!$B$2:$B$500,A403))</x:f>
      </x:c>
      <x:c r="H403" s="35" t="str">
        <x:f>IF(A403="","",SUMIFS('THANH_TOÁN'!$D$2:$D$500,'THANH_TOÁN'!$B$2:$B$500,A403,'THANH_TOÁN'!$F$2:$F$500,"ĐÃ XÁC NHẬN"))</x:f>
      </x:c>
      <x:c r="I403" s="35" t="str">
        <x:f>IF(A403="","",MAX(0,G403-H403))</x:f>
      </x:c>
      <x:c r="J403" s="36" t="str">
        <x:f>IF(A403="","",IF(AND(E403&lt;TODAY(),I403&gt;0,K403&lt;&gt;"HỦY"),"QUÁ HẠN",""))</x:f>
      </x:c>
      <x:c r="K403" s="39"/>
      <x:c r="L403" s="39"/>
      <x:c r="M403" s="39"/>
      <x:c r="N403" s="39"/>
      <x:c r="O403" s="42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41"/>
      <x:c r="E404" s="41"/>
      <x:c r="F404" s="39"/>
      <x:c r="G404" s="35" t="str">
        <x:f>IF(A404="","",SUMIFS('CHI_TIẾT_ĐƠN_HÀNG'!$H$2:$H$500,'CHI_TIẾT_ĐƠN_HÀNG'!$B$2:$B$500,A404))</x:f>
      </x:c>
      <x:c r="H404" s="35" t="str">
        <x:f>IF(A404="","",SUMIFS('THANH_TOÁN'!$D$2:$D$500,'THANH_TOÁN'!$B$2:$B$500,A404,'THANH_TOÁN'!$F$2:$F$500,"ĐÃ XÁC NHẬN"))</x:f>
      </x:c>
      <x:c r="I404" s="35" t="str">
        <x:f>IF(A404="","",MAX(0,G404-H404))</x:f>
      </x:c>
      <x:c r="J404" s="36" t="str">
        <x:f>IF(A404="","",IF(AND(E404&lt;TODAY(),I404&gt;0,K404&lt;&gt;"HỦY"),"QUÁ HẠN",""))</x:f>
      </x:c>
      <x:c r="K404" s="39"/>
      <x:c r="L404" s="39"/>
      <x:c r="M404" s="39"/>
      <x:c r="N404" s="39"/>
      <x:c r="O404" s="42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41"/>
      <x:c r="E405" s="41"/>
      <x:c r="F405" s="39"/>
      <x:c r="G405" s="35" t="str">
        <x:f>IF(A405="","",SUMIFS('CHI_TIẾT_ĐƠN_HÀNG'!$H$2:$H$500,'CHI_TIẾT_ĐƠN_HÀNG'!$B$2:$B$500,A405))</x:f>
      </x:c>
      <x:c r="H405" s="35" t="str">
        <x:f>IF(A405="","",SUMIFS('THANH_TOÁN'!$D$2:$D$500,'THANH_TOÁN'!$B$2:$B$500,A405,'THANH_TOÁN'!$F$2:$F$500,"ĐÃ XÁC NHẬN"))</x:f>
      </x:c>
      <x:c r="I405" s="35" t="str">
        <x:f>IF(A405="","",MAX(0,G405-H405))</x:f>
      </x:c>
      <x:c r="J405" s="36" t="str">
        <x:f>IF(A405="","",IF(AND(E405&lt;TODAY(),I405&gt;0,K405&lt;&gt;"HỦY"),"QUÁ HẠN",""))</x:f>
      </x:c>
      <x:c r="K405" s="39"/>
      <x:c r="L405" s="39"/>
      <x:c r="M405" s="39"/>
      <x:c r="N405" s="39"/>
      <x:c r="O405" s="42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41"/>
      <x:c r="E406" s="41"/>
      <x:c r="F406" s="39"/>
      <x:c r="G406" s="35" t="str">
        <x:f>IF(A406="","",SUMIFS('CHI_TIẾT_ĐƠN_HÀNG'!$H$2:$H$500,'CHI_TIẾT_ĐƠN_HÀNG'!$B$2:$B$500,A406))</x:f>
      </x:c>
      <x:c r="H406" s="35" t="str">
        <x:f>IF(A406="","",SUMIFS('THANH_TOÁN'!$D$2:$D$500,'THANH_TOÁN'!$B$2:$B$500,A406,'THANH_TOÁN'!$F$2:$F$500,"ĐÃ XÁC NHẬN"))</x:f>
      </x:c>
      <x:c r="I406" s="35" t="str">
        <x:f>IF(A406="","",MAX(0,G406-H406))</x:f>
      </x:c>
      <x:c r="J406" s="36" t="str">
        <x:f>IF(A406="","",IF(AND(E406&lt;TODAY(),I406&gt;0,K406&lt;&gt;"HỦY"),"QUÁ HẠN",""))</x:f>
      </x:c>
      <x:c r="K406" s="39"/>
      <x:c r="L406" s="39"/>
      <x:c r="M406" s="39"/>
      <x:c r="N406" s="39"/>
      <x:c r="O406" s="42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41"/>
      <x:c r="E407" s="41"/>
      <x:c r="F407" s="39"/>
      <x:c r="G407" s="35" t="str">
        <x:f>IF(A407="","",SUMIFS('CHI_TIẾT_ĐƠN_HÀNG'!$H$2:$H$500,'CHI_TIẾT_ĐƠN_HÀNG'!$B$2:$B$500,A407))</x:f>
      </x:c>
      <x:c r="H407" s="35" t="str">
        <x:f>IF(A407="","",SUMIFS('THANH_TOÁN'!$D$2:$D$500,'THANH_TOÁN'!$B$2:$B$500,A407,'THANH_TOÁN'!$F$2:$F$500,"ĐÃ XÁC NHẬN"))</x:f>
      </x:c>
      <x:c r="I407" s="35" t="str">
        <x:f>IF(A407="","",MAX(0,G407-H407))</x:f>
      </x:c>
      <x:c r="J407" s="36" t="str">
        <x:f>IF(A407="","",IF(AND(E407&lt;TODAY(),I407&gt;0,K407&lt;&gt;"HỦY"),"QUÁ HẠN",""))</x:f>
      </x:c>
      <x:c r="K407" s="39"/>
      <x:c r="L407" s="39"/>
      <x:c r="M407" s="39"/>
      <x:c r="N407" s="39"/>
      <x:c r="O407" s="42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41"/>
      <x:c r="E408" s="41"/>
      <x:c r="F408" s="39"/>
      <x:c r="G408" s="35" t="str">
        <x:f>IF(A408="","",SUMIFS('CHI_TIẾT_ĐƠN_HÀNG'!$H$2:$H$500,'CHI_TIẾT_ĐƠN_HÀNG'!$B$2:$B$500,A408))</x:f>
      </x:c>
      <x:c r="H408" s="35" t="str">
        <x:f>IF(A408="","",SUMIFS('THANH_TOÁN'!$D$2:$D$500,'THANH_TOÁN'!$B$2:$B$500,A408,'THANH_TOÁN'!$F$2:$F$500,"ĐÃ XÁC NHẬN"))</x:f>
      </x:c>
      <x:c r="I408" s="35" t="str">
        <x:f>IF(A408="","",MAX(0,G408-H408))</x:f>
      </x:c>
      <x:c r="J408" s="36" t="str">
        <x:f>IF(A408="","",IF(AND(E408&lt;TODAY(),I408&gt;0,K408&lt;&gt;"HỦY"),"QUÁ HẠN",""))</x:f>
      </x:c>
      <x:c r="K408" s="39"/>
      <x:c r="L408" s="39"/>
      <x:c r="M408" s="39"/>
      <x:c r="N408" s="39"/>
      <x:c r="O408" s="42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41"/>
      <x:c r="E409" s="41"/>
      <x:c r="F409" s="39"/>
      <x:c r="G409" s="35" t="str">
        <x:f>IF(A409="","",SUMIFS('CHI_TIẾT_ĐƠN_HÀNG'!$H$2:$H$500,'CHI_TIẾT_ĐƠN_HÀNG'!$B$2:$B$500,A409))</x:f>
      </x:c>
      <x:c r="H409" s="35" t="str">
        <x:f>IF(A409="","",SUMIFS('THANH_TOÁN'!$D$2:$D$500,'THANH_TOÁN'!$B$2:$B$500,A409,'THANH_TOÁN'!$F$2:$F$500,"ĐÃ XÁC NHẬN"))</x:f>
      </x:c>
      <x:c r="I409" s="35" t="str">
        <x:f>IF(A409="","",MAX(0,G409-H409))</x:f>
      </x:c>
      <x:c r="J409" s="36" t="str">
        <x:f>IF(A409="","",IF(AND(E409&lt;TODAY(),I409&gt;0,K409&lt;&gt;"HỦY"),"QUÁ HẠN",""))</x:f>
      </x:c>
      <x:c r="K409" s="39"/>
      <x:c r="L409" s="39"/>
      <x:c r="M409" s="39"/>
      <x:c r="N409" s="39"/>
      <x:c r="O409" s="42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41"/>
      <x:c r="E410" s="41"/>
      <x:c r="F410" s="39"/>
      <x:c r="G410" s="35" t="str">
        <x:f>IF(A410="","",SUMIFS('CHI_TIẾT_ĐƠN_HÀNG'!$H$2:$H$500,'CHI_TIẾT_ĐƠN_HÀNG'!$B$2:$B$500,A410))</x:f>
      </x:c>
      <x:c r="H410" s="35" t="str">
        <x:f>IF(A410="","",SUMIFS('THANH_TOÁN'!$D$2:$D$500,'THANH_TOÁN'!$B$2:$B$500,A410,'THANH_TOÁN'!$F$2:$F$500,"ĐÃ XÁC NHẬN"))</x:f>
      </x:c>
      <x:c r="I410" s="35" t="str">
        <x:f>IF(A410="","",MAX(0,G410-H410))</x:f>
      </x:c>
      <x:c r="J410" s="36" t="str">
        <x:f>IF(A410="","",IF(AND(E410&lt;TODAY(),I410&gt;0,K410&lt;&gt;"HỦY"),"QUÁ HẠN",""))</x:f>
      </x:c>
      <x:c r="K410" s="39"/>
      <x:c r="L410" s="39"/>
      <x:c r="M410" s="39"/>
      <x:c r="N410" s="39"/>
      <x:c r="O410" s="42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41"/>
      <x:c r="E411" s="41"/>
      <x:c r="F411" s="39"/>
      <x:c r="G411" s="35" t="str">
        <x:f>IF(A411="","",SUMIFS('CHI_TIẾT_ĐƠN_HÀNG'!$H$2:$H$500,'CHI_TIẾT_ĐƠN_HÀNG'!$B$2:$B$500,A411))</x:f>
      </x:c>
      <x:c r="H411" s="35" t="str">
        <x:f>IF(A411="","",SUMIFS('THANH_TOÁN'!$D$2:$D$500,'THANH_TOÁN'!$B$2:$B$500,A411,'THANH_TOÁN'!$F$2:$F$500,"ĐÃ XÁC NHẬN"))</x:f>
      </x:c>
      <x:c r="I411" s="35" t="str">
        <x:f>IF(A411="","",MAX(0,G411-H411))</x:f>
      </x:c>
      <x:c r="J411" s="36" t="str">
        <x:f>IF(A411="","",IF(AND(E411&lt;TODAY(),I411&gt;0,K411&lt;&gt;"HỦY"),"QUÁ HẠN",""))</x:f>
      </x:c>
      <x:c r="K411" s="39"/>
      <x:c r="L411" s="39"/>
      <x:c r="M411" s="39"/>
      <x:c r="N411" s="39"/>
      <x:c r="O411" s="42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41"/>
      <x:c r="E412" s="41"/>
      <x:c r="F412" s="39"/>
      <x:c r="G412" s="35" t="str">
        <x:f>IF(A412="","",SUMIFS('CHI_TIẾT_ĐƠN_HÀNG'!$H$2:$H$500,'CHI_TIẾT_ĐƠN_HÀNG'!$B$2:$B$500,A412))</x:f>
      </x:c>
      <x:c r="H412" s="35" t="str">
        <x:f>IF(A412="","",SUMIFS('THANH_TOÁN'!$D$2:$D$500,'THANH_TOÁN'!$B$2:$B$500,A412,'THANH_TOÁN'!$F$2:$F$500,"ĐÃ XÁC NHẬN"))</x:f>
      </x:c>
      <x:c r="I412" s="35" t="str">
        <x:f>IF(A412="","",MAX(0,G412-H412))</x:f>
      </x:c>
      <x:c r="J412" s="36" t="str">
        <x:f>IF(A412="","",IF(AND(E412&lt;TODAY(),I412&gt;0,K412&lt;&gt;"HỦY"),"QUÁ HẠN",""))</x:f>
      </x:c>
      <x:c r="K412" s="39"/>
      <x:c r="L412" s="39"/>
      <x:c r="M412" s="39"/>
      <x:c r="N412" s="39"/>
      <x:c r="O412" s="42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41"/>
      <x:c r="E413" s="41"/>
      <x:c r="F413" s="39"/>
      <x:c r="G413" s="35" t="str">
        <x:f>IF(A413="","",SUMIFS('CHI_TIẾT_ĐƠN_HÀNG'!$H$2:$H$500,'CHI_TIẾT_ĐƠN_HÀNG'!$B$2:$B$500,A413))</x:f>
      </x:c>
      <x:c r="H413" s="35" t="str">
        <x:f>IF(A413="","",SUMIFS('THANH_TOÁN'!$D$2:$D$500,'THANH_TOÁN'!$B$2:$B$500,A413,'THANH_TOÁN'!$F$2:$F$500,"ĐÃ XÁC NHẬN"))</x:f>
      </x:c>
      <x:c r="I413" s="35" t="str">
        <x:f>IF(A413="","",MAX(0,G413-H413))</x:f>
      </x:c>
      <x:c r="J413" s="36" t="str">
        <x:f>IF(A413="","",IF(AND(E413&lt;TODAY(),I413&gt;0,K413&lt;&gt;"HỦY"),"QUÁ HẠN",""))</x:f>
      </x:c>
      <x:c r="K413" s="39"/>
      <x:c r="L413" s="39"/>
      <x:c r="M413" s="39"/>
      <x:c r="N413" s="39"/>
      <x:c r="O413" s="42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41"/>
      <x:c r="E414" s="41"/>
      <x:c r="F414" s="39"/>
      <x:c r="G414" s="35" t="str">
        <x:f>IF(A414="","",SUMIFS('CHI_TIẾT_ĐƠN_HÀNG'!$H$2:$H$500,'CHI_TIẾT_ĐƠN_HÀNG'!$B$2:$B$500,A414))</x:f>
      </x:c>
      <x:c r="H414" s="35" t="str">
        <x:f>IF(A414="","",SUMIFS('THANH_TOÁN'!$D$2:$D$500,'THANH_TOÁN'!$B$2:$B$500,A414,'THANH_TOÁN'!$F$2:$F$500,"ĐÃ XÁC NHẬN"))</x:f>
      </x:c>
      <x:c r="I414" s="35" t="str">
        <x:f>IF(A414="","",MAX(0,G414-H414))</x:f>
      </x:c>
      <x:c r="J414" s="36" t="str">
        <x:f>IF(A414="","",IF(AND(E414&lt;TODAY(),I414&gt;0,K414&lt;&gt;"HỦY"),"QUÁ HẠN",""))</x:f>
      </x:c>
      <x:c r="K414" s="39"/>
      <x:c r="L414" s="39"/>
      <x:c r="M414" s="39"/>
      <x:c r="N414" s="39"/>
      <x:c r="O414" s="42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41"/>
      <x:c r="E415" s="41"/>
      <x:c r="F415" s="39"/>
      <x:c r="G415" s="35" t="str">
        <x:f>IF(A415="","",SUMIFS('CHI_TIẾT_ĐƠN_HÀNG'!$H$2:$H$500,'CHI_TIẾT_ĐƠN_HÀNG'!$B$2:$B$500,A415))</x:f>
      </x:c>
      <x:c r="H415" s="35" t="str">
        <x:f>IF(A415="","",SUMIFS('THANH_TOÁN'!$D$2:$D$500,'THANH_TOÁN'!$B$2:$B$500,A415,'THANH_TOÁN'!$F$2:$F$500,"ĐÃ XÁC NHẬN"))</x:f>
      </x:c>
      <x:c r="I415" s="35" t="str">
        <x:f>IF(A415="","",MAX(0,G415-H415))</x:f>
      </x:c>
      <x:c r="J415" s="36" t="str">
        <x:f>IF(A415="","",IF(AND(E415&lt;TODAY(),I415&gt;0,K415&lt;&gt;"HỦY"),"QUÁ HẠN",""))</x:f>
      </x:c>
      <x:c r="K415" s="39"/>
      <x:c r="L415" s="39"/>
      <x:c r="M415" s="39"/>
      <x:c r="N415" s="39"/>
      <x:c r="O415" s="42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41"/>
      <x:c r="E416" s="41"/>
      <x:c r="F416" s="39"/>
      <x:c r="G416" s="35" t="str">
        <x:f>IF(A416="","",SUMIFS('CHI_TIẾT_ĐƠN_HÀNG'!$H$2:$H$500,'CHI_TIẾT_ĐƠN_HÀNG'!$B$2:$B$500,A416))</x:f>
      </x:c>
      <x:c r="H416" s="35" t="str">
        <x:f>IF(A416="","",SUMIFS('THANH_TOÁN'!$D$2:$D$500,'THANH_TOÁN'!$B$2:$B$500,A416,'THANH_TOÁN'!$F$2:$F$500,"ĐÃ XÁC NHẬN"))</x:f>
      </x:c>
      <x:c r="I416" s="35" t="str">
        <x:f>IF(A416="","",MAX(0,G416-H416))</x:f>
      </x:c>
      <x:c r="J416" s="36" t="str">
        <x:f>IF(A416="","",IF(AND(E416&lt;TODAY(),I416&gt;0,K416&lt;&gt;"HỦY"),"QUÁ HẠN",""))</x:f>
      </x:c>
      <x:c r="K416" s="39"/>
      <x:c r="L416" s="39"/>
      <x:c r="M416" s="39"/>
      <x:c r="N416" s="39"/>
      <x:c r="O416" s="42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41"/>
      <x:c r="E417" s="41"/>
      <x:c r="F417" s="39"/>
      <x:c r="G417" s="35" t="str">
        <x:f>IF(A417="","",SUMIFS('CHI_TIẾT_ĐƠN_HÀNG'!$H$2:$H$500,'CHI_TIẾT_ĐƠN_HÀNG'!$B$2:$B$500,A417))</x:f>
      </x:c>
      <x:c r="H417" s="35" t="str">
        <x:f>IF(A417="","",SUMIFS('THANH_TOÁN'!$D$2:$D$500,'THANH_TOÁN'!$B$2:$B$500,A417,'THANH_TOÁN'!$F$2:$F$500,"ĐÃ XÁC NHẬN"))</x:f>
      </x:c>
      <x:c r="I417" s="35" t="str">
        <x:f>IF(A417="","",MAX(0,G417-H417))</x:f>
      </x:c>
      <x:c r="J417" s="36" t="str">
        <x:f>IF(A417="","",IF(AND(E417&lt;TODAY(),I417&gt;0,K417&lt;&gt;"HỦY"),"QUÁ HẠN",""))</x:f>
      </x:c>
      <x:c r="K417" s="39"/>
      <x:c r="L417" s="39"/>
      <x:c r="M417" s="39"/>
      <x:c r="N417" s="39"/>
      <x:c r="O417" s="42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41"/>
      <x:c r="E418" s="41"/>
      <x:c r="F418" s="39"/>
      <x:c r="G418" s="35" t="str">
        <x:f>IF(A418="","",SUMIFS('CHI_TIẾT_ĐƠN_HÀNG'!$H$2:$H$500,'CHI_TIẾT_ĐƠN_HÀNG'!$B$2:$B$500,A418))</x:f>
      </x:c>
      <x:c r="H418" s="35" t="str">
        <x:f>IF(A418="","",SUMIFS('THANH_TOÁN'!$D$2:$D$500,'THANH_TOÁN'!$B$2:$B$500,A418,'THANH_TOÁN'!$F$2:$F$500,"ĐÃ XÁC NHẬN"))</x:f>
      </x:c>
      <x:c r="I418" s="35" t="str">
        <x:f>IF(A418="","",MAX(0,G418-H418))</x:f>
      </x:c>
      <x:c r="J418" s="36" t="str">
        <x:f>IF(A418="","",IF(AND(E418&lt;TODAY(),I418&gt;0,K418&lt;&gt;"HỦY"),"QUÁ HẠN",""))</x:f>
      </x:c>
      <x:c r="K418" s="39"/>
      <x:c r="L418" s="39"/>
      <x:c r="M418" s="39"/>
      <x:c r="N418" s="39"/>
      <x:c r="O418" s="42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41"/>
      <x:c r="E419" s="41"/>
      <x:c r="F419" s="39"/>
      <x:c r="G419" s="35" t="str">
        <x:f>IF(A419="","",SUMIFS('CHI_TIẾT_ĐƠN_HÀNG'!$H$2:$H$500,'CHI_TIẾT_ĐƠN_HÀNG'!$B$2:$B$500,A419))</x:f>
      </x:c>
      <x:c r="H419" s="35" t="str">
        <x:f>IF(A419="","",SUMIFS('THANH_TOÁN'!$D$2:$D$500,'THANH_TOÁN'!$B$2:$B$500,A419,'THANH_TOÁN'!$F$2:$F$500,"ĐÃ XÁC NHẬN"))</x:f>
      </x:c>
      <x:c r="I419" s="35" t="str">
        <x:f>IF(A419="","",MAX(0,G419-H419))</x:f>
      </x:c>
      <x:c r="J419" s="36" t="str">
        <x:f>IF(A419="","",IF(AND(E419&lt;TODAY(),I419&gt;0,K419&lt;&gt;"HỦY"),"QUÁ HẠN",""))</x:f>
      </x:c>
      <x:c r="K419" s="39"/>
      <x:c r="L419" s="39"/>
      <x:c r="M419" s="39"/>
      <x:c r="N419" s="39"/>
      <x:c r="O419" s="42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41"/>
      <x:c r="E420" s="41"/>
      <x:c r="F420" s="39"/>
      <x:c r="G420" s="35" t="str">
        <x:f>IF(A420="","",SUMIFS('CHI_TIẾT_ĐƠN_HÀNG'!$H$2:$H$500,'CHI_TIẾT_ĐƠN_HÀNG'!$B$2:$B$500,A420))</x:f>
      </x:c>
      <x:c r="H420" s="35" t="str">
        <x:f>IF(A420="","",SUMIFS('THANH_TOÁN'!$D$2:$D$500,'THANH_TOÁN'!$B$2:$B$500,A420,'THANH_TOÁN'!$F$2:$F$500,"ĐÃ XÁC NHẬN"))</x:f>
      </x:c>
      <x:c r="I420" s="35" t="str">
        <x:f>IF(A420="","",MAX(0,G420-H420))</x:f>
      </x:c>
      <x:c r="J420" s="36" t="str">
        <x:f>IF(A420="","",IF(AND(E420&lt;TODAY(),I420&gt;0,K420&lt;&gt;"HỦY"),"QUÁ HẠN",""))</x:f>
      </x:c>
      <x:c r="K420" s="39"/>
      <x:c r="L420" s="39"/>
      <x:c r="M420" s="39"/>
      <x:c r="N420" s="39"/>
      <x:c r="O420" s="42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41"/>
      <x:c r="E421" s="41"/>
      <x:c r="F421" s="39"/>
      <x:c r="G421" s="35" t="str">
        <x:f>IF(A421="","",SUMIFS('CHI_TIẾT_ĐƠN_HÀNG'!$H$2:$H$500,'CHI_TIẾT_ĐƠN_HÀNG'!$B$2:$B$500,A421))</x:f>
      </x:c>
      <x:c r="H421" s="35" t="str">
        <x:f>IF(A421="","",SUMIFS('THANH_TOÁN'!$D$2:$D$500,'THANH_TOÁN'!$B$2:$B$500,A421,'THANH_TOÁN'!$F$2:$F$500,"ĐÃ XÁC NHẬN"))</x:f>
      </x:c>
      <x:c r="I421" s="35" t="str">
        <x:f>IF(A421="","",MAX(0,G421-H421))</x:f>
      </x:c>
      <x:c r="J421" s="36" t="str">
        <x:f>IF(A421="","",IF(AND(E421&lt;TODAY(),I421&gt;0,K421&lt;&gt;"HỦY"),"QUÁ HẠN",""))</x:f>
      </x:c>
      <x:c r="K421" s="39"/>
      <x:c r="L421" s="39"/>
      <x:c r="M421" s="39"/>
      <x:c r="N421" s="39"/>
      <x:c r="O421" s="42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41"/>
      <x:c r="E422" s="41"/>
      <x:c r="F422" s="39"/>
      <x:c r="G422" s="35" t="str">
        <x:f>IF(A422="","",SUMIFS('CHI_TIẾT_ĐƠN_HÀNG'!$H$2:$H$500,'CHI_TIẾT_ĐƠN_HÀNG'!$B$2:$B$500,A422))</x:f>
      </x:c>
      <x:c r="H422" s="35" t="str">
        <x:f>IF(A422="","",SUMIFS('THANH_TOÁN'!$D$2:$D$500,'THANH_TOÁN'!$B$2:$B$500,A422,'THANH_TOÁN'!$F$2:$F$500,"ĐÃ XÁC NHẬN"))</x:f>
      </x:c>
      <x:c r="I422" s="35" t="str">
        <x:f>IF(A422="","",MAX(0,G422-H422))</x:f>
      </x:c>
      <x:c r="J422" s="36" t="str">
        <x:f>IF(A422="","",IF(AND(E422&lt;TODAY(),I422&gt;0,K422&lt;&gt;"HỦY"),"QUÁ HẠN",""))</x:f>
      </x:c>
      <x:c r="K422" s="39"/>
      <x:c r="L422" s="39"/>
      <x:c r="M422" s="39"/>
      <x:c r="N422" s="39"/>
      <x:c r="O422" s="42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41"/>
      <x:c r="E423" s="41"/>
      <x:c r="F423" s="39"/>
      <x:c r="G423" s="35" t="str">
        <x:f>IF(A423="","",SUMIFS('CHI_TIẾT_ĐƠN_HÀNG'!$H$2:$H$500,'CHI_TIẾT_ĐƠN_HÀNG'!$B$2:$B$500,A423))</x:f>
      </x:c>
      <x:c r="H423" s="35" t="str">
        <x:f>IF(A423="","",SUMIFS('THANH_TOÁN'!$D$2:$D$500,'THANH_TOÁN'!$B$2:$B$500,A423,'THANH_TOÁN'!$F$2:$F$500,"ĐÃ XÁC NHẬN"))</x:f>
      </x:c>
      <x:c r="I423" s="35" t="str">
        <x:f>IF(A423="","",MAX(0,G423-H423))</x:f>
      </x:c>
      <x:c r="J423" s="36" t="str">
        <x:f>IF(A423="","",IF(AND(E423&lt;TODAY(),I423&gt;0,K423&lt;&gt;"HỦY"),"QUÁ HẠN",""))</x:f>
      </x:c>
      <x:c r="K423" s="39"/>
      <x:c r="L423" s="39"/>
      <x:c r="M423" s="39"/>
      <x:c r="N423" s="39"/>
      <x:c r="O423" s="42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41"/>
      <x:c r="E424" s="41"/>
      <x:c r="F424" s="39"/>
      <x:c r="G424" s="35" t="str">
        <x:f>IF(A424="","",SUMIFS('CHI_TIẾT_ĐƠN_HÀNG'!$H$2:$H$500,'CHI_TIẾT_ĐƠN_HÀNG'!$B$2:$B$500,A424))</x:f>
      </x:c>
      <x:c r="H424" s="35" t="str">
        <x:f>IF(A424="","",SUMIFS('THANH_TOÁN'!$D$2:$D$500,'THANH_TOÁN'!$B$2:$B$500,A424,'THANH_TOÁN'!$F$2:$F$500,"ĐÃ XÁC NHẬN"))</x:f>
      </x:c>
      <x:c r="I424" s="35" t="str">
        <x:f>IF(A424="","",MAX(0,G424-H424))</x:f>
      </x:c>
      <x:c r="J424" s="36" t="str">
        <x:f>IF(A424="","",IF(AND(E424&lt;TODAY(),I424&gt;0,K424&lt;&gt;"HỦY"),"QUÁ HẠN",""))</x:f>
      </x:c>
      <x:c r="K424" s="39"/>
      <x:c r="L424" s="39"/>
      <x:c r="M424" s="39"/>
      <x:c r="N424" s="39"/>
      <x:c r="O424" s="42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41"/>
      <x:c r="E425" s="41"/>
      <x:c r="F425" s="39"/>
      <x:c r="G425" s="35" t="str">
        <x:f>IF(A425="","",SUMIFS('CHI_TIẾT_ĐƠN_HÀNG'!$H$2:$H$500,'CHI_TIẾT_ĐƠN_HÀNG'!$B$2:$B$500,A425))</x:f>
      </x:c>
      <x:c r="H425" s="35" t="str">
        <x:f>IF(A425="","",SUMIFS('THANH_TOÁN'!$D$2:$D$500,'THANH_TOÁN'!$B$2:$B$500,A425,'THANH_TOÁN'!$F$2:$F$500,"ĐÃ XÁC NHẬN"))</x:f>
      </x:c>
      <x:c r="I425" s="35" t="str">
        <x:f>IF(A425="","",MAX(0,G425-H425))</x:f>
      </x:c>
      <x:c r="J425" s="36" t="str">
        <x:f>IF(A425="","",IF(AND(E425&lt;TODAY(),I425&gt;0,K425&lt;&gt;"HỦY"),"QUÁ HẠN",""))</x:f>
      </x:c>
      <x:c r="K425" s="39"/>
      <x:c r="L425" s="39"/>
      <x:c r="M425" s="39"/>
      <x:c r="N425" s="39"/>
      <x:c r="O425" s="42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41"/>
      <x:c r="E426" s="41"/>
      <x:c r="F426" s="39"/>
      <x:c r="G426" s="35" t="str">
        <x:f>IF(A426="","",SUMIFS('CHI_TIẾT_ĐƠN_HÀNG'!$H$2:$H$500,'CHI_TIẾT_ĐƠN_HÀNG'!$B$2:$B$500,A426))</x:f>
      </x:c>
      <x:c r="H426" s="35" t="str">
        <x:f>IF(A426="","",SUMIFS('THANH_TOÁN'!$D$2:$D$500,'THANH_TOÁN'!$B$2:$B$500,A426,'THANH_TOÁN'!$F$2:$F$500,"ĐÃ XÁC NHẬN"))</x:f>
      </x:c>
      <x:c r="I426" s="35" t="str">
        <x:f>IF(A426="","",MAX(0,G426-H426))</x:f>
      </x:c>
      <x:c r="J426" s="36" t="str">
        <x:f>IF(A426="","",IF(AND(E426&lt;TODAY(),I426&gt;0,K426&lt;&gt;"HỦY"),"QUÁ HẠN",""))</x:f>
      </x:c>
      <x:c r="K426" s="39"/>
      <x:c r="L426" s="39"/>
      <x:c r="M426" s="39"/>
      <x:c r="N426" s="39"/>
      <x:c r="O426" s="42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41"/>
      <x:c r="E427" s="41"/>
      <x:c r="F427" s="39"/>
      <x:c r="G427" s="35" t="str">
        <x:f>IF(A427="","",SUMIFS('CHI_TIẾT_ĐƠN_HÀNG'!$H$2:$H$500,'CHI_TIẾT_ĐƠN_HÀNG'!$B$2:$B$500,A427))</x:f>
      </x:c>
      <x:c r="H427" s="35" t="str">
        <x:f>IF(A427="","",SUMIFS('THANH_TOÁN'!$D$2:$D$500,'THANH_TOÁN'!$B$2:$B$500,A427,'THANH_TOÁN'!$F$2:$F$500,"ĐÃ XÁC NHẬN"))</x:f>
      </x:c>
      <x:c r="I427" s="35" t="str">
        <x:f>IF(A427="","",MAX(0,G427-H427))</x:f>
      </x:c>
      <x:c r="J427" s="36" t="str">
        <x:f>IF(A427="","",IF(AND(E427&lt;TODAY(),I427&gt;0,K427&lt;&gt;"HỦY"),"QUÁ HẠN",""))</x:f>
      </x:c>
      <x:c r="K427" s="39"/>
      <x:c r="L427" s="39"/>
      <x:c r="M427" s="39"/>
      <x:c r="N427" s="39"/>
      <x:c r="O427" s="42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41"/>
      <x:c r="E428" s="41"/>
      <x:c r="F428" s="39"/>
      <x:c r="G428" s="35" t="str">
        <x:f>IF(A428="","",SUMIFS('CHI_TIẾT_ĐƠN_HÀNG'!$H$2:$H$500,'CHI_TIẾT_ĐƠN_HÀNG'!$B$2:$B$500,A428))</x:f>
      </x:c>
      <x:c r="H428" s="35" t="str">
        <x:f>IF(A428="","",SUMIFS('THANH_TOÁN'!$D$2:$D$500,'THANH_TOÁN'!$B$2:$B$500,A428,'THANH_TOÁN'!$F$2:$F$500,"ĐÃ XÁC NHẬN"))</x:f>
      </x:c>
      <x:c r="I428" s="35" t="str">
        <x:f>IF(A428="","",MAX(0,G428-H428))</x:f>
      </x:c>
      <x:c r="J428" s="36" t="str">
        <x:f>IF(A428="","",IF(AND(E428&lt;TODAY(),I428&gt;0,K428&lt;&gt;"HỦY"),"QUÁ HẠN",""))</x:f>
      </x:c>
      <x:c r="K428" s="39"/>
      <x:c r="L428" s="39"/>
      <x:c r="M428" s="39"/>
      <x:c r="N428" s="39"/>
      <x:c r="O428" s="42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41"/>
      <x:c r="E429" s="41"/>
      <x:c r="F429" s="39"/>
      <x:c r="G429" s="35" t="str">
        <x:f>IF(A429="","",SUMIFS('CHI_TIẾT_ĐƠN_HÀNG'!$H$2:$H$500,'CHI_TIẾT_ĐƠN_HÀNG'!$B$2:$B$500,A429))</x:f>
      </x:c>
      <x:c r="H429" s="35" t="str">
        <x:f>IF(A429="","",SUMIFS('THANH_TOÁN'!$D$2:$D$500,'THANH_TOÁN'!$B$2:$B$500,A429,'THANH_TOÁN'!$F$2:$F$500,"ĐÃ XÁC NHẬN"))</x:f>
      </x:c>
      <x:c r="I429" s="35" t="str">
        <x:f>IF(A429="","",MAX(0,G429-H429))</x:f>
      </x:c>
      <x:c r="J429" s="36" t="str">
        <x:f>IF(A429="","",IF(AND(E429&lt;TODAY(),I429&gt;0,K429&lt;&gt;"HỦY"),"QUÁ HẠN",""))</x:f>
      </x:c>
      <x:c r="K429" s="39"/>
      <x:c r="L429" s="39"/>
      <x:c r="M429" s="39"/>
      <x:c r="N429" s="39"/>
      <x:c r="O429" s="42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41"/>
      <x:c r="E430" s="41"/>
      <x:c r="F430" s="39"/>
      <x:c r="G430" s="35" t="str">
        <x:f>IF(A430="","",SUMIFS('CHI_TIẾT_ĐƠN_HÀNG'!$H$2:$H$500,'CHI_TIẾT_ĐƠN_HÀNG'!$B$2:$B$500,A430))</x:f>
      </x:c>
      <x:c r="H430" s="35" t="str">
        <x:f>IF(A430="","",SUMIFS('THANH_TOÁN'!$D$2:$D$500,'THANH_TOÁN'!$B$2:$B$500,A430,'THANH_TOÁN'!$F$2:$F$500,"ĐÃ XÁC NHẬN"))</x:f>
      </x:c>
      <x:c r="I430" s="35" t="str">
        <x:f>IF(A430="","",MAX(0,G430-H430))</x:f>
      </x:c>
      <x:c r="J430" s="36" t="str">
        <x:f>IF(A430="","",IF(AND(E430&lt;TODAY(),I430&gt;0,K430&lt;&gt;"HỦY"),"QUÁ HẠN",""))</x:f>
      </x:c>
      <x:c r="K430" s="39"/>
      <x:c r="L430" s="39"/>
      <x:c r="M430" s="39"/>
      <x:c r="N430" s="39"/>
      <x:c r="O430" s="42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41"/>
      <x:c r="E431" s="41"/>
      <x:c r="F431" s="39"/>
      <x:c r="G431" s="35" t="str">
        <x:f>IF(A431="","",SUMIFS('CHI_TIẾT_ĐƠN_HÀNG'!$H$2:$H$500,'CHI_TIẾT_ĐƠN_HÀNG'!$B$2:$B$500,A431))</x:f>
      </x:c>
      <x:c r="H431" s="35" t="str">
        <x:f>IF(A431="","",SUMIFS('THANH_TOÁN'!$D$2:$D$500,'THANH_TOÁN'!$B$2:$B$500,A431,'THANH_TOÁN'!$F$2:$F$500,"ĐÃ XÁC NHẬN"))</x:f>
      </x:c>
      <x:c r="I431" s="35" t="str">
        <x:f>IF(A431="","",MAX(0,G431-H431))</x:f>
      </x:c>
      <x:c r="J431" s="36" t="str">
        <x:f>IF(A431="","",IF(AND(E431&lt;TODAY(),I431&gt;0,K431&lt;&gt;"HỦY"),"QUÁ HẠN",""))</x:f>
      </x:c>
      <x:c r="K431" s="39"/>
      <x:c r="L431" s="39"/>
      <x:c r="M431" s="39"/>
      <x:c r="N431" s="39"/>
      <x:c r="O431" s="42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41"/>
      <x:c r="E432" s="41"/>
      <x:c r="F432" s="39"/>
      <x:c r="G432" s="35" t="str">
        <x:f>IF(A432="","",SUMIFS('CHI_TIẾT_ĐƠN_HÀNG'!$H$2:$H$500,'CHI_TIẾT_ĐƠN_HÀNG'!$B$2:$B$500,A432))</x:f>
      </x:c>
      <x:c r="H432" s="35" t="str">
        <x:f>IF(A432="","",SUMIFS('THANH_TOÁN'!$D$2:$D$500,'THANH_TOÁN'!$B$2:$B$500,A432,'THANH_TOÁN'!$F$2:$F$500,"ĐÃ XÁC NHẬN"))</x:f>
      </x:c>
      <x:c r="I432" s="35" t="str">
        <x:f>IF(A432="","",MAX(0,G432-H432))</x:f>
      </x:c>
      <x:c r="J432" s="36" t="str">
        <x:f>IF(A432="","",IF(AND(E432&lt;TODAY(),I432&gt;0,K432&lt;&gt;"HỦY"),"QUÁ HẠN",""))</x:f>
      </x:c>
      <x:c r="K432" s="39"/>
      <x:c r="L432" s="39"/>
      <x:c r="M432" s="39"/>
      <x:c r="N432" s="39"/>
      <x:c r="O432" s="42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41"/>
      <x:c r="E433" s="41"/>
      <x:c r="F433" s="39"/>
      <x:c r="G433" s="35" t="str">
        <x:f>IF(A433="","",SUMIFS('CHI_TIẾT_ĐƠN_HÀNG'!$H$2:$H$500,'CHI_TIẾT_ĐƠN_HÀNG'!$B$2:$B$500,A433))</x:f>
      </x:c>
      <x:c r="H433" s="35" t="str">
        <x:f>IF(A433="","",SUMIFS('THANH_TOÁN'!$D$2:$D$500,'THANH_TOÁN'!$B$2:$B$500,A433,'THANH_TOÁN'!$F$2:$F$500,"ĐÃ XÁC NHẬN"))</x:f>
      </x:c>
      <x:c r="I433" s="35" t="str">
        <x:f>IF(A433="","",MAX(0,G433-H433))</x:f>
      </x:c>
      <x:c r="J433" s="36" t="str">
        <x:f>IF(A433="","",IF(AND(E433&lt;TODAY(),I433&gt;0,K433&lt;&gt;"HỦY"),"QUÁ HẠN",""))</x:f>
      </x:c>
      <x:c r="K433" s="39"/>
      <x:c r="L433" s="39"/>
      <x:c r="M433" s="39"/>
      <x:c r="N433" s="39"/>
      <x:c r="O433" s="42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41"/>
      <x:c r="E434" s="41"/>
      <x:c r="F434" s="39"/>
      <x:c r="G434" s="35" t="str">
        <x:f>IF(A434="","",SUMIFS('CHI_TIẾT_ĐƠN_HÀNG'!$H$2:$H$500,'CHI_TIẾT_ĐƠN_HÀNG'!$B$2:$B$500,A434))</x:f>
      </x:c>
      <x:c r="H434" s="35" t="str">
        <x:f>IF(A434="","",SUMIFS('THANH_TOÁN'!$D$2:$D$500,'THANH_TOÁN'!$B$2:$B$500,A434,'THANH_TOÁN'!$F$2:$F$500,"ĐÃ XÁC NHẬN"))</x:f>
      </x:c>
      <x:c r="I434" s="35" t="str">
        <x:f>IF(A434="","",MAX(0,G434-H434))</x:f>
      </x:c>
      <x:c r="J434" s="36" t="str">
        <x:f>IF(A434="","",IF(AND(E434&lt;TODAY(),I434&gt;0,K434&lt;&gt;"HỦY"),"QUÁ HẠN",""))</x:f>
      </x:c>
      <x:c r="K434" s="39"/>
      <x:c r="L434" s="39"/>
      <x:c r="M434" s="39"/>
      <x:c r="N434" s="39"/>
      <x:c r="O434" s="42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41"/>
      <x:c r="E435" s="41"/>
      <x:c r="F435" s="39"/>
      <x:c r="G435" s="35" t="str">
        <x:f>IF(A435="","",SUMIFS('CHI_TIẾT_ĐƠN_HÀNG'!$H$2:$H$500,'CHI_TIẾT_ĐƠN_HÀNG'!$B$2:$B$500,A435))</x:f>
      </x:c>
      <x:c r="H435" s="35" t="str">
        <x:f>IF(A435="","",SUMIFS('THANH_TOÁN'!$D$2:$D$500,'THANH_TOÁN'!$B$2:$B$500,A435,'THANH_TOÁN'!$F$2:$F$500,"ĐÃ XÁC NHẬN"))</x:f>
      </x:c>
      <x:c r="I435" s="35" t="str">
        <x:f>IF(A435="","",MAX(0,G435-H435))</x:f>
      </x:c>
      <x:c r="J435" s="36" t="str">
        <x:f>IF(A435="","",IF(AND(E435&lt;TODAY(),I435&gt;0,K435&lt;&gt;"HỦY"),"QUÁ HẠN",""))</x:f>
      </x:c>
      <x:c r="K435" s="39"/>
      <x:c r="L435" s="39"/>
      <x:c r="M435" s="39"/>
      <x:c r="N435" s="39"/>
      <x:c r="O435" s="42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41"/>
      <x:c r="E436" s="41"/>
      <x:c r="F436" s="39"/>
      <x:c r="G436" s="35" t="str">
        <x:f>IF(A436="","",SUMIFS('CHI_TIẾT_ĐƠN_HÀNG'!$H$2:$H$500,'CHI_TIẾT_ĐƠN_HÀNG'!$B$2:$B$500,A436))</x:f>
      </x:c>
      <x:c r="H436" s="35" t="str">
        <x:f>IF(A436="","",SUMIFS('THANH_TOÁN'!$D$2:$D$500,'THANH_TOÁN'!$B$2:$B$500,A436,'THANH_TOÁN'!$F$2:$F$500,"ĐÃ XÁC NHẬN"))</x:f>
      </x:c>
      <x:c r="I436" s="35" t="str">
        <x:f>IF(A436="","",MAX(0,G436-H436))</x:f>
      </x:c>
      <x:c r="J436" s="36" t="str">
        <x:f>IF(A436="","",IF(AND(E436&lt;TODAY(),I436&gt;0,K436&lt;&gt;"HỦY"),"QUÁ HẠN",""))</x:f>
      </x:c>
      <x:c r="K436" s="39"/>
      <x:c r="L436" s="39"/>
      <x:c r="M436" s="39"/>
      <x:c r="N436" s="39"/>
      <x:c r="O436" s="42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41"/>
      <x:c r="E437" s="41"/>
      <x:c r="F437" s="39"/>
      <x:c r="G437" s="35" t="str">
        <x:f>IF(A437="","",SUMIFS('CHI_TIẾT_ĐƠN_HÀNG'!$H$2:$H$500,'CHI_TIẾT_ĐƠN_HÀNG'!$B$2:$B$500,A437))</x:f>
      </x:c>
      <x:c r="H437" s="35" t="str">
        <x:f>IF(A437="","",SUMIFS('THANH_TOÁN'!$D$2:$D$500,'THANH_TOÁN'!$B$2:$B$500,A437,'THANH_TOÁN'!$F$2:$F$500,"ĐÃ XÁC NHẬN"))</x:f>
      </x:c>
      <x:c r="I437" s="35" t="str">
        <x:f>IF(A437="","",MAX(0,G437-H437))</x:f>
      </x:c>
      <x:c r="J437" s="36" t="str">
        <x:f>IF(A437="","",IF(AND(E437&lt;TODAY(),I437&gt;0,K437&lt;&gt;"HỦY"),"QUÁ HẠN",""))</x:f>
      </x:c>
      <x:c r="K437" s="39"/>
      <x:c r="L437" s="39"/>
      <x:c r="M437" s="39"/>
      <x:c r="N437" s="39"/>
      <x:c r="O437" s="42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41"/>
      <x:c r="E438" s="41"/>
      <x:c r="F438" s="39"/>
      <x:c r="G438" s="35" t="str">
        <x:f>IF(A438="","",SUMIFS('CHI_TIẾT_ĐƠN_HÀNG'!$H$2:$H$500,'CHI_TIẾT_ĐƠN_HÀNG'!$B$2:$B$500,A438))</x:f>
      </x:c>
      <x:c r="H438" s="35" t="str">
        <x:f>IF(A438="","",SUMIFS('THANH_TOÁN'!$D$2:$D$500,'THANH_TOÁN'!$B$2:$B$500,A438,'THANH_TOÁN'!$F$2:$F$500,"ĐÃ XÁC NHẬN"))</x:f>
      </x:c>
      <x:c r="I438" s="35" t="str">
        <x:f>IF(A438="","",MAX(0,G438-H438))</x:f>
      </x:c>
      <x:c r="J438" s="36" t="str">
        <x:f>IF(A438="","",IF(AND(E438&lt;TODAY(),I438&gt;0,K438&lt;&gt;"HỦY"),"QUÁ HẠN",""))</x:f>
      </x:c>
      <x:c r="K438" s="39"/>
      <x:c r="L438" s="39"/>
      <x:c r="M438" s="39"/>
      <x:c r="N438" s="39"/>
      <x:c r="O438" s="42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41"/>
      <x:c r="E439" s="41"/>
      <x:c r="F439" s="39"/>
      <x:c r="G439" s="35" t="str">
        <x:f>IF(A439="","",SUMIFS('CHI_TIẾT_ĐƠN_HÀNG'!$H$2:$H$500,'CHI_TIẾT_ĐƠN_HÀNG'!$B$2:$B$500,A439))</x:f>
      </x:c>
      <x:c r="H439" s="35" t="str">
        <x:f>IF(A439="","",SUMIFS('THANH_TOÁN'!$D$2:$D$500,'THANH_TOÁN'!$B$2:$B$500,A439,'THANH_TOÁN'!$F$2:$F$500,"ĐÃ XÁC NHẬN"))</x:f>
      </x:c>
      <x:c r="I439" s="35" t="str">
        <x:f>IF(A439="","",MAX(0,G439-H439))</x:f>
      </x:c>
      <x:c r="J439" s="36" t="str">
        <x:f>IF(A439="","",IF(AND(E439&lt;TODAY(),I439&gt;0,K439&lt;&gt;"HỦY"),"QUÁ HẠN",""))</x:f>
      </x:c>
      <x:c r="K439" s="39"/>
      <x:c r="L439" s="39"/>
      <x:c r="M439" s="39"/>
      <x:c r="N439" s="39"/>
      <x:c r="O439" s="42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41"/>
      <x:c r="E440" s="41"/>
      <x:c r="F440" s="39"/>
      <x:c r="G440" s="35" t="str">
        <x:f>IF(A440="","",SUMIFS('CHI_TIẾT_ĐƠN_HÀNG'!$H$2:$H$500,'CHI_TIẾT_ĐƠN_HÀNG'!$B$2:$B$500,A440))</x:f>
      </x:c>
      <x:c r="H440" s="35" t="str">
        <x:f>IF(A440="","",SUMIFS('THANH_TOÁN'!$D$2:$D$500,'THANH_TOÁN'!$B$2:$B$500,A440,'THANH_TOÁN'!$F$2:$F$500,"ĐÃ XÁC NHẬN"))</x:f>
      </x:c>
      <x:c r="I440" s="35" t="str">
        <x:f>IF(A440="","",MAX(0,G440-H440))</x:f>
      </x:c>
      <x:c r="J440" s="36" t="str">
        <x:f>IF(A440="","",IF(AND(E440&lt;TODAY(),I440&gt;0,K440&lt;&gt;"HỦY"),"QUÁ HẠN",""))</x:f>
      </x:c>
      <x:c r="K440" s="39"/>
      <x:c r="L440" s="39"/>
      <x:c r="M440" s="39"/>
      <x:c r="N440" s="39"/>
      <x:c r="O440" s="42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41"/>
      <x:c r="E441" s="41"/>
      <x:c r="F441" s="39"/>
      <x:c r="G441" s="35" t="str">
        <x:f>IF(A441="","",SUMIFS('CHI_TIẾT_ĐƠN_HÀNG'!$H$2:$H$500,'CHI_TIẾT_ĐƠN_HÀNG'!$B$2:$B$500,A441))</x:f>
      </x:c>
      <x:c r="H441" s="35" t="str">
        <x:f>IF(A441="","",SUMIFS('THANH_TOÁN'!$D$2:$D$500,'THANH_TOÁN'!$B$2:$B$500,A441,'THANH_TOÁN'!$F$2:$F$500,"ĐÃ XÁC NHẬN"))</x:f>
      </x:c>
      <x:c r="I441" s="35" t="str">
        <x:f>IF(A441="","",MAX(0,G441-H441))</x:f>
      </x:c>
      <x:c r="J441" s="36" t="str">
        <x:f>IF(A441="","",IF(AND(E441&lt;TODAY(),I441&gt;0,K441&lt;&gt;"HỦY"),"QUÁ HẠN",""))</x:f>
      </x:c>
      <x:c r="K441" s="39"/>
      <x:c r="L441" s="39"/>
      <x:c r="M441" s="39"/>
      <x:c r="N441" s="39"/>
      <x:c r="O441" s="42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41"/>
      <x:c r="E442" s="41"/>
      <x:c r="F442" s="39"/>
      <x:c r="G442" s="35" t="str">
        <x:f>IF(A442="","",SUMIFS('CHI_TIẾT_ĐƠN_HÀNG'!$H$2:$H$500,'CHI_TIẾT_ĐƠN_HÀNG'!$B$2:$B$500,A442))</x:f>
      </x:c>
      <x:c r="H442" s="35" t="str">
        <x:f>IF(A442="","",SUMIFS('THANH_TOÁN'!$D$2:$D$500,'THANH_TOÁN'!$B$2:$B$500,A442,'THANH_TOÁN'!$F$2:$F$500,"ĐÃ XÁC NHẬN"))</x:f>
      </x:c>
      <x:c r="I442" s="35" t="str">
        <x:f>IF(A442="","",MAX(0,G442-H442))</x:f>
      </x:c>
      <x:c r="J442" s="36" t="str">
        <x:f>IF(A442="","",IF(AND(E442&lt;TODAY(),I442&gt;0,K442&lt;&gt;"HỦY"),"QUÁ HẠN",""))</x:f>
      </x:c>
      <x:c r="K442" s="39"/>
      <x:c r="L442" s="39"/>
      <x:c r="M442" s="39"/>
      <x:c r="N442" s="39"/>
      <x:c r="O442" s="42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41"/>
      <x:c r="E443" s="41"/>
      <x:c r="F443" s="39"/>
      <x:c r="G443" s="35" t="str">
        <x:f>IF(A443="","",SUMIFS('CHI_TIẾT_ĐƠN_HÀNG'!$H$2:$H$500,'CHI_TIẾT_ĐƠN_HÀNG'!$B$2:$B$500,A443))</x:f>
      </x:c>
      <x:c r="H443" s="35" t="str">
        <x:f>IF(A443="","",SUMIFS('THANH_TOÁN'!$D$2:$D$500,'THANH_TOÁN'!$B$2:$B$500,A443,'THANH_TOÁN'!$F$2:$F$500,"ĐÃ XÁC NHẬN"))</x:f>
      </x:c>
      <x:c r="I443" s="35" t="str">
        <x:f>IF(A443="","",MAX(0,G443-H443))</x:f>
      </x:c>
      <x:c r="J443" s="36" t="str">
        <x:f>IF(A443="","",IF(AND(E443&lt;TODAY(),I443&gt;0,K443&lt;&gt;"HỦY"),"QUÁ HẠN",""))</x:f>
      </x:c>
      <x:c r="K443" s="39"/>
      <x:c r="L443" s="39"/>
      <x:c r="M443" s="39"/>
      <x:c r="N443" s="39"/>
      <x:c r="O443" s="42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41"/>
      <x:c r="E444" s="41"/>
      <x:c r="F444" s="39"/>
      <x:c r="G444" s="35" t="str">
        <x:f>IF(A444="","",SUMIFS('CHI_TIẾT_ĐƠN_HÀNG'!$H$2:$H$500,'CHI_TIẾT_ĐƠN_HÀNG'!$B$2:$B$500,A444))</x:f>
      </x:c>
      <x:c r="H444" s="35" t="str">
        <x:f>IF(A444="","",SUMIFS('THANH_TOÁN'!$D$2:$D$500,'THANH_TOÁN'!$B$2:$B$500,A444,'THANH_TOÁN'!$F$2:$F$500,"ĐÃ XÁC NHẬN"))</x:f>
      </x:c>
      <x:c r="I444" s="35" t="str">
        <x:f>IF(A444="","",MAX(0,G444-H444))</x:f>
      </x:c>
      <x:c r="J444" s="36" t="str">
        <x:f>IF(A444="","",IF(AND(E444&lt;TODAY(),I444&gt;0,K444&lt;&gt;"HỦY"),"QUÁ HẠN",""))</x:f>
      </x:c>
      <x:c r="K444" s="39"/>
      <x:c r="L444" s="39"/>
      <x:c r="M444" s="39"/>
      <x:c r="N444" s="39"/>
      <x:c r="O444" s="42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41"/>
      <x:c r="E445" s="41"/>
      <x:c r="F445" s="39"/>
      <x:c r="G445" s="35" t="str">
        <x:f>IF(A445="","",SUMIFS('CHI_TIẾT_ĐƠN_HÀNG'!$H$2:$H$500,'CHI_TIẾT_ĐƠN_HÀNG'!$B$2:$B$500,A445))</x:f>
      </x:c>
      <x:c r="H445" s="35" t="str">
        <x:f>IF(A445="","",SUMIFS('THANH_TOÁN'!$D$2:$D$500,'THANH_TOÁN'!$B$2:$B$500,A445,'THANH_TOÁN'!$F$2:$F$500,"ĐÃ XÁC NHẬN"))</x:f>
      </x:c>
      <x:c r="I445" s="35" t="str">
        <x:f>IF(A445="","",MAX(0,G445-H445))</x:f>
      </x:c>
      <x:c r="J445" s="36" t="str">
        <x:f>IF(A445="","",IF(AND(E445&lt;TODAY(),I445&gt;0,K445&lt;&gt;"HỦY"),"QUÁ HẠN",""))</x:f>
      </x:c>
      <x:c r="K445" s="39"/>
      <x:c r="L445" s="39"/>
      <x:c r="M445" s="39"/>
      <x:c r="N445" s="39"/>
      <x:c r="O445" s="42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41"/>
      <x:c r="E446" s="41"/>
      <x:c r="F446" s="39"/>
      <x:c r="G446" s="35" t="str">
        <x:f>IF(A446="","",SUMIFS('CHI_TIẾT_ĐƠN_HÀNG'!$H$2:$H$500,'CHI_TIẾT_ĐƠN_HÀNG'!$B$2:$B$500,A446))</x:f>
      </x:c>
      <x:c r="H446" s="35" t="str">
        <x:f>IF(A446="","",SUMIFS('THANH_TOÁN'!$D$2:$D$500,'THANH_TOÁN'!$B$2:$B$500,A446,'THANH_TOÁN'!$F$2:$F$500,"ĐÃ XÁC NHẬN"))</x:f>
      </x:c>
      <x:c r="I446" s="35" t="str">
        <x:f>IF(A446="","",MAX(0,G446-H446))</x:f>
      </x:c>
      <x:c r="J446" s="36" t="str">
        <x:f>IF(A446="","",IF(AND(E446&lt;TODAY(),I446&gt;0,K446&lt;&gt;"HỦY"),"QUÁ HẠN",""))</x:f>
      </x:c>
      <x:c r="K446" s="39"/>
      <x:c r="L446" s="39"/>
      <x:c r="M446" s="39"/>
      <x:c r="N446" s="39"/>
      <x:c r="O446" s="42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41"/>
      <x:c r="E447" s="41"/>
      <x:c r="F447" s="39"/>
      <x:c r="G447" s="35" t="str">
        <x:f>IF(A447="","",SUMIFS('CHI_TIẾT_ĐƠN_HÀNG'!$H$2:$H$500,'CHI_TIẾT_ĐƠN_HÀNG'!$B$2:$B$500,A447))</x:f>
      </x:c>
      <x:c r="H447" s="35" t="str">
        <x:f>IF(A447="","",SUMIFS('THANH_TOÁN'!$D$2:$D$500,'THANH_TOÁN'!$B$2:$B$500,A447,'THANH_TOÁN'!$F$2:$F$500,"ĐÃ XÁC NHẬN"))</x:f>
      </x:c>
      <x:c r="I447" s="35" t="str">
        <x:f>IF(A447="","",MAX(0,G447-H447))</x:f>
      </x:c>
      <x:c r="J447" s="36" t="str">
        <x:f>IF(A447="","",IF(AND(E447&lt;TODAY(),I447&gt;0,K447&lt;&gt;"HỦY"),"QUÁ HẠN",""))</x:f>
      </x:c>
      <x:c r="K447" s="39"/>
      <x:c r="L447" s="39"/>
      <x:c r="M447" s="39"/>
      <x:c r="N447" s="39"/>
      <x:c r="O447" s="42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41"/>
      <x:c r="E448" s="41"/>
      <x:c r="F448" s="39"/>
      <x:c r="G448" s="35" t="str">
        <x:f>IF(A448="","",SUMIFS('CHI_TIẾT_ĐƠN_HÀNG'!$H$2:$H$500,'CHI_TIẾT_ĐƠN_HÀNG'!$B$2:$B$500,A448))</x:f>
      </x:c>
      <x:c r="H448" s="35" t="str">
        <x:f>IF(A448="","",SUMIFS('THANH_TOÁN'!$D$2:$D$500,'THANH_TOÁN'!$B$2:$B$500,A448,'THANH_TOÁN'!$F$2:$F$500,"ĐÃ XÁC NHẬN"))</x:f>
      </x:c>
      <x:c r="I448" s="35" t="str">
        <x:f>IF(A448="","",MAX(0,G448-H448))</x:f>
      </x:c>
      <x:c r="J448" s="36" t="str">
        <x:f>IF(A448="","",IF(AND(E448&lt;TODAY(),I448&gt;0,K448&lt;&gt;"HỦY"),"QUÁ HẠN",""))</x:f>
      </x:c>
      <x:c r="K448" s="39"/>
      <x:c r="L448" s="39"/>
      <x:c r="M448" s="39"/>
      <x:c r="N448" s="39"/>
      <x:c r="O448" s="42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41"/>
      <x:c r="E449" s="41"/>
      <x:c r="F449" s="39"/>
      <x:c r="G449" s="35" t="str">
        <x:f>IF(A449="","",SUMIFS('CHI_TIẾT_ĐƠN_HÀNG'!$H$2:$H$500,'CHI_TIẾT_ĐƠN_HÀNG'!$B$2:$B$500,A449))</x:f>
      </x:c>
      <x:c r="H449" s="35" t="str">
        <x:f>IF(A449="","",SUMIFS('THANH_TOÁN'!$D$2:$D$500,'THANH_TOÁN'!$B$2:$B$500,A449,'THANH_TOÁN'!$F$2:$F$500,"ĐÃ XÁC NHẬN"))</x:f>
      </x:c>
      <x:c r="I449" s="35" t="str">
        <x:f>IF(A449="","",MAX(0,G449-H449))</x:f>
      </x:c>
      <x:c r="J449" s="36" t="str">
        <x:f>IF(A449="","",IF(AND(E449&lt;TODAY(),I449&gt;0,K449&lt;&gt;"HỦY"),"QUÁ HẠN",""))</x:f>
      </x:c>
      <x:c r="K449" s="39"/>
      <x:c r="L449" s="39"/>
      <x:c r="M449" s="39"/>
      <x:c r="N449" s="39"/>
      <x:c r="O449" s="42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41"/>
      <x:c r="E450" s="41"/>
      <x:c r="F450" s="39"/>
      <x:c r="G450" s="35" t="str">
        <x:f>IF(A450="","",SUMIFS('CHI_TIẾT_ĐƠN_HÀNG'!$H$2:$H$500,'CHI_TIẾT_ĐƠN_HÀNG'!$B$2:$B$500,A450))</x:f>
      </x:c>
      <x:c r="H450" s="35" t="str">
        <x:f>IF(A450="","",SUMIFS('THANH_TOÁN'!$D$2:$D$500,'THANH_TOÁN'!$B$2:$B$500,A450,'THANH_TOÁN'!$F$2:$F$500,"ĐÃ XÁC NHẬN"))</x:f>
      </x:c>
      <x:c r="I450" s="35" t="str">
        <x:f>IF(A450="","",MAX(0,G450-H450))</x:f>
      </x:c>
      <x:c r="J450" s="36" t="str">
        <x:f>IF(A450="","",IF(AND(E450&lt;TODAY(),I450&gt;0,K450&lt;&gt;"HỦY"),"QUÁ HẠN",""))</x:f>
      </x:c>
      <x:c r="K450" s="39"/>
      <x:c r="L450" s="39"/>
      <x:c r="M450" s="39"/>
      <x:c r="N450" s="39"/>
      <x:c r="O450" s="42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41"/>
      <x:c r="E451" s="41"/>
      <x:c r="F451" s="39"/>
      <x:c r="G451" s="35" t="str">
        <x:f>IF(A451="","",SUMIFS('CHI_TIẾT_ĐƠN_HÀNG'!$H$2:$H$500,'CHI_TIẾT_ĐƠN_HÀNG'!$B$2:$B$500,A451))</x:f>
      </x:c>
      <x:c r="H451" s="35" t="str">
        <x:f>IF(A451="","",SUMIFS('THANH_TOÁN'!$D$2:$D$500,'THANH_TOÁN'!$B$2:$B$500,A451,'THANH_TOÁN'!$F$2:$F$500,"ĐÃ XÁC NHẬN"))</x:f>
      </x:c>
      <x:c r="I451" s="35" t="str">
        <x:f>IF(A451="","",MAX(0,G451-H451))</x:f>
      </x:c>
      <x:c r="J451" s="36" t="str">
        <x:f>IF(A451="","",IF(AND(E451&lt;TODAY(),I451&gt;0,K451&lt;&gt;"HỦY"),"QUÁ HẠN",""))</x:f>
      </x:c>
      <x:c r="K451" s="39"/>
      <x:c r="L451" s="39"/>
      <x:c r="M451" s="39"/>
      <x:c r="N451" s="39"/>
      <x:c r="O451" s="42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41"/>
      <x:c r="E452" s="41"/>
      <x:c r="F452" s="39"/>
      <x:c r="G452" s="35" t="str">
        <x:f>IF(A452="","",SUMIFS('CHI_TIẾT_ĐƠN_HÀNG'!$H$2:$H$500,'CHI_TIẾT_ĐƠN_HÀNG'!$B$2:$B$500,A452))</x:f>
      </x:c>
      <x:c r="H452" s="35" t="str">
        <x:f>IF(A452="","",SUMIFS('THANH_TOÁN'!$D$2:$D$500,'THANH_TOÁN'!$B$2:$B$500,A452,'THANH_TOÁN'!$F$2:$F$500,"ĐÃ XÁC NHẬN"))</x:f>
      </x:c>
      <x:c r="I452" s="35" t="str">
        <x:f>IF(A452="","",MAX(0,G452-H452))</x:f>
      </x:c>
      <x:c r="J452" s="36" t="str">
        <x:f>IF(A452="","",IF(AND(E452&lt;TODAY(),I452&gt;0,K452&lt;&gt;"HỦY"),"QUÁ HẠN",""))</x:f>
      </x:c>
      <x:c r="K452" s="39"/>
      <x:c r="L452" s="39"/>
      <x:c r="M452" s="39"/>
      <x:c r="N452" s="39"/>
      <x:c r="O452" s="42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41"/>
      <x:c r="E453" s="41"/>
      <x:c r="F453" s="39"/>
      <x:c r="G453" s="35" t="str">
        <x:f>IF(A453="","",SUMIFS('CHI_TIẾT_ĐƠN_HÀNG'!$H$2:$H$500,'CHI_TIẾT_ĐƠN_HÀNG'!$B$2:$B$500,A453))</x:f>
      </x:c>
      <x:c r="H453" s="35" t="str">
        <x:f>IF(A453="","",SUMIFS('THANH_TOÁN'!$D$2:$D$500,'THANH_TOÁN'!$B$2:$B$500,A453,'THANH_TOÁN'!$F$2:$F$500,"ĐÃ XÁC NHẬN"))</x:f>
      </x:c>
      <x:c r="I453" s="35" t="str">
        <x:f>IF(A453="","",MAX(0,G453-H453))</x:f>
      </x:c>
      <x:c r="J453" s="36" t="str">
        <x:f>IF(A453="","",IF(AND(E453&lt;TODAY(),I453&gt;0,K453&lt;&gt;"HỦY"),"QUÁ HẠN",""))</x:f>
      </x:c>
      <x:c r="K453" s="39"/>
      <x:c r="L453" s="39"/>
      <x:c r="M453" s="39"/>
      <x:c r="N453" s="39"/>
      <x:c r="O453" s="42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41"/>
      <x:c r="E454" s="41"/>
      <x:c r="F454" s="39"/>
      <x:c r="G454" s="35" t="str">
        <x:f>IF(A454="","",SUMIFS('CHI_TIẾT_ĐƠN_HÀNG'!$H$2:$H$500,'CHI_TIẾT_ĐƠN_HÀNG'!$B$2:$B$500,A454))</x:f>
      </x:c>
      <x:c r="H454" s="35" t="str">
        <x:f>IF(A454="","",SUMIFS('THANH_TOÁN'!$D$2:$D$500,'THANH_TOÁN'!$B$2:$B$500,A454,'THANH_TOÁN'!$F$2:$F$500,"ĐÃ XÁC NHẬN"))</x:f>
      </x:c>
      <x:c r="I454" s="35" t="str">
        <x:f>IF(A454="","",MAX(0,G454-H454))</x:f>
      </x:c>
      <x:c r="J454" s="36" t="str">
        <x:f>IF(A454="","",IF(AND(E454&lt;TODAY(),I454&gt;0,K454&lt;&gt;"HỦY"),"QUÁ HẠN",""))</x:f>
      </x:c>
      <x:c r="K454" s="39"/>
      <x:c r="L454" s="39"/>
      <x:c r="M454" s="39"/>
      <x:c r="N454" s="39"/>
      <x:c r="O454" s="42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41"/>
      <x:c r="E455" s="41"/>
      <x:c r="F455" s="39"/>
      <x:c r="G455" s="35" t="str">
        <x:f>IF(A455="","",SUMIFS('CHI_TIẾT_ĐƠN_HÀNG'!$H$2:$H$500,'CHI_TIẾT_ĐƠN_HÀNG'!$B$2:$B$500,A455))</x:f>
      </x:c>
      <x:c r="H455" s="35" t="str">
        <x:f>IF(A455="","",SUMIFS('THANH_TOÁN'!$D$2:$D$500,'THANH_TOÁN'!$B$2:$B$500,A455,'THANH_TOÁN'!$F$2:$F$500,"ĐÃ XÁC NHẬN"))</x:f>
      </x:c>
      <x:c r="I455" s="35" t="str">
        <x:f>IF(A455="","",MAX(0,G455-H455))</x:f>
      </x:c>
      <x:c r="J455" s="36" t="str">
        <x:f>IF(A455="","",IF(AND(E455&lt;TODAY(),I455&gt;0,K455&lt;&gt;"HỦY"),"QUÁ HẠN",""))</x:f>
      </x:c>
      <x:c r="K455" s="39"/>
      <x:c r="L455" s="39"/>
      <x:c r="M455" s="39"/>
      <x:c r="N455" s="39"/>
      <x:c r="O455" s="42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41"/>
      <x:c r="E456" s="41"/>
      <x:c r="F456" s="39"/>
      <x:c r="G456" s="35" t="str">
        <x:f>IF(A456="","",SUMIFS('CHI_TIẾT_ĐƠN_HÀNG'!$H$2:$H$500,'CHI_TIẾT_ĐƠN_HÀNG'!$B$2:$B$500,A456))</x:f>
      </x:c>
      <x:c r="H456" s="35" t="str">
        <x:f>IF(A456="","",SUMIFS('THANH_TOÁN'!$D$2:$D$500,'THANH_TOÁN'!$B$2:$B$500,A456,'THANH_TOÁN'!$F$2:$F$500,"ĐÃ XÁC NHẬN"))</x:f>
      </x:c>
      <x:c r="I456" s="35" t="str">
        <x:f>IF(A456="","",MAX(0,G456-H456))</x:f>
      </x:c>
      <x:c r="J456" s="36" t="str">
        <x:f>IF(A456="","",IF(AND(E456&lt;TODAY(),I456&gt;0,K456&lt;&gt;"HỦY"),"QUÁ HẠN",""))</x:f>
      </x:c>
      <x:c r="K456" s="39"/>
      <x:c r="L456" s="39"/>
      <x:c r="M456" s="39"/>
      <x:c r="N456" s="39"/>
      <x:c r="O456" s="42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41"/>
      <x:c r="E457" s="41"/>
      <x:c r="F457" s="39"/>
      <x:c r="G457" s="35" t="str">
        <x:f>IF(A457="","",SUMIFS('CHI_TIẾT_ĐƠN_HÀNG'!$H$2:$H$500,'CHI_TIẾT_ĐƠN_HÀNG'!$B$2:$B$500,A457))</x:f>
      </x:c>
      <x:c r="H457" s="35" t="str">
        <x:f>IF(A457="","",SUMIFS('THANH_TOÁN'!$D$2:$D$500,'THANH_TOÁN'!$B$2:$B$500,A457,'THANH_TOÁN'!$F$2:$F$500,"ĐÃ XÁC NHẬN"))</x:f>
      </x:c>
      <x:c r="I457" s="35" t="str">
        <x:f>IF(A457="","",MAX(0,G457-H457))</x:f>
      </x:c>
      <x:c r="J457" s="36" t="str">
        <x:f>IF(A457="","",IF(AND(E457&lt;TODAY(),I457&gt;0,K457&lt;&gt;"HỦY"),"QUÁ HẠN",""))</x:f>
      </x:c>
      <x:c r="K457" s="39"/>
      <x:c r="L457" s="39"/>
      <x:c r="M457" s="39"/>
      <x:c r="N457" s="39"/>
      <x:c r="O457" s="42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41"/>
      <x:c r="E458" s="41"/>
      <x:c r="F458" s="39"/>
      <x:c r="G458" s="35" t="str">
        <x:f>IF(A458="","",SUMIFS('CHI_TIẾT_ĐƠN_HÀNG'!$H$2:$H$500,'CHI_TIẾT_ĐƠN_HÀNG'!$B$2:$B$500,A458))</x:f>
      </x:c>
      <x:c r="H458" s="35" t="str">
        <x:f>IF(A458="","",SUMIFS('THANH_TOÁN'!$D$2:$D$500,'THANH_TOÁN'!$B$2:$B$500,A458,'THANH_TOÁN'!$F$2:$F$500,"ĐÃ XÁC NHẬN"))</x:f>
      </x:c>
      <x:c r="I458" s="35" t="str">
        <x:f>IF(A458="","",MAX(0,G458-H458))</x:f>
      </x:c>
      <x:c r="J458" s="36" t="str">
        <x:f>IF(A458="","",IF(AND(E458&lt;TODAY(),I458&gt;0,K458&lt;&gt;"HỦY"),"QUÁ HẠN",""))</x:f>
      </x:c>
      <x:c r="K458" s="39"/>
      <x:c r="L458" s="39"/>
      <x:c r="M458" s="39"/>
      <x:c r="N458" s="39"/>
      <x:c r="O458" s="42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41"/>
      <x:c r="E459" s="41"/>
      <x:c r="F459" s="39"/>
      <x:c r="G459" s="35" t="str">
        <x:f>IF(A459="","",SUMIFS('CHI_TIẾT_ĐƠN_HÀNG'!$H$2:$H$500,'CHI_TIẾT_ĐƠN_HÀNG'!$B$2:$B$500,A459))</x:f>
      </x:c>
      <x:c r="H459" s="35" t="str">
        <x:f>IF(A459="","",SUMIFS('THANH_TOÁN'!$D$2:$D$500,'THANH_TOÁN'!$B$2:$B$500,A459,'THANH_TOÁN'!$F$2:$F$500,"ĐÃ XÁC NHẬN"))</x:f>
      </x:c>
      <x:c r="I459" s="35" t="str">
        <x:f>IF(A459="","",MAX(0,G459-H459))</x:f>
      </x:c>
      <x:c r="J459" s="36" t="str">
        <x:f>IF(A459="","",IF(AND(E459&lt;TODAY(),I459&gt;0,K459&lt;&gt;"HỦY"),"QUÁ HẠN",""))</x:f>
      </x:c>
      <x:c r="K459" s="39"/>
      <x:c r="L459" s="39"/>
      <x:c r="M459" s="39"/>
      <x:c r="N459" s="39"/>
      <x:c r="O459" s="42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41"/>
      <x:c r="E460" s="41"/>
      <x:c r="F460" s="39"/>
      <x:c r="G460" s="35" t="str">
        <x:f>IF(A460="","",SUMIFS('CHI_TIẾT_ĐƠN_HÀNG'!$H$2:$H$500,'CHI_TIẾT_ĐƠN_HÀNG'!$B$2:$B$500,A460))</x:f>
      </x:c>
      <x:c r="H460" s="35" t="str">
        <x:f>IF(A460="","",SUMIFS('THANH_TOÁN'!$D$2:$D$500,'THANH_TOÁN'!$B$2:$B$500,A460,'THANH_TOÁN'!$F$2:$F$500,"ĐÃ XÁC NHẬN"))</x:f>
      </x:c>
      <x:c r="I460" s="35" t="str">
        <x:f>IF(A460="","",MAX(0,G460-H460))</x:f>
      </x:c>
      <x:c r="J460" s="36" t="str">
        <x:f>IF(A460="","",IF(AND(E460&lt;TODAY(),I460&gt;0,K460&lt;&gt;"HỦY"),"QUÁ HẠN",""))</x:f>
      </x:c>
      <x:c r="K460" s="39"/>
      <x:c r="L460" s="39"/>
      <x:c r="M460" s="39"/>
      <x:c r="N460" s="39"/>
      <x:c r="O460" s="42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41"/>
      <x:c r="E461" s="41"/>
      <x:c r="F461" s="39"/>
      <x:c r="G461" s="35" t="str">
        <x:f>IF(A461="","",SUMIFS('CHI_TIẾT_ĐƠN_HÀNG'!$H$2:$H$500,'CHI_TIẾT_ĐƠN_HÀNG'!$B$2:$B$500,A461))</x:f>
      </x:c>
      <x:c r="H461" s="35" t="str">
        <x:f>IF(A461="","",SUMIFS('THANH_TOÁN'!$D$2:$D$500,'THANH_TOÁN'!$B$2:$B$500,A461,'THANH_TOÁN'!$F$2:$F$500,"ĐÃ XÁC NHẬN"))</x:f>
      </x:c>
      <x:c r="I461" s="35" t="str">
        <x:f>IF(A461="","",MAX(0,G461-H461))</x:f>
      </x:c>
      <x:c r="J461" s="36" t="str">
        <x:f>IF(A461="","",IF(AND(E461&lt;TODAY(),I461&gt;0,K461&lt;&gt;"HỦY"),"QUÁ HẠN",""))</x:f>
      </x:c>
      <x:c r="K461" s="39"/>
      <x:c r="L461" s="39"/>
      <x:c r="M461" s="39"/>
      <x:c r="N461" s="39"/>
      <x:c r="O461" s="42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41"/>
      <x:c r="E462" s="41"/>
      <x:c r="F462" s="39"/>
      <x:c r="G462" s="35" t="str">
        <x:f>IF(A462="","",SUMIFS('CHI_TIẾT_ĐƠN_HÀNG'!$H$2:$H$500,'CHI_TIẾT_ĐƠN_HÀNG'!$B$2:$B$500,A462))</x:f>
      </x:c>
      <x:c r="H462" s="35" t="str">
        <x:f>IF(A462="","",SUMIFS('THANH_TOÁN'!$D$2:$D$500,'THANH_TOÁN'!$B$2:$B$500,A462,'THANH_TOÁN'!$F$2:$F$500,"ĐÃ XÁC NHẬN"))</x:f>
      </x:c>
      <x:c r="I462" s="35" t="str">
        <x:f>IF(A462="","",MAX(0,G462-H462))</x:f>
      </x:c>
      <x:c r="J462" s="36" t="str">
        <x:f>IF(A462="","",IF(AND(E462&lt;TODAY(),I462&gt;0,K462&lt;&gt;"HỦY"),"QUÁ HẠN",""))</x:f>
      </x:c>
      <x:c r="K462" s="39"/>
      <x:c r="L462" s="39"/>
      <x:c r="M462" s="39"/>
      <x:c r="N462" s="39"/>
      <x:c r="O462" s="42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41"/>
      <x:c r="E463" s="41"/>
      <x:c r="F463" s="39"/>
      <x:c r="G463" s="35" t="str">
        <x:f>IF(A463="","",SUMIFS('CHI_TIẾT_ĐƠN_HÀNG'!$H$2:$H$500,'CHI_TIẾT_ĐƠN_HÀNG'!$B$2:$B$500,A463))</x:f>
      </x:c>
      <x:c r="H463" s="35" t="str">
        <x:f>IF(A463="","",SUMIFS('THANH_TOÁN'!$D$2:$D$500,'THANH_TOÁN'!$B$2:$B$500,A463,'THANH_TOÁN'!$F$2:$F$500,"ĐÃ XÁC NHẬN"))</x:f>
      </x:c>
      <x:c r="I463" s="35" t="str">
        <x:f>IF(A463="","",MAX(0,G463-H463))</x:f>
      </x:c>
      <x:c r="J463" s="36" t="str">
        <x:f>IF(A463="","",IF(AND(E463&lt;TODAY(),I463&gt;0,K463&lt;&gt;"HỦY"),"QUÁ HẠN",""))</x:f>
      </x:c>
      <x:c r="K463" s="39"/>
      <x:c r="L463" s="39"/>
      <x:c r="M463" s="39"/>
      <x:c r="N463" s="39"/>
      <x:c r="O463" s="42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41"/>
      <x:c r="E464" s="41"/>
      <x:c r="F464" s="39"/>
      <x:c r="G464" s="35" t="str">
        <x:f>IF(A464="","",SUMIFS('CHI_TIẾT_ĐƠN_HÀNG'!$H$2:$H$500,'CHI_TIẾT_ĐƠN_HÀNG'!$B$2:$B$500,A464))</x:f>
      </x:c>
      <x:c r="H464" s="35" t="str">
        <x:f>IF(A464="","",SUMIFS('THANH_TOÁN'!$D$2:$D$500,'THANH_TOÁN'!$B$2:$B$500,A464,'THANH_TOÁN'!$F$2:$F$500,"ĐÃ XÁC NHẬN"))</x:f>
      </x:c>
      <x:c r="I464" s="35" t="str">
        <x:f>IF(A464="","",MAX(0,G464-H464))</x:f>
      </x:c>
      <x:c r="J464" s="36" t="str">
        <x:f>IF(A464="","",IF(AND(E464&lt;TODAY(),I464&gt;0,K464&lt;&gt;"HỦY"),"QUÁ HẠN",""))</x:f>
      </x:c>
      <x:c r="K464" s="39"/>
      <x:c r="L464" s="39"/>
      <x:c r="M464" s="39"/>
      <x:c r="N464" s="39"/>
      <x:c r="O464" s="42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41"/>
      <x:c r="E465" s="41"/>
      <x:c r="F465" s="39"/>
      <x:c r="G465" s="35" t="str">
        <x:f>IF(A465="","",SUMIFS('CHI_TIẾT_ĐƠN_HÀNG'!$H$2:$H$500,'CHI_TIẾT_ĐƠN_HÀNG'!$B$2:$B$500,A465))</x:f>
      </x:c>
      <x:c r="H465" s="35" t="str">
        <x:f>IF(A465="","",SUMIFS('THANH_TOÁN'!$D$2:$D$500,'THANH_TOÁN'!$B$2:$B$500,A465,'THANH_TOÁN'!$F$2:$F$500,"ĐÃ XÁC NHẬN"))</x:f>
      </x:c>
      <x:c r="I465" s="35" t="str">
        <x:f>IF(A465="","",MAX(0,G465-H465))</x:f>
      </x:c>
      <x:c r="J465" s="36" t="str">
        <x:f>IF(A465="","",IF(AND(E465&lt;TODAY(),I465&gt;0,K465&lt;&gt;"HỦY"),"QUÁ HẠN",""))</x:f>
      </x:c>
      <x:c r="K465" s="39"/>
      <x:c r="L465" s="39"/>
      <x:c r="M465" s="39"/>
      <x:c r="N465" s="39"/>
      <x:c r="O465" s="42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41"/>
      <x:c r="E466" s="41"/>
      <x:c r="F466" s="39"/>
      <x:c r="G466" s="35" t="str">
        <x:f>IF(A466="","",SUMIFS('CHI_TIẾT_ĐƠN_HÀNG'!$H$2:$H$500,'CHI_TIẾT_ĐƠN_HÀNG'!$B$2:$B$500,A466))</x:f>
      </x:c>
      <x:c r="H466" s="35" t="str">
        <x:f>IF(A466="","",SUMIFS('THANH_TOÁN'!$D$2:$D$500,'THANH_TOÁN'!$B$2:$B$500,A466,'THANH_TOÁN'!$F$2:$F$500,"ĐÃ XÁC NHẬN"))</x:f>
      </x:c>
      <x:c r="I466" s="35" t="str">
        <x:f>IF(A466="","",MAX(0,G466-H466))</x:f>
      </x:c>
      <x:c r="J466" s="36" t="str">
        <x:f>IF(A466="","",IF(AND(E466&lt;TODAY(),I466&gt;0,K466&lt;&gt;"HỦY"),"QUÁ HẠN",""))</x:f>
      </x:c>
      <x:c r="K466" s="39"/>
      <x:c r="L466" s="39"/>
      <x:c r="M466" s="39"/>
      <x:c r="N466" s="39"/>
      <x:c r="O466" s="42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41"/>
      <x:c r="E467" s="41"/>
      <x:c r="F467" s="39"/>
      <x:c r="G467" s="35" t="str">
        <x:f>IF(A467="","",SUMIFS('CHI_TIẾT_ĐƠN_HÀNG'!$H$2:$H$500,'CHI_TIẾT_ĐƠN_HÀNG'!$B$2:$B$500,A467))</x:f>
      </x:c>
      <x:c r="H467" s="35" t="str">
        <x:f>IF(A467="","",SUMIFS('THANH_TOÁN'!$D$2:$D$500,'THANH_TOÁN'!$B$2:$B$500,A467,'THANH_TOÁN'!$F$2:$F$500,"ĐÃ XÁC NHẬN"))</x:f>
      </x:c>
      <x:c r="I467" s="35" t="str">
        <x:f>IF(A467="","",MAX(0,G467-H467))</x:f>
      </x:c>
      <x:c r="J467" s="36" t="str">
        <x:f>IF(A467="","",IF(AND(E467&lt;TODAY(),I467&gt;0,K467&lt;&gt;"HỦY"),"QUÁ HẠN",""))</x:f>
      </x:c>
      <x:c r="K467" s="39"/>
      <x:c r="L467" s="39"/>
      <x:c r="M467" s="39"/>
      <x:c r="N467" s="39"/>
      <x:c r="O467" s="42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41"/>
      <x:c r="E468" s="41"/>
      <x:c r="F468" s="39"/>
      <x:c r="G468" s="35" t="str">
        <x:f>IF(A468="","",SUMIFS('CHI_TIẾT_ĐƠN_HÀNG'!$H$2:$H$500,'CHI_TIẾT_ĐƠN_HÀNG'!$B$2:$B$500,A468))</x:f>
      </x:c>
      <x:c r="H468" s="35" t="str">
        <x:f>IF(A468="","",SUMIFS('THANH_TOÁN'!$D$2:$D$500,'THANH_TOÁN'!$B$2:$B$500,A468,'THANH_TOÁN'!$F$2:$F$500,"ĐÃ XÁC NHẬN"))</x:f>
      </x:c>
      <x:c r="I468" s="35" t="str">
        <x:f>IF(A468="","",MAX(0,G468-H468))</x:f>
      </x:c>
      <x:c r="J468" s="36" t="str">
        <x:f>IF(A468="","",IF(AND(E468&lt;TODAY(),I468&gt;0,K468&lt;&gt;"HỦY"),"QUÁ HẠN",""))</x:f>
      </x:c>
      <x:c r="K468" s="39"/>
      <x:c r="L468" s="39"/>
      <x:c r="M468" s="39"/>
      <x:c r="N468" s="39"/>
      <x:c r="O468" s="42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41"/>
      <x:c r="E469" s="41"/>
      <x:c r="F469" s="39"/>
      <x:c r="G469" s="35" t="str">
        <x:f>IF(A469="","",SUMIFS('CHI_TIẾT_ĐƠN_HÀNG'!$H$2:$H$500,'CHI_TIẾT_ĐƠN_HÀNG'!$B$2:$B$500,A469))</x:f>
      </x:c>
      <x:c r="H469" s="35" t="str">
        <x:f>IF(A469="","",SUMIFS('THANH_TOÁN'!$D$2:$D$500,'THANH_TOÁN'!$B$2:$B$500,A469,'THANH_TOÁN'!$F$2:$F$500,"ĐÃ XÁC NHẬN"))</x:f>
      </x:c>
      <x:c r="I469" s="35" t="str">
        <x:f>IF(A469="","",MAX(0,G469-H469))</x:f>
      </x:c>
      <x:c r="J469" s="36" t="str">
        <x:f>IF(A469="","",IF(AND(E469&lt;TODAY(),I469&gt;0,K469&lt;&gt;"HỦY"),"QUÁ HẠN",""))</x:f>
      </x:c>
      <x:c r="K469" s="39"/>
      <x:c r="L469" s="39"/>
      <x:c r="M469" s="39"/>
      <x:c r="N469" s="39"/>
      <x:c r="O469" s="42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41"/>
      <x:c r="E470" s="41"/>
      <x:c r="F470" s="39"/>
      <x:c r="G470" s="35" t="str">
        <x:f>IF(A470="","",SUMIFS('CHI_TIẾT_ĐƠN_HÀNG'!$H$2:$H$500,'CHI_TIẾT_ĐƠN_HÀNG'!$B$2:$B$500,A470))</x:f>
      </x:c>
      <x:c r="H470" s="35" t="str">
        <x:f>IF(A470="","",SUMIFS('THANH_TOÁN'!$D$2:$D$500,'THANH_TOÁN'!$B$2:$B$500,A470,'THANH_TOÁN'!$F$2:$F$500,"ĐÃ XÁC NHẬN"))</x:f>
      </x:c>
      <x:c r="I470" s="35" t="str">
        <x:f>IF(A470="","",MAX(0,G470-H470))</x:f>
      </x:c>
      <x:c r="J470" s="36" t="str">
        <x:f>IF(A470="","",IF(AND(E470&lt;TODAY(),I470&gt;0,K470&lt;&gt;"HỦY"),"QUÁ HẠN",""))</x:f>
      </x:c>
      <x:c r="K470" s="39"/>
      <x:c r="L470" s="39"/>
      <x:c r="M470" s="39"/>
      <x:c r="N470" s="39"/>
      <x:c r="O470" s="42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41"/>
      <x:c r="E471" s="41"/>
      <x:c r="F471" s="39"/>
      <x:c r="G471" s="35" t="str">
        <x:f>IF(A471="","",SUMIFS('CHI_TIẾT_ĐƠN_HÀNG'!$H$2:$H$500,'CHI_TIẾT_ĐƠN_HÀNG'!$B$2:$B$500,A471))</x:f>
      </x:c>
      <x:c r="H471" s="35" t="str">
        <x:f>IF(A471="","",SUMIFS('THANH_TOÁN'!$D$2:$D$500,'THANH_TOÁN'!$B$2:$B$500,A471,'THANH_TOÁN'!$F$2:$F$500,"ĐÃ XÁC NHẬN"))</x:f>
      </x:c>
      <x:c r="I471" s="35" t="str">
        <x:f>IF(A471="","",MAX(0,G471-H471))</x:f>
      </x:c>
      <x:c r="J471" s="36" t="str">
        <x:f>IF(A471="","",IF(AND(E471&lt;TODAY(),I471&gt;0,K471&lt;&gt;"HỦY"),"QUÁ HẠN",""))</x:f>
      </x:c>
      <x:c r="K471" s="39"/>
      <x:c r="L471" s="39"/>
      <x:c r="M471" s="39"/>
      <x:c r="N471" s="39"/>
      <x:c r="O471" s="42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41"/>
      <x:c r="E472" s="41"/>
      <x:c r="F472" s="39"/>
      <x:c r="G472" s="35" t="str">
        <x:f>IF(A472="","",SUMIFS('CHI_TIẾT_ĐƠN_HÀNG'!$H$2:$H$500,'CHI_TIẾT_ĐƠN_HÀNG'!$B$2:$B$500,A472))</x:f>
      </x:c>
      <x:c r="H472" s="35" t="str">
        <x:f>IF(A472="","",SUMIFS('THANH_TOÁN'!$D$2:$D$500,'THANH_TOÁN'!$B$2:$B$500,A472,'THANH_TOÁN'!$F$2:$F$500,"ĐÃ XÁC NHẬN"))</x:f>
      </x:c>
      <x:c r="I472" s="35" t="str">
        <x:f>IF(A472="","",MAX(0,G472-H472))</x:f>
      </x:c>
      <x:c r="J472" s="36" t="str">
        <x:f>IF(A472="","",IF(AND(E472&lt;TODAY(),I472&gt;0,K472&lt;&gt;"HỦY"),"QUÁ HẠN",""))</x:f>
      </x:c>
      <x:c r="K472" s="39"/>
      <x:c r="L472" s="39"/>
      <x:c r="M472" s="39"/>
      <x:c r="N472" s="39"/>
      <x:c r="O472" s="42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41"/>
      <x:c r="E473" s="41"/>
      <x:c r="F473" s="39"/>
      <x:c r="G473" s="35" t="str">
        <x:f>IF(A473="","",SUMIFS('CHI_TIẾT_ĐƠN_HÀNG'!$H$2:$H$500,'CHI_TIẾT_ĐƠN_HÀNG'!$B$2:$B$500,A473))</x:f>
      </x:c>
      <x:c r="H473" s="35" t="str">
        <x:f>IF(A473="","",SUMIFS('THANH_TOÁN'!$D$2:$D$500,'THANH_TOÁN'!$B$2:$B$500,A473,'THANH_TOÁN'!$F$2:$F$500,"ĐÃ XÁC NHẬN"))</x:f>
      </x:c>
      <x:c r="I473" s="35" t="str">
        <x:f>IF(A473="","",MAX(0,G473-H473))</x:f>
      </x:c>
      <x:c r="J473" s="36" t="str">
        <x:f>IF(A473="","",IF(AND(E473&lt;TODAY(),I473&gt;0,K473&lt;&gt;"HỦY"),"QUÁ HẠN",""))</x:f>
      </x:c>
      <x:c r="K473" s="39"/>
      <x:c r="L473" s="39"/>
      <x:c r="M473" s="39"/>
      <x:c r="N473" s="39"/>
      <x:c r="O473" s="42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41"/>
      <x:c r="E474" s="41"/>
      <x:c r="F474" s="39"/>
      <x:c r="G474" s="35" t="str">
        <x:f>IF(A474="","",SUMIFS('CHI_TIẾT_ĐƠN_HÀNG'!$H$2:$H$500,'CHI_TIẾT_ĐƠN_HÀNG'!$B$2:$B$500,A474))</x:f>
      </x:c>
      <x:c r="H474" s="35" t="str">
        <x:f>IF(A474="","",SUMIFS('THANH_TOÁN'!$D$2:$D$500,'THANH_TOÁN'!$B$2:$B$500,A474,'THANH_TOÁN'!$F$2:$F$500,"ĐÃ XÁC NHẬN"))</x:f>
      </x:c>
      <x:c r="I474" s="35" t="str">
        <x:f>IF(A474="","",MAX(0,G474-H474))</x:f>
      </x:c>
      <x:c r="J474" s="36" t="str">
        <x:f>IF(A474="","",IF(AND(E474&lt;TODAY(),I474&gt;0,K474&lt;&gt;"HỦY"),"QUÁ HẠN",""))</x:f>
      </x:c>
      <x:c r="K474" s="39"/>
      <x:c r="L474" s="39"/>
      <x:c r="M474" s="39"/>
      <x:c r="N474" s="39"/>
      <x:c r="O474" s="42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41"/>
      <x:c r="E475" s="41"/>
      <x:c r="F475" s="39"/>
      <x:c r="G475" s="35" t="str">
        <x:f>IF(A475="","",SUMIFS('CHI_TIẾT_ĐƠN_HÀNG'!$H$2:$H$500,'CHI_TIẾT_ĐƠN_HÀNG'!$B$2:$B$500,A475))</x:f>
      </x:c>
      <x:c r="H475" s="35" t="str">
        <x:f>IF(A475="","",SUMIFS('THANH_TOÁN'!$D$2:$D$500,'THANH_TOÁN'!$B$2:$B$500,A475,'THANH_TOÁN'!$F$2:$F$500,"ĐÃ XÁC NHẬN"))</x:f>
      </x:c>
      <x:c r="I475" s="35" t="str">
        <x:f>IF(A475="","",MAX(0,G475-H475))</x:f>
      </x:c>
      <x:c r="J475" s="36" t="str">
        <x:f>IF(A475="","",IF(AND(E475&lt;TODAY(),I475&gt;0,K475&lt;&gt;"HỦY"),"QUÁ HẠN",""))</x:f>
      </x:c>
      <x:c r="K475" s="39"/>
      <x:c r="L475" s="39"/>
      <x:c r="M475" s="39"/>
      <x:c r="N475" s="39"/>
      <x:c r="O475" s="42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41"/>
      <x:c r="E476" s="41"/>
      <x:c r="F476" s="39"/>
      <x:c r="G476" s="35" t="str">
        <x:f>IF(A476="","",SUMIFS('CHI_TIẾT_ĐƠN_HÀNG'!$H$2:$H$500,'CHI_TIẾT_ĐƠN_HÀNG'!$B$2:$B$500,A476))</x:f>
      </x:c>
      <x:c r="H476" s="35" t="str">
        <x:f>IF(A476="","",SUMIFS('THANH_TOÁN'!$D$2:$D$500,'THANH_TOÁN'!$B$2:$B$500,A476,'THANH_TOÁN'!$F$2:$F$500,"ĐÃ XÁC NHẬN"))</x:f>
      </x:c>
      <x:c r="I476" s="35" t="str">
        <x:f>IF(A476="","",MAX(0,G476-H476))</x:f>
      </x:c>
      <x:c r="J476" s="36" t="str">
        <x:f>IF(A476="","",IF(AND(E476&lt;TODAY(),I476&gt;0,K476&lt;&gt;"HỦY"),"QUÁ HẠN",""))</x:f>
      </x:c>
      <x:c r="K476" s="39"/>
      <x:c r="L476" s="39"/>
      <x:c r="M476" s="39"/>
      <x:c r="N476" s="39"/>
      <x:c r="O476" s="42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41"/>
      <x:c r="E477" s="41"/>
      <x:c r="F477" s="39"/>
      <x:c r="G477" s="35" t="str">
        <x:f>IF(A477="","",SUMIFS('CHI_TIẾT_ĐƠN_HÀNG'!$H$2:$H$500,'CHI_TIẾT_ĐƠN_HÀNG'!$B$2:$B$500,A477))</x:f>
      </x:c>
      <x:c r="H477" s="35" t="str">
        <x:f>IF(A477="","",SUMIFS('THANH_TOÁN'!$D$2:$D$500,'THANH_TOÁN'!$B$2:$B$500,A477,'THANH_TOÁN'!$F$2:$F$500,"ĐÃ XÁC NHẬN"))</x:f>
      </x:c>
      <x:c r="I477" s="35" t="str">
        <x:f>IF(A477="","",MAX(0,G477-H477))</x:f>
      </x:c>
      <x:c r="J477" s="36" t="str">
        <x:f>IF(A477="","",IF(AND(E477&lt;TODAY(),I477&gt;0,K477&lt;&gt;"HỦY"),"QUÁ HẠN",""))</x:f>
      </x:c>
      <x:c r="K477" s="39"/>
      <x:c r="L477" s="39"/>
      <x:c r="M477" s="39"/>
      <x:c r="N477" s="39"/>
      <x:c r="O477" s="42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41"/>
      <x:c r="E478" s="41"/>
      <x:c r="F478" s="39"/>
      <x:c r="G478" s="35" t="str">
        <x:f>IF(A478="","",SUMIFS('CHI_TIẾT_ĐƠN_HÀNG'!$H$2:$H$500,'CHI_TIẾT_ĐƠN_HÀNG'!$B$2:$B$500,A478))</x:f>
      </x:c>
      <x:c r="H478" s="35" t="str">
        <x:f>IF(A478="","",SUMIFS('THANH_TOÁN'!$D$2:$D$500,'THANH_TOÁN'!$B$2:$B$500,A478,'THANH_TOÁN'!$F$2:$F$500,"ĐÃ XÁC NHẬN"))</x:f>
      </x:c>
      <x:c r="I478" s="35" t="str">
        <x:f>IF(A478="","",MAX(0,G478-H478))</x:f>
      </x:c>
      <x:c r="J478" s="36" t="str">
        <x:f>IF(A478="","",IF(AND(E478&lt;TODAY(),I478&gt;0,K478&lt;&gt;"HỦY"),"QUÁ HẠN",""))</x:f>
      </x:c>
      <x:c r="K478" s="39"/>
      <x:c r="L478" s="39"/>
      <x:c r="M478" s="39"/>
      <x:c r="N478" s="39"/>
      <x:c r="O478" s="42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41"/>
      <x:c r="E479" s="41"/>
      <x:c r="F479" s="39"/>
      <x:c r="G479" s="35" t="str">
        <x:f>IF(A479="","",SUMIFS('CHI_TIẾT_ĐƠN_HÀNG'!$H$2:$H$500,'CHI_TIẾT_ĐƠN_HÀNG'!$B$2:$B$500,A479))</x:f>
      </x:c>
      <x:c r="H479" s="35" t="str">
        <x:f>IF(A479="","",SUMIFS('THANH_TOÁN'!$D$2:$D$500,'THANH_TOÁN'!$B$2:$B$500,A479,'THANH_TOÁN'!$F$2:$F$500,"ĐÃ XÁC NHẬN"))</x:f>
      </x:c>
      <x:c r="I479" s="35" t="str">
        <x:f>IF(A479="","",MAX(0,G479-H479))</x:f>
      </x:c>
      <x:c r="J479" s="36" t="str">
        <x:f>IF(A479="","",IF(AND(E479&lt;TODAY(),I479&gt;0,K479&lt;&gt;"HỦY"),"QUÁ HẠN",""))</x:f>
      </x:c>
      <x:c r="K479" s="39"/>
      <x:c r="L479" s="39"/>
      <x:c r="M479" s="39"/>
      <x:c r="N479" s="39"/>
      <x:c r="O479" s="42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41"/>
      <x:c r="E480" s="41"/>
      <x:c r="F480" s="39"/>
      <x:c r="G480" s="35" t="str">
        <x:f>IF(A480="","",SUMIFS('CHI_TIẾT_ĐƠN_HÀNG'!$H$2:$H$500,'CHI_TIẾT_ĐƠN_HÀNG'!$B$2:$B$500,A480))</x:f>
      </x:c>
      <x:c r="H480" s="35" t="str">
        <x:f>IF(A480="","",SUMIFS('THANH_TOÁN'!$D$2:$D$500,'THANH_TOÁN'!$B$2:$B$500,A480,'THANH_TOÁN'!$F$2:$F$500,"ĐÃ XÁC NHẬN"))</x:f>
      </x:c>
      <x:c r="I480" s="35" t="str">
        <x:f>IF(A480="","",MAX(0,G480-H480))</x:f>
      </x:c>
      <x:c r="J480" s="36" t="str">
        <x:f>IF(A480="","",IF(AND(E480&lt;TODAY(),I480&gt;0,K480&lt;&gt;"HỦY"),"QUÁ HẠN",""))</x:f>
      </x:c>
      <x:c r="K480" s="39"/>
      <x:c r="L480" s="39"/>
      <x:c r="M480" s="39"/>
      <x:c r="N480" s="39"/>
      <x:c r="O480" s="42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41"/>
      <x:c r="E481" s="41"/>
      <x:c r="F481" s="39"/>
      <x:c r="G481" s="35" t="str">
        <x:f>IF(A481="","",SUMIFS('CHI_TIẾT_ĐƠN_HÀNG'!$H$2:$H$500,'CHI_TIẾT_ĐƠN_HÀNG'!$B$2:$B$500,A481))</x:f>
      </x:c>
      <x:c r="H481" s="35" t="str">
        <x:f>IF(A481="","",SUMIFS('THANH_TOÁN'!$D$2:$D$500,'THANH_TOÁN'!$B$2:$B$500,A481,'THANH_TOÁN'!$F$2:$F$500,"ĐÃ XÁC NHẬN"))</x:f>
      </x:c>
      <x:c r="I481" s="35" t="str">
        <x:f>IF(A481="","",MAX(0,G481-H481))</x:f>
      </x:c>
      <x:c r="J481" s="36" t="str">
        <x:f>IF(A481="","",IF(AND(E481&lt;TODAY(),I481&gt;0,K481&lt;&gt;"HỦY"),"QUÁ HẠN",""))</x:f>
      </x:c>
      <x:c r="K481" s="39"/>
      <x:c r="L481" s="39"/>
      <x:c r="M481" s="39"/>
      <x:c r="N481" s="39"/>
      <x:c r="O481" s="42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41"/>
      <x:c r="E482" s="41"/>
      <x:c r="F482" s="39"/>
      <x:c r="G482" s="35" t="str">
        <x:f>IF(A482="","",SUMIFS('CHI_TIẾT_ĐƠN_HÀNG'!$H$2:$H$500,'CHI_TIẾT_ĐƠN_HÀNG'!$B$2:$B$500,A482))</x:f>
      </x:c>
      <x:c r="H482" s="35" t="str">
        <x:f>IF(A482="","",SUMIFS('THANH_TOÁN'!$D$2:$D$500,'THANH_TOÁN'!$B$2:$B$500,A482,'THANH_TOÁN'!$F$2:$F$500,"ĐÃ XÁC NHẬN"))</x:f>
      </x:c>
      <x:c r="I482" s="35" t="str">
        <x:f>IF(A482="","",MAX(0,G482-H482))</x:f>
      </x:c>
      <x:c r="J482" s="36" t="str">
        <x:f>IF(A482="","",IF(AND(E482&lt;TODAY(),I482&gt;0,K482&lt;&gt;"HỦY"),"QUÁ HẠN",""))</x:f>
      </x:c>
      <x:c r="K482" s="39"/>
      <x:c r="L482" s="39"/>
      <x:c r="M482" s="39"/>
      <x:c r="N482" s="39"/>
      <x:c r="O482" s="42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41"/>
      <x:c r="E483" s="41"/>
      <x:c r="F483" s="39"/>
      <x:c r="G483" s="35" t="str">
        <x:f>IF(A483="","",SUMIFS('CHI_TIẾT_ĐƠN_HÀNG'!$H$2:$H$500,'CHI_TIẾT_ĐƠN_HÀNG'!$B$2:$B$500,A483))</x:f>
      </x:c>
      <x:c r="H483" s="35" t="str">
        <x:f>IF(A483="","",SUMIFS('THANH_TOÁN'!$D$2:$D$500,'THANH_TOÁN'!$B$2:$B$500,A483,'THANH_TOÁN'!$F$2:$F$500,"ĐÃ XÁC NHẬN"))</x:f>
      </x:c>
      <x:c r="I483" s="35" t="str">
        <x:f>IF(A483="","",MAX(0,G483-H483))</x:f>
      </x:c>
      <x:c r="J483" s="36" t="str">
        <x:f>IF(A483="","",IF(AND(E483&lt;TODAY(),I483&gt;0,K483&lt;&gt;"HỦY"),"QUÁ HẠN",""))</x:f>
      </x:c>
      <x:c r="K483" s="39"/>
      <x:c r="L483" s="39"/>
      <x:c r="M483" s="39"/>
      <x:c r="N483" s="39"/>
      <x:c r="O483" s="42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41"/>
      <x:c r="E484" s="41"/>
      <x:c r="F484" s="39"/>
      <x:c r="G484" s="35" t="str">
        <x:f>IF(A484="","",SUMIFS('CHI_TIẾT_ĐƠN_HÀNG'!$H$2:$H$500,'CHI_TIẾT_ĐƠN_HÀNG'!$B$2:$B$500,A484))</x:f>
      </x:c>
      <x:c r="H484" s="35" t="str">
        <x:f>IF(A484="","",SUMIFS('THANH_TOÁN'!$D$2:$D$500,'THANH_TOÁN'!$B$2:$B$500,A484,'THANH_TOÁN'!$F$2:$F$500,"ĐÃ XÁC NHẬN"))</x:f>
      </x:c>
      <x:c r="I484" s="35" t="str">
        <x:f>IF(A484="","",MAX(0,G484-H484))</x:f>
      </x:c>
      <x:c r="J484" s="36" t="str">
        <x:f>IF(A484="","",IF(AND(E484&lt;TODAY(),I484&gt;0,K484&lt;&gt;"HỦY"),"QUÁ HẠN",""))</x:f>
      </x:c>
      <x:c r="K484" s="39"/>
      <x:c r="L484" s="39"/>
      <x:c r="M484" s="39"/>
      <x:c r="N484" s="39"/>
      <x:c r="O484" s="42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41"/>
      <x:c r="E485" s="41"/>
      <x:c r="F485" s="39"/>
      <x:c r="G485" s="35" t="str">
        <x:f>IF(A485="","",SUMIFS('CHI_TIẾT_ĐƠN_HÀNG'!$H$2:$H$500,'CHI_TIẾT_ĐƠN_HÀNG'!$B$2:$B$500,A485))</x:f>
      </x:c>
      <x:c r="H485" s="35" t="str">
        <x:f>IF(A485="","",SUMIFS('THANH_TOÁN'!$D$2:$D$500,'THANH_TOÁN'!$B$2:$B$500,A485,'THANH_TOÁN'!$F$2:$F$500,"ĐÃ XÁC NHẬN"))</x:f>
      </x:c>
      <x:c r="I485" s="35" t="str">
        <x:f>IF(A485="","",MAX(0,G485-H485))</x:f>
      </x:c>
      <x:c r="J485" s="36" t="str">
        <x:f>IF(A485="","",IF(AND(E485&lt;TODAY(),I485&gt;0,K485&lt;&gt;"HỦY"),"QUÁ HẠN",""))</x:f>
      </x:c>
      <x:c r="K485" s="39"/>
      <x:c r="L485" s="39"/>
      <x:c r="M485" s="39"/>
      <x:c r="N485" s="39"/>
      <x:c r="O485" s="42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41"/>
      <x:c r="E486" s="41"/>
      <x:c r="F486" s="39"/>
      <x:c r="G486" s="35" t="str">
        <x:f>IF(A486="","",SUMIFS('CHI_TIẾT_ĐƠN_HÀNG'!$H$2:$H$500,'CHI_TIẾT_ĐƠN_HÀNG'!$B$2:$B$500,A486))</x:f>
      </x:c>
      <x:c r="H486" s="35" t="str">
        <x:f>IF(A486="","",SUMIFS('THANH_TOÁN'!$D$2:$D$500,'THANH_TOÁN'!$B$2:$B$500,A486,'THANH_TOÁN'!$F$2:$F$500,"ĐÃ XÁC NHẬN"))</x:f>
      </x:c>
      <x:c r="I486" s="35" t="str">
        <x:f>IF(A486="","",MAX(0,G486-H486))</x:f>
      </x:c>
      <x:c r="J486" s="36" t="str">
        <x:f>IF(A486="","",IF(AND(E486&lt;TODAY(),I486&gt;0,K486&lt;&gt;"HỦY"),"QUÁ HẠN",""))</x:f>
      </x:c>
      <x:c r="K486" s="39"/>
      <x:c r="L486" s="39"/>
      <x:c r="M486" s="39"/>
      <x:c r="N486" s="39"/>
      <x:c r="O486" s="42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41"/>
      <x:c r="E487" s="41"/>
      <x:c r="F487" s="39"/>
      <x:c r="G487" s="35" t="str">
        <x:f>IF(A487="","",SUMIFS('CHI_TIẾT_ĐƠN_HÀNG'!$H$2:$H$500,'CHI_TIẾT_ĐƠN_HÀNG'!$B$2:$B$500,A487))</x:f>
      </x:c>
      <x:c r="H487" s="35" t="str">
        <x:f>IF(A487="","",SUMIFS('THANH_TOÁN'!$D$2:$D$500,'THANH_TOÁN'!$B$2:$B$500,A487,'THANH_TOÁN'!$F$2:$F$500,"ĐÃ XÁC NHẬN"))</x:f>
      </x:c>
      <x:c r="I487" s="35" t="str">
        <x:f>IF(A487="","",MAX(0,G487-H487))</x:f>
      </x:c>
      <x:c r="J487" s="36" t="str">
        <x:f>IF(A487="","",IF(AND(E487&lt;TODAY(),I487&gt;0,K487&lt;&gt;"HỦY"),"QUÁ HẠN",""))</x:f>
      </x:c>
      <x:c r="K487" s="39"/>
      <x:c r="L487" s="39"/>
      <x:c r="M487" s="39"/>
      <x:c r="N487" s="39"/>
      <x:c r="O487" s="42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41"/>
      <x:c r="E488" s="41"/>
      <x:c r="F488" s="39"/>
      <x:c r="G488" s="35" t="str">
        <x:f>IF(A488="","",SUMIFS('CHI_TIẾT_ĐƠN_HÀNG'!$H$2:$H$500,'CHI_TIẾT_ĐƠN_HÀNG'!$B$2:$B$500,A488))</x:f>
      </x:c>
      <x:c r="H488" s="35" t="str">
        <x:f>IF(A488="","",SUMIFS('THANH_TOÁN'!$D$2:$D$500,'THANH_TOÁN'!$B$2:$B$500,A488,'THANH_TOÁN'!$F$2:$F$500,"ĐÃ XÁC NHẬN"))</x:f>
      </x:c>
      <x:c r="I488" s="35" t="str">
        <x:f>IF(A488="","",MAX(0,G488-H488))</x:f>
      </x:c>
      <x:c r="J488" s="36" t="str">
        <x:f>IF(A488="","",IF(AND(E488&lt;TODAY(),I488&gt;0,K488&lt;&gt;"HỦY"),"QUÁ HẠN",""))</x:f>
      </x:c>
      <x:c r="K488" s="39"/>
      <x:c r="L488" s="39"/>
      <x:c r="M488" s="39"/>
      <x:c r="N488" s="39"/>
      <x:c r="O488" s="42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41"/>
      <x:c r="E489" s="41"/>
      <x:c r="F489" s="39"/>
      <x:c r="G489" s="35" t="str">
        <x:f>IF(A489="","",SUMIFS('CHI_TIẾT_ĐƠN_HÀNG'!$H$2:$H$500,'CHI_TIẾT_ĐƠN_HÀNG'!$B$2:$B$500,A489))</x:f>
      </x:c>
      <x:c r="H489" s="35" t="str">
        <x:f>IF(A489="","",SUMIFS('THANH_TOÁN'!$D$2:$D$500,'THANH_TOÁN'!$B$2:$B$500,A489,'THANH_TOÁN'!$F$2:$F$500,"ĐÃ XÁC NHẬN"))</x:f>
      </x:c>
      <x:c r="I489" s="35" t="str">
        <x:f>IF(A489="","",MAX(0,G489-H489))</x:f>
      </x:c>
      <x:c r="J489" s="36" t="str">
        <x:f>IF(A489="","",IF(AND(E489&lt;TODAY(),I489&gt;0,K489&lt;&gt;"HỦY"),"QUÁ HẠN",""))</x:f>
      </x:c>
      <x:c r="K489" s="39"/>
      <x:c r="L489" s="39"/>
      <x:c r="M489" s="39"/>
      <x:c r="N489" s="39"/>
      <x:c r="O489" s="42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41"/>
      <x:c r="E490" s="41"/>
      <x:c r="F490" s="39"/>
      <x:c r="G490" s="35" t="str">
        <x:f>IF(A490="","",SUMIFS('CHI_TIẾT_ĐƠN_HÀNG'!$H$2:$H$500,'CHI_TIẾT_ĐƠN_HÀNG'!$B$2:$B$500,A490))</x:f>
      </x:c>
      <x:c r="H490" s="35" t="str">
        <x:f>IF(A490="","",SUMIFS('THANH_TOÁN'!$D$2:$D$500,'THANH_TOÁN'!$B$2:$B$500,A490,'THANH_TOÁN'!$F$2:$F$500,"ĐÃ XÁC NHẬN"))</x:f>
      </x:c>
      <x:c r="I490" s="35" t="str">
        <x:f>IF(A490="","",MAX(0,G490-H490))</x:f>
      </x:c>
      <x:c r="J490" s="36" t="str">
        <x:f>IF(A490="","",IF(AND(E490&lt;TODAY(),I490&gt;0,K490&lt;&gt;"HỦY"),"QUÁ HẠN",""))</x:f>
      </x:c>
      <x:c r="K490" s="39"/>
      <x:c r="L490" s="39"/>
      <x:c r="M490" s="39"/>
      <x:c r="N490" s="39"/>
      <x:c r="O490" s="42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41"/>
      <x:c r="E491" s="41"/>
      <x:c r="F491" s="39"/>
      <x:c r="G491" s="35" t="str">
        <x:f>IF(A491="","",SUMIFS('CHI_TIẾT_ĐƠN_HÀNG'!$H$2:$H$500,'CHI_TIẾT_ĐƠN_HÀNG'!$B$2:$B$500,A491))</x:f>
      </x:c>
      <x:c r="H491" s="35" t="str">
        <x:f>IF(A491="","",SUMIFS('THANH_TOÁN'!$D$2:$D$500,'THANH_TOÁN'!$B$2:$B$500,A491,'THANH_TOÁN'!$F$2:$F$500,"ĐÃ XÁC NHẬN"))</x:f>
      </x:c>
      <x:c r="I491" s="35" t="str">
        <x:f>IF(A491="","",MAX(0,G491-H491))</x:f>
      </x:c>
      <x:c r="J491" s="36" t="str">
        <x:f>IF(A491="","",IF(AND(E491&lt;TODAY(),I491&gt;0,K491&lt;&gt;"HỦY"),"QUÁ HẠN",""))</x:f>
      </x:c>
      <x:c r="K491" s="39"/>
      <x:c r="L491" s="39"/>
      <x:c r="M491" s="39"/>
      <x:c r="N491" s="39"/>
      <x:c r="O491" s="42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41"/>
      <x:c r="E492" s="41"/>
      <x:c r="F492" s="39"/>
      <x:c r="G492" s="35" t="str">
        <x:f>IF(A492="","",SUMIFS('CHI_TIẾT_ĐƠN_HÀNG'!$H$2:$H$500,'CHI_TIẾT_ĐƠN_HÀNG'!$B$2:$B$500,A492))</x:f>
      </x:c>
      <x:c r="H492" s="35" t="str">
        <x:f>IF(A492="","",SUMIFS('THANH_TOÁN'!$D$2:$D$500,'THANH_TOÁN'!$B$2:$B$500,A492,'THANH_TOÁN'!$F$2:$F$500,"ĐÃ XÁC NHẬN"))</x:f>
      </x:c>
      <x:c r="I492" s="35" t="str">
        <x:f>IF(A492="","",MAX(0,G492-H492))</x:f>
      </x:c>
      <x:c r="J492" s="36" t="str">
        <x:f>IF(A492="","",IF(AND(E492&lt;TODAY(),I492&gt;0,K492&lt;&gt;"HỦY"),"QUÁ HẠN",""))</x:f>
      </x:c>
      <x:c r="K492" s="39"/>
      <x:c r="L492" s="39"/>
      <x:c r="M492" s="39"/>
      <x:c r="N492" s="39"/>
      <x:c r="O492" s="42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41"/>
      <x:c r="E493" s="41"/>
      <x:c r="F493" s="39"/>
      <x:c r="G493" s="35" t="str">
        <x:f>IF(A493="","",SUMIFS('CHI_TIẾT_ĐƠN_HÀNG'!$H$2:$H$500,'CHI_TIẾT_ĐƠN_HÀNG'!$B$2:$B$500,A493))</x:f>
      </x:c>
      <x:c r="H493" s="35" t="str">
        <x:f>IF(A493="","",SUMIFS('THANH_TOÁN'!$D$2:$D$500,'THANH_TOÁN'!$B$2:$B$500,A493,'THANH_TOÁN'!$F$2:$F$500,"ĐÃ XÁC NHẬN"))</x:f>
      </x:c>
      <x:c r="I493" s="35" t="str">
        <x:f>IF(A493="","",MAX(0,G493-H493))</x:f>
      </x:c>
      <x:c r="J493" s="36" t="str">
        <x:f>IF(A493="","",IF(AND(E493&lt;TODAY(),I493&gt;0,K493&lt;&gt;"HỦY"),"QUÁ HẠN",""))</x:f>
      </x:c>
      <x:c r="K493" s="39"/>
      <x:c r="L493" s="39"/>
      <x:c r="M493" s="39"/>
      <x:c r="N493" s="39"/>
      <x:c r="O493" s="42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41"/>
      <x:c r="E494" s="41"/>
      <x:c r="F494" s="39"/>
      <x:c r="G494" s="35" t="str">
        <x:f>IF(A494="","",SUMIFS('CHI_TIẾT_ĐƠN_HÀNG'!$H$2:$H$500,'CHI_TIẾT_ĐƠN_HÀNG'!$B$2:$B$500,A494))</x:f>
      </x:c>
      <x:c r="H494" s="35" t="str">
        <x:f>IF(A494="","",SUMIFS('THANH_TOÁN'!$D$2:$D$500,'THANH_TOÁN'!$B$2:$B$500,A494,'THANH_TOÁN'!$F$2:$F$500,"ĐÃ XÁC NHẬN"))</x:f>
      </x:c>
      <x:c r="I494" s="35" t="str">
        <x:f>IF(A494="","",MAX(0,G494-H494))</x:f>
      </x:c>
      <x:c r="J494" s="36" t="str">
        <x:f>IF(A494="","",IF(AND(E494&lt;TODAY(),I494&gt;0,K494&lt;&gt;"HỦY"),"QUÁ HẠN",""))</x:f>
      </x:c>
      <x:c r="K494" s="39"/>
      <x:c r="L494" s="39"/>
      <x:c r="M494" s="39"/>
      <x:c r="N494" s="39"/>
      <x:c r="O494" s="42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41"/>
      <x:c r="E495" s="41"/>
      <x:c r="F495" s="39"/>
      <x:c r="G495" s="35" t="str">
        <x:f>IF(A495="","",SUMIFS('CHI_TIẾT_ĐƠN_HÀNG'!$H$2:$H$500,'CHI_TIẾT_ĐƠN_HÀNG'!$B$2:$B$500,A495))</x:f>
      </x:c>
      <x:c r="H495" s="35" t="str">
        <x:f>IF(A495="","",SUMIFS('THANH_TOÁN'!$D$2:$D$500,'THANH_TOÁN'!$B$2:$B$500,A495,'THANH_TOÁN'!$F$2:$F$500,"ĐÃ XÁC NHẬN"))</x:f>
      </x:c>
      <x:c r="I495" s="35" t="str">
        <x:f>IF(A495="","",MAX(0,G495-H495))</x:f>
      </x:c>
      <x:c r="J495" s="36" t="str">
        <x:f>IF(A495="","",IF(AND(E495&lt;TODAY(),I495&gt;0,K495&lt;&gt;"HỦY"),"QUÁ HẠN",""))</x:f>
      </x:c>
      <x:c r="K495" s="39"/>
      <x:c r="L495" s="39"/>
      <x:c r="M495" s="39"/>
      <x:c r="N495" s="39"/>
      <x:c r="O495" s="42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41"/>
      <x:c r="E496" s="41"/>
      <x:c r="F496" s="39"/>
      <x:c r="G496" s="35" t="str">
        <x:f>IF(A496="","",SUMIFS('CHI_TIẾT_ĐƠN_HÀNG'!$H$2:$H$500,'CHI_TIẾT_ĐƠN_HÀNG'!$B$2:$B$500,A496))</x:f>
      </x:c>
      <x:c r="H496" s="35" t="str">
        <x:f>IF(A496="","",SUMIFS('THANH_TOÁN'!$D$2:$D$500,'THANH_TOÁN'!$B$2:$B$500,A496,'THANH_TOÁN'!$F$2:$F$500,"ĐÃ XÁC NHẬN"))</x:f>
      </x:c>
      <x:c r="I496" s="35" t="str">
        <x:f>IF(A496="","",MAX(0,G496-H496))</x:f>
      </x:c>
      <x:c r="J496" s="36" t="str">
        <x:f>IF(A496="","",IF(AND(E496&lt;TODAY(),I496&gt;0,K496&lt;&gt;"HỦY"),"QUÁ HẠN",""))</x:f>
      </x:c>
      <x:c r="K496" s="39"/>
      <x:c r="L496" s="39"/>
      <x:c r="M496" s="39"/>
      <x:c r="N496" s="39"/>
      <x:c r="O496" s="42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41"/>
      <x:c r="E497" s="41"/>
      <x:c r="F497" s="39"/>
      <x:c r="G497" s="35" t="str">
        <x:f>IF(A497="","",SUMIFS('CHI_TIẾT_ĐƠN_HÀNG'!$H$2:$H$500,'CHI_TIẾT_ĐƠN_HÀNG'!$B$2:$B$500,A497))</x:f>
      </x:c>
      <x:c r="H497" s="35" t="str">
        <x:f>IF(A497="","",SUMIFS('THANH_TOÁN'!$D$2:$D$500,'THANH_TOÁN'!$B$2:$B$500,A497,'THANH_TOÁN'!$F$2:$F$500,"ĐÃ XÁC NHẬN"))</x:f>
      </x:c>
      <x:c r="I497" s="35" t="str">
        <x:f>IF(A497="","",MAX(0,G497-H497))</x:f>
      </x:c>
      <x:c r="J497" s="36" t="str">
        <x:f>IF(A497="","",IF(AND(E497&lt;TODAY(),I497&gt;0,K497&lt;&gt;"HỦY"),"QUÁ HẠN",""))</x:f>
      </x:c>
      <x:c r="K497" s="39"/>
      <x:c r="L497" s="39"/>
      <x:c r="M497" s="39"/>
      <x:c r="N497" s="39"/>
      <x:c r="O497" s="42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41"/>
      <x:c r="E498" s="41"/>
      <x:c r="F498" s="39"/>
      <x:c r="G498" s="35" t="str">
        <x:f>IF(A498="","",SUMIFS('CHI_TIẾT_ĐƠN_HÀNG'!$H$2:$H$500,'CHI_TIẾT_ĐƠN_HÀNG'!$B$2:$B$500,A498))</x:f>
      </x:c>
      <x:c r="H498" s="35" t="str">
        <x:f>IF(A498="","",SUMIFS('THANH_TOÁN'!$D$2:$D$500,'THANH_TOÁN'!$B$2:$B$500,A498,'THANH_TOÁN'!$F$2:$F$500,"ĐÃ XÁC NHẬN"))</x:f>
      </x:c>
      <x:c r="I498" s="35" t="str">
        <x:f>IF(A498="","",MAX(0,G498-H498))</x:f>
      </x:c>
      <x:c r="J498" s="36" t="str">
        <x:f>IF(A498="","",IF(AND(E498&lt;TODAY(),I498&gt;0,K498&lt;&gt;"HỦY"),"QUÁ HẠN",""))</x:f>
      </x:c>
      <x:c r="K498" s="39"/>
      <x:c r="L498" s="39"/>
      <x:c r="M498" s="39"/>
      <x:c r="N498" s="39"/>
      <x:c r="O498" s="42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41"/>
      <x:c r="E499" s="41"/>
      <x:c r="F499" s="39"/>
      <x:c r="G499" s="35" t="str">
        <x:f>IF(A499="","",SUMIFS('CHI_TIẾT_ĐƠN_HÀNG'!$H$2:$H$500,'CHI_TIẾT_ĐƠN_HÀNG'!$B$2:$B$500,A499))</x:f>
      </x:c>
      <x:c r="H499" s="35" t="str">
        <x:f>IF(A499="","",SUMIFS('THANH_TOÁN'!$D$2:$D$500,'THANH_TOÁN'!$B$2:$B$500,A499,'THANH_TOÁN'!$F$2:$F$500,"ĐÃ XÁC NHẬN"))</x:f>
      </x:c>
      <x:c r="I499" s="35" t="str">
        <x:f>IF(A499="","",MAX(0,G499-H499))</x:f>
      </x:c>
      <x:c r="J499" s="36" t="str">
        <x:f>IF(A499="","",IF(AND(E499&lt;TODAY(),I499&gt;0,K499&lt;&gt;"HỦY"),"QUÁ HẠN",""))</x:f>
      </x:c>
      <x:c r="K499" s="39"/>
      <x:c r="L499" s="39"/>
      <x:c r="M499" s="39"/>
      <x:c r="N499" s="39"/>
      <x:c r="O499" s="42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41"/>
      <x:c r="E500" s="41"/>
      <x:c r="F500" s="39"/>
      <x:c r="G500" s="35" t="str">
        <x:f>IF(A500="","",SUMIFS('CHI_TIẾT_ĐƠN_HÀNG'!$H$2:$H$500,'CHI_TIẾT_ĐƠN_HÀNG'!$B$2:$B$500,A500))</x:f>
      </x:c>
      <x:c r="H500" s="35" t="str">
        <x:f>IF(A500="","",SUMIFS('THANH_TOÁN'!$D$2:$D$500,'THANH_TOÁN'!$B$2:$B$500,A500,'THANH_TOÁN'!$F$2:$F$500,"ĐÃ XÁC NHẬN"))</x:f>
      </x:c>
      <x:c r="I500" s="35" t="str">
        <x:f>IF(A500="","",MAX(0,G500-H500))</x:f>
      </x:c>
      <x:c r="J500" s="36" t="str">
        <x:f>IF(A500="","",IF(AND(E500&lt;TODAY(),I500&gt;0,K500&lt;&gt;"HỦY"),"QUÁ HẠN",""))</x:f>
      </x:c>
      <x:c r="K500" s="39"/>
      <x:c r="L500" s="39"/>
      <x:c r="M500" s="39"/>
      <x:c r="N500" s="39"/>
      <x:c r="O500" s="42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2">
    <x:dataValidation type="list" sqref="F2:F500">
      <x:formula1>"TRỰC TIẾP,ĐIỆN THOẠI,WEBSITE,ĐỐI TÁC"</x:formula1>
    </x:dataValidation>
    <x:dataValidation type="list" sqref="K2:K500">
      <x:formula1>"MỚI,XÁC NHẬN,ĐANG GIAO,GIAO MỘT PHẦN,HOÀN TẤT,HỦY"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</x:cols>
  <x:sheetData>
    <x:row r="1" ht="27" customHeight="1">
      <x:c r="A1" s="6" t="str">
        <x:v>Mã dòng</x:v>
      </x:c>
      <x:c r="B1" s="6" t="str">
        <x:v>Mã đơn hàng</x:v>
      </x:c>
      <x:c r="C1" s="6" t="str">
        <x:v>Mã sản phẩm</x:v>
      </x:c>
      <x:c r="D1" s="6" t="str">
        <x:v>Tên sản phẩm</x:v>
      </x:c>
      <x:c r="E1" s="6" t="str">
        <x:v>Đơn vị tính</x:v>
      </x:c>
      <x:c r="F1" s="6" t="str">
        <x:v>Số lượng</x:v>
      </x:c>
      <x:c r="G1" s="6" t="str">
        <x:v>Đơn giá</x:v>
      </x:c>
      <x:c r="H1" s="6" t="str">
        <x:v>Tổng tiền dòng</x:v>
      </x:c>
      <x:c r="I1" s="6" t="str">
        <x:v>Đã giao</x:v>
      </x:c>
      <x:c r="J1" s="6" t="str">
        <x:v>Còn phải giao</x:v>
      </x:c>
      <x:c r="K1" s="6" t="str">
        <x:v>Lợi nhuận gộp dự kiến</x:v>
      </x:c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DDH-001</x:v>
      </x:c>
      <x:c r="B2" s="39" t="str">
        <x:v>DH-001</x:v>
      </x:c>
      <x:c r="C2" s="39" t="str">
        <x:v>SP-003</x:v>
      </x:c>
      <x:c r="D2" s="36" t="str">
        <x:f>IF(C2="","",IFERROR(VLOOKUP(C2,'SẢN_PHẨM'!$A$2:$G$500,2,FALSE),""))</x:f>
        <x:v>Dịch vụ cấu hình dữ liệu</x:v>
      </x:c>
      <x:c r="E2" s="36" t="str">
        <x:f>IF(C2="","",IFERROR(VLOOKUP(C2,'SẢN_PHẨM'!$A$2:$G$500,3,FALSE),""))</x:f>
        <x:v>Gói</x:v>
      </x:c>
      <x:c r="F2" s="39" t="n">
        <x:v>2</x:v>
      </x:c>
      <x:c r="G2" s="44" t="n">
        <x:v>400000</x:v>
      </x:c>
      <x:c r="H2" s="35" t="n">
        <x:f>IF(OR(F2="",G2=""),"",F2*G2)</x:f>
        <x:v>800000</x:v>
      </x:c>
      <x:c r="I2" s="36" t="n">
        <x:f>IF(A2="","",SUMIFS('CHI_TIẾT_GIAO_HÀNG'!$D$2:$D$500,'CHI_TIẾT_GIAO_HÀNG'!$C$2:$C$500,A2,'CHI_TIẾT_GIAO_HÀNG'!$E$2:$E$500,"ĐÃ GIAO"))</x:f>
        <x:v>0</x:v>
      </x:c>
      <x:c r="J2" s="36" t="n">
        <x:f>IF(A2="","",MAX(0,F2-I2))</x:f>
        <x:v>2</x:v>
      </x:c>
      <x:c r="K2" s="35" t="n">
        <x:f>IF(A2="","",H2-(F2*IFERROR(VLOOKUP(C2,'SẢN_PHẨM'!$A$2:$G$500,5,FALSE),0)))</x:f>
        <x:v>360000</x:v>
      </x:c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DDH-002</x:v>
      </x:c>
      <x:c r="B3" s="39" t="str">
        <x:v>DH-002</x:v>
      </x:c>
      <x:c r="C3" s="39" t="str">
        <x:v>SP-001</x:v>
      </x:c>
      <x:c r="D3" s="36" t="str">
        <x:f>IF(C3="","",IFERROR(VLOOKUP(C3,'SẢN_PHẨM'!$A$2:$G$500,2,FALSE),""))</x:f>
        <x:v>Gói tư vấn khởi động</x:v>
      </x:c>
      <x:c r="E3" s="36" t="str">
        <x:f>IF(C3="","",IFERROR(VLOOKUP(C3,'SẢN_PHẨM'!$A$2:$G$500,3,FALSE),""))</x:f>
        <x:v>Gói</x:v>
      </x:c>
      <x:c r="F3" s="39" t="n">
        <x:v>10</x:v>
      </x:c>
      <x:c r="G3" s="44" t="n">
        <x:v>100000</x:v>
      </x:c>
      <x:c r="H3" s="35" t="n">
        <x:f>IF(OR(F3="",G3=""),"",F3*G3)</x:f>
        <x:v>1000000</x:v>
      </x:c>
      <x:c r="I3" s="36" t="n">
        <x:f>IF(A3="","",SUMIFS('CHI_TIẾT_GIAO_HÀNG'!$D$2:$D$500,'CHI_TIẾT_GIAO_HÀNG'!$C$2:$C$500,A3,'CHI_TIẾT_GIAO_HÀNG'!$E$2:$E$500,"ĐÃ GIAO"))</x:f>
        <x:v>10</x:v>
      </x:c>
      <x:c r="J3" s="36" t="n">
        <x:f>IF(A3="","",MAX(0,F3-I3))</x:f>
        <x:v>0</x:v>
      </x:c>
      <x:c r="K3" s="35" t="n">
        <x:f>IF(A3="","",H3-(F3*IFERROR(VLOOKUP(C3,'SẢN_PHẨM'!$A$2:$G$500,5,FALSE),0)))</x:f>
        <x:v>400000</x:v>
      </x:c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DDH-003</x:v>
      </x:c>
      <x:c r="B4" s="39" t="str">
        <x:v>DH-002</x:v>
      </x:c>
      <x:c r="C4" s="39" t="str">
        <x:v>SP-004</x:v>
      </x:c>
      <x:c r="D4" s="36" t="str">
        <x:f>IF(C4="","",IFERROR(VLOOKUP(C4,'SẢN_PHẨM'!$A$2:$G$500,2,FALSE),""))</x:f>
        <x:v>Giờ đào tạo vận hành</x:v>
      </x:c>
      <x:c r="E4" s="36" t="str">
        <x:f>IF(C4="","",IFERROR(VLOOKUP(C4,'SẢN_PHẨM'!$A$2:$G$500,3,FALSE),""))</x:f>
        <x:v>Giờ</x:v>
      </x:c>
      <x:c r="F4" s="39" t="n">
        <x:v>2</x:v>
      </x:c>
      <x:c r="G4" s="44" t="n">
        <x:v>150000</x:v>
      </x:c>
      <x:c r="H4" s="35" t="n">
        <x:f>IF(OR(F4="",G4=""),"",F4*G4)</x:f>
        <x:v>300000</x:v>
      </x:c>
      <x:c r="I4" s="36" t="n">
        <x:f>IF(A4="","",SUMIFS('CHI_TIẾT_GIAO_HÀNG'!$D$2:$D$500,'CHI_TIẾT_GIAO_HÀNG'!$C$2:$C$500,A4,'CHI_TIẾT_GIAO_HÀNG'!$E$2:$E$500,"ĐÃ GIAO"))</x:f>
        <x:v>0</x:v>
      </x:c>
      <x:c r="J4" s="36" t="n">
        <x:f>IF(A4="","",MAX(0,F4-I4))</x:f>
        <x:v>2</x:v>
      </x:c>
      <x:c r="K4" s="35" t="n">
        <x:f>IF(A4="","",H4-(F4*IFERROR(VLOOKUP(C4,'SẢN_PHẨM'!$A$2:$G$500,5,FALSE),0)))</x:f>
        <x:v>160000</x:v>
      </x:c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DDH-004</x:v>
      </x:c>
      <x:c r="B5" s="39" t="str">
        <x:v>DH-003</x:v>
      </x:c>
      <x:c r="C5" s="39" t="str">
        <x:v>SP-006</x:v>
      </x:c>
      <x:c r="D5" s="36" t="str">
        <x:f>IF(C5="","",IFERROR(VLOOKUP(C5,'SẢN_PHẨM'!$A$2:$G$500,2,FALSE),""))</x:f>
        <x:v>Gói hỗ trợ nâng cao</x:v>
      </x:c>
      <x:c r="E5" s="36" t="str">
        <x:f>IF(C5="","",IFERROR(VLOOKUP(C5,'SẢN_PHẨM'!$A$2:$G$500,3,FALSE),""))</x:f>
        <x:v>Tháng</x:v>
      </x:c>
      <x:c r="F5" s="39" t="n">
        <x:v>1</x:v>
      </x:c>
      <x:c r="G5" s="44" t="n">
        <x:v>500000</x:v>
      </x:c>
      <x:c r="H5" s="35" t="n">
        <x:f>IF(OR(F5="",G5=""),"",F5*G5)</x:f>
        <x:v>500000</x:v>
      </x:c>
      <x:c r="I5" s="36" t="n">
        <x:f>IF(A5="","",SUMIFS('CHI_TIẾT_GIAO_HÀNG'!$D$2:$D$500,'CHI_TIẾT_GIAO_HÀNG'!$C$2:$C$500,A5,'CHI_TIẾT_GIAO_HÀNG'!$E$2:$E$500,"ĐÃ GIAO"))</x:f>
        <x:v>0</x:v>
      </x:c>
      <x:c r="J5" s="36" t="n">
        <x:f>IF(A5="","",MAX(0,F5-I5))</x:f>
        <x:v>1</x:v>
      </x:c>
      <x:c r="K5" s="35" t="n">
        <x:f>IF(A5="","",H5-(F5*IFERROR(VLOOKUP(C5,'SẢN_PHẨM'!$A$2:$G$500,5,FALSE),0)))</x:f>
        <x:v>260000</x:v>
      </x:c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DDH-005</x:v>
      </x:c>
      <x:c r="B6" s="39" t="str">
        <x:v>DH-003</x:v>
      </x:c>
      <x:c r="C6" s="39" t="str">
        <x:v>SP-008</x:v>
      </x:c>
      <x:c r="D6" s="36" t="str">
        <x:f>IF(C6="","",IFERROR(VLOOKUP(C6,'SẢN_PHẨM'!$A$2:$G$500,2,FALSE),""))</x:f>
        <x:v>Buổi rà soát quy trình</x:v>
      </x:c>
      <x:c r="E6" s="36" t="str">
        <x:f>IF(C6="","",IFERROR(VLOOKUP(C6,'SẢN_PHẨM'!$A$2:$G$500,3,FALSE),""))</x:f>
        <x:v>Gói</x:v>
      </x:c>
      <x:c r="F6" s="39" t="n">
        <x:v>1</x:v>
      </x:c>
      <x:c r="G6" s="44" t="n">
        <x:v>200000</x:v>
      </x:c>
      <x:c r="H6" s="35" t="n">
        <x:f>IF(OR(F6="",G6=""),"",F6*G6)</x:f>
        <x:v>200000</x:v>
      </x:c>
      <x:c r="I6" s="36" t="n">
        <x:f>IF(A6="","",SUMIFS('CHI_TIẾT_GIAO_HÀNG'!$D$2:$D$500,'CHI_TIẾT_GIAO_HÀNG'!$C$2:$C$500,A6,'CHI_TIẾT_GIAO_HÀNG'!$E$2:$E$500,"ĐÃ GIAO"))</x:f>
        <x:v>0</x:v>
      </x:c>
      <x:c r="J6" s="36" t="n">
        <x:f>IF(A6="","",MAX(0,F6-I6))</x:f>
        <x:v>1</x:v>
      </x:c>
      <x:c r="K6" s="35" t="n">
        <x:f>IF(A6="","",H6-(F6*IFERROR(VLOOKUP(C6,'SẢN_PHẨM'!$A$2:$G$500,5,FALSE),0)))</x:f>
        <x:v>110000</x:v>
      </x:c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 t="str">
        <x:v>DDH-006</x:v>
      </x:c>
      <x:c r="B7" s="39" t="str">
        <x:v>DH-004</x:v>
      </x:c>
      <x:c r="C7" s="39" t="str">
        <x:v>SP-002</x:v>
      </x:c>
      <x:c r="D7" s="36" t="str">
        <x:f>IF(C7="","",IFERROR(VLOOKUP(C7,'SẢN_PHẨM'!$A$2:$G$500,2,FALSE),""))</x:f>
        <x:v>Bộ biểu mẫu bán hàng</x:v>
      </x:c>
      <x:c r="E7" s="36" t="str">
        <x:f>IF(C7="","",IFERROR(VLOOKUP(C7,'SẢN_PHẨM'!$A$2:$G$500,3,FALSE),""))</x:f>
        <x:v>Bộ</x:v>
      </x:c>
      <x:c r="F7" s="39" t="n">
        <x:v>1</x:v>
      </x:c>
      <x:c r="G7" s="44" t="n">
        <x:v>250000</x:v>
      </x:c>
      <x:c r="H7" s="35" t="n">
        <x:f>IF(OR(F7="",G7=""),"",F7*G7)</x:f>
        <x:v>250000</x:v>
      </x:c>
      <x:c r="I7" s="36" t="n">
        <x:f>IF(A7="","",SUMIFS('CHI_TIẾT_GIAO_HÀNG'!$D$2:$D$500,'CHI_TIẾT_GIAO_HÀNG'!$C$2:$C$500,A7,'CHI_TIẾT_GIAO_HÀNG'!$E$2:$E$500,"ĐÃ GIAO"))</x:f>
        <x:v>0</x:v>
      </x:c>
      <x:c r="J7" s="36" t="n">
        <x:f>IF(A7="","",MAX(0,F7-I7))</x:f>
        <x:v>1</x:v>
      </x:c>
      <x:c r="K7" s="35" t="n">
        <x:f>IF(A7="","",H7-(F7*IFERROR(VLOOKUP(C7,'SẢN_PHẨM'!$A$2:$G$500,5,FALSE),0)))</x:f>
        <x:v>130000</x:v>
      </x:c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 t="str">
        <x:v>DDH-007</x:v>
      </x:c>
      <x:c r="B8" s="39" t="str">
        <x:v>DH-005</x:v>
      </x:c>
      <x:c r="C8" s="39" t="str">
        <x:v>SP-007</x:v>
      </x:c>
      <x:c r="D8" s="36" t="str">
        <x:f>IF(C8="","",IFERROR(VLOOKUP(C8,'SẢN_PHẨM'!$A$2:$G$500,2,FALSE),""))</x:f>
        <x:v>Báo cáo quản trị tùy chỉnh</x:v>
      </x:c>
      <x:c r="E8" s="36" t="str">
        <x:f>IF(C8="","",IFERROR(VLOOKUP(C8,'SẢN_PHẨM'!$A$2:$G$500,3,FALSE),""))</x:f>
        <x:v>Gói</x:v>
      </x:c>
      <x:c r="F8" s="39" t="n">
        <x:v>1</x:v>
      </x:c>
      <x:c r="G8" s="44" t="n">
        <x:v>600000</x:v>
      </x:c>
      <x:c r="H8" s="35" t="n">
        <x:f>IF(OR(F8="",G8=""),"",F8*G8)</x:f>
        <x:v>600000</x:v>
      </x:c>
      <x:c r="I8" s="36" t="n">
        <x:f>IF(A8="","",SUMIFS('CHI_TIẾT_GIAO_HÀNG'!$D$2:$D$500,'CHI_TIẾT_GIAO_HÀNG'!$C$2:$C$500,A8,'CHI_TIẾT_GIAO_HÀNG'!$E$2:$E$500,"ĐÃ GIAO"))</x:f>
        <x:v>0</x:v>
      </x:c>
      <x:c r="J8" s="36" t="n">
        <x:f>IF(A8="","",MAX(0,F8-I8))</x:f>
        <x:v>1</x:v>
      </x:c>
      <x:c r="K8" s="35" t="n">
        <x:f>IF(A8="","",H8-(F8*IFERROR(VLOOKUP(C8,'SẢN_PHẨM'!$A$2:$G$500,5,FALSE),0)))</x:f>
        <x:v>280000</x:v>
      </x:c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 t="str">
        <x:v>DDH-008</x:v>
      </x:c>
      <x:c r="B9" s="39" t="str">
        <x:v>DH-005</x:v>
      </x:c>
      <x:c r="C9" s="39" t="str">
        <x:v>SP-005</x:v>
      </x:c>
      <x:c r="D9" s="36" t="str">
        <x:f>IF(C9="","",IFERROR(VLOOKUP(C9,'SẢN_PHẨM'!$A$2:$G$500,2,FALSE),""))</x:f>
        <x:v>Gói hỗ trợ tiêu chuẩn</x:v>
      </x:c>
      <x:c r="E9" s="36" t="str">
        <x:f>IF(C9="","",IFERROR(VLOOKUP(C9,'SẢN_PHẨM'!$A$2:$G$500,3,FALSE),""))</x:f>
        <x:v>Tháng</x:v>
      </x:c>
      <x:c r="F9" s="39" t="n">
        <x:v>1</x:v>
      </x:c>
      <x:c r="G9" s="44" t="n">
        <x:v>300000</x:v>
      </x:c>
      <x:c r="H9" s="35" t="n">
        <x:f>IF(OR(F9="",G9=""),"",F9*G9)</x:f>
        <x:v>300000</x:v>
      </x:c>
      <x:c r="I9" s="36" t="n">
        <x:f>IF(A9="","",SUMIFS('CHI_TIẾT_GIAO_HÀNG'!$D$2:$D$500,'CHI_TIẾT_GIAO_HÀNG'!$C$2:$C$500,A9,'CHI_TIẾT_GIAO_HÀNG'!$E$2:$E$500,"ĐÃ GIAO"))</x:f>
        <x:v>0</x:v>
      </x:c>
      <x:c r="J9" s="36" t="n">
        <x:f>IF(A9="","",MAX(0,F9-I9))</x:f>
        <x:v>1</x:v>
      </x:c>
      <x:c r="K9" s="35" t="n">
        <x:f>IF(A9="","",H9-(F9*IFERROR(VLOOKUP(C9,'SẢN_PHẨM'!$A$2:$G$500,5,FALSE),0)))</x:f>
        <x:v>160000</x:v>
      </x:c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36" t="str">
        <x:f>IF(C10="","",IFERROR(VLOOKUP(C10,'SẢN_PHẨM'!$A$2:$G$500,2,FALSE),""))</x:f>
      </x:c>
      <x:c r="E10" s="36" t="str">
        <x:f>IF(C10="","",IFERROR(VLOOKUP(C10,'SẢN_PHẨM'!$A$2:$G$500,3,FALSE),""))</x:f>
      </x:c>
      <x:c r="F10" s="39"/>
      <x:c r="G10" s="44"/>
      <x:c r="H10" s="35" t="str">
        <x:f>IF(OR(F10="",G10=""),"",F10*G10)</x:f>
      </x:c>
      <x:c r="I10" s="36" t="str">
        <x:f>IF(A10="","",SUMIFS('CHI_TIẾT_GIAO_HÀNG'!$D$2:$D$500,'CHI_TIẾT_GIAO_HÀNG'!$C$2:$C$500,A10,'CHI_TIẾT_GIAO_HÀNG'!$E$2:$E$500,"ĐÃ GIAO"))</x:f>
      </x:c>
      <x:c r="J10" s="36" t="str">
        <x:f>IF(A10="","",MAX(0,F10-I10))</x:f>
      </x:c>
      <x:c r="K10" s="35" t="str">
        <x:f>IF(A10="","",H10-(F10*IFERROR(VLOOKUP(C10,'SẢN_PHẨM'!$A$2:$G$500,5,FALSE),0)))</x:f>
      </x:c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36" t="str">
        <x:f>IF(C11="","",IFERROR(VLOOKUP(C11,'SẢN_PHẨM'!$A$2:$G$500,2,FALSE),""))</x:f>
      </x:c>
      <x:c r="E11" s="36" t="str">
        <x:f>IF(C11="","",IFERROR(VLOOKUP(C11,'SẢN_PHẨM'!$A$2:$G$500,3,FALSE),""))</x:f>
      </x:c>
      <x:c r="F11" s="39"/>
      <x:c r="G11" s="44"/>
      <x:c r="H11" s="35" t="str">
        <x:f>IF(OR(F11="",G11=""),"",F11*G11)</x:f>
      </x:c>
      <x:c r="I11" s="36" t="str">
        <x:f>IF(A11="","",SUMIFS('CHI_TIẾT_GIAO_HÀNG'!$D$2:$D$500,'CHI_TIẾT_GIAO_HÀNG'!$C$2:$C$500,A11,'CHI_TIẾT_GIAO_HÀNG'!$E$2:$E$500,"ĐÃ GIAO"))</x:f>
      </x:c>
      <x:c r="J11" s="36" t="str">
        <x:f>IF(A11="","",MAX(0,F11-I11))</x:f>
      </x:c>
      <x:c r="K11" s="35" t="str">
        <x:f>IF(A11="","",H11-(F11*IFERROR(VLOOKUP(C11,'SẢN_PHẨM'!$A$2:$G$500,5,FALSE),0)))</x:f>
      </x:c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36" t="str">
        <x:f>IF(C12="","",IFERROR(VLOOKUP(C12,'SẢN_PHẨM'!$A$2:$G$500,2,FALSE),""))</x:f>
      </x:c>
      <x:c r="E12" s="36" t="str">
        <x:f>IF(C12="","",IFERROR(VLOOKUP(C12,'SẢN_PHẨM'!$A$2:$G$500,3,FALSE),""))</x:f>
      </x:c>
      <x:c r="F12" s="39"/>
      <x:c r="G12" s="44"/>
      <x:c r="H12" s="35" t="str">
        <x:f>IF(OR(F12="",G12=""),"",F12*G12)</x:f>
      </x:c>
      <x:c r="I12" s="36" t="str">
        <x:f>IF(A12="","",SUMIFS('CHI_TIẾT_GIAO_HÀNG'!$D$2:$D$500,'CHI_TIẾT_GIAO_HÀNG'!$C$2:$C$500,A12,'CHI_TIẾT_GIAO_HÀNG'!$E$2:$E$500,"ĐÃ GIAO"))</x:f>
      </x:c>
      <x:c r="J12" s="36" t="str">
        <x:f>IF(A12="","",MAX(0,F12-I12))</x:f>
      </x:c>
      <x:c r="K12" s="35" t="str">
        <x:f>IF(A12="","",H12-(F12*IFERROR(VLOOKUP(C12,'SẢN_PHẨM'!$A$2:$G$500,5,FALSE),0)))</x:f>
      </x:c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36" t="str">
        <x:f>IF(C13="","",IFERROR(VLOOKUP(C13,'SẢN_PHẨM'!$A$2:$G$500,2,FALSE),""))</x:f>
      </x:c>
      <x:c r="E13" s="36" t="str">
        <x:f>IF(C13="","",IFERROR(VLOOKUP(C13,'SẢN_PHẨM'!$A$2:$G$500,3,FALSE),""))</x:f>
      </x:c>
      <x:c r="F13" s="39"/>
      <x:c r="G13" s="44"/>
      <x:c r="H13" s="35" t="str">
        <x:f>IF(OR(F13="",G13=""),"",F13*G13)</x:f>
      </x:c>
      <x:c r="I13" s="36" t="str">
        <x:f>IF(A13="","",SUMIFS('CHI_TIẾT_GIAO_HÀNG'!$D$2:$D$500,'CHI_TIẾT_GIAO_HÀNG'!$C$2:$C$500,A13,'CHI_TIẾT_GIAO_HÀNG'!$E$2:$E$500,"ĐÃ GIAO"))</x:f>
      </x:c>
      <x:c r="J13" s="36" t="str">
        <x:f>IF(A13="","",MAX(0,F13-I13))</x:f>
      </x:c>
      <x:c r="K13" s="35" t="str">
        <x:f>IF(A13="","",H13-(F13*IFERROR(VLOOKUP(C13,'SẢN_PHẨM'!$A$2:$G$500,5,FALSE),0)))</x:f>
      </x:c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36" t="str">
        <x:f>IF(C14="","",IFERROR(VLOOKUP(C14,'SẢN_PHẨM'!$A$2:$G$500,2,FALSE),""))</x:f>
      </x:c>
      <x:c r="E14" s="36" t="str">
        <x:f>IF(C14="","",IFERROR(VLOOKUP(C14,'SẢN_PHẨM'!$A$2:$G$500,3,FALSE),""))</x:f>
      </x:c>
      <x:c r="F14" s="39"/>
      <x:c r="G14" s="44"/>
      <x:c r="H14" s="35" t="str">
        <x:f>IF(OR(F14="",G14=""),"",F14*G14)</x:f>
      </x:c>
      <x:c r="I14" s="36" t="str">
        <x:f>IF(A14="","",SUMIFS('CHI_TIẾT_GIAO_HÀNG'!$D$2:$D$500,'CHI_TIẾT_GIAO_HÀNG'!$C$2:$C$500,A14,'CHI_TIẾT_GIAO_HÀNG'!$E$2:$E$500,"ĐÃ GIAO"))</x:f>
      </x:c>
      <x:c r="J14" s="36" t="str">
        <x:f>IF(A14="","",MAX(0,F14-I14))</x:f>
      </x:c>
      <x:c r="K14" s="35" t="str">
        <x:f>IF(A14="","",H14-(F14*IFERROR(VLOOKUP(C14,'SẢN_PHẨM'!$A$2:$G$500,5,FALSE),0)))</x:f>
      </x:c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36" t="str">
        <x:f>IF(C15="","",IFERROR(VLOOKUP(C15,'SẢN_PHẨM'!$A$2:$G$500,2,FALSE),""))</x:f>
      </x:c>
      <x:c r="E15" s="36" t="str">
        <x:f>IF(C15="","",IFERROR(VLOOKUP(C15,'SẢN_PHẨM'!$A$2:$G$500,3,FALSE),""))</x:f>
      </x:c>
      <x:c r="F15" s="39"/>
      <x:c r="G15" s="44"/>
      <x:c r="H15" s="35" t="str">
        <x:f>IF(OR(F15="",G15=""),"",F15*G15)</x:f>
      </x:c>
      <x:c r="I15" s="36" t="str">
        <x:f>IF(A15="","",SUMIFS('CHI_TIẾT_GIAO_HÀNG'!$D$2:$D$500,'CHI_TIẾT_GIAO_HÀNG'!$C$2:$C$500,A15,'CHI_TIẾT_GIAO_HÀNG'!$E$2:$E$500,"ĐÃ GIAO"))</x:f>
      </x:c>
      <x:c r="J15" s="36" t="str">
        <x:f>IF(A15="","",MAX(0,F15-I15))</x:f>
      </x:c>
      <x:c r="K15" s="35" t="str">
        <x:f>IF(A15="","",H15-(F15*IFERROR(VLOOKUP(C15,'SẢN_PHẨM'!$A$2:$G$500,5,FALSE),0)))</x:f>
      </x:c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36" t="str">
        <x:f>IF(C16="","",IFERROR(VLOOKUP(C16,'SẢN_PHẨM'!$A$2:$G$500,2,FALSE),""))</x:f>
      </x:c>
      <x:c r="E16" s="36" t="str">
        <x:f>IF(C16="","",IFERROR(VLOOKUP(C16,'SẢN_PHẨM'!$A$2:$G$500,3,FALSE),""))</x:f>
      </x:c>
      <x:c r="F16" s="39"/>
      <x:c r="G16" s="44"/>
      <x:c r="H16" s="35" t="str">
        <x:f>IF(OR(F16="",G16=""),"",F16*G16)</x:f>
      </x:c>
      <x:c r="I16" s="36" t="str">
        <x:f>IF(A16="","",SUMIFS('CHI_TIẾT_GIAO_HÀNG'!$D$2:$D$500,'CHI_TIẾT_GIAO_HÀNG'!$C$2:$C$500,A16,'CHI_TIẾT_GIAO_HÀNG'!$E$2:$E$500,"ĐÃ GIAO"))</x:f>
      </x:c>
      <x:c r="J16" s="36" t="str">
        <x:f>IF(A16="","",MAX(0,F16-I16))</x:f>
      </x:c>
      <x:c r="K16" s="35" t="str">
        <x:f>IF(A16="","",H16-(F16*IFERROR(VLOOKUP(C16,'SẢN_PHẨM'!$A$2:$G$500,5,FALSE),0)))</x:f>
      </x:c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36" t="str">
        <x:f>IF(C17="","",IFERROR(VLOOKUP(C17,'SẢN_PHẨM'!$A$2:$G$500,2,FALSE),""))</x:f>
      </x:c>
      <x:c r="E17" s="36" t="str">
        <x:f>IF(C17="","",IFERROR(VLOOKUP(C17,'SẢN_PHẨM'!$A$2:$G$500,3,FALSE),""))</x:f>
      </x:c>
      <x:c r="F17" s="39"/>
      <x:c r="G17" s="44"/>
      <x:c r="H17" s="35" t="str">
        <x:f>IF(OR(F17="",G17=""),"",F17*G17)</x:f>
      </x:c>
      <x:c r="I17" s="36" t="str">
        <x:f>IF(A17="","",SUMIFS('CHI_TIẾT_GIAO_HÀNG'!$D$2:$D$500,'CHI_TIẾT_GIAO_HÀNG'!$C$2:$C$500,A17,'CHI_TIẾT_GIAO_HÀNG'!$E$2:$E$500,"ĐÃ GIAO"))</x:f>
      </x:c>
      <x:c r="J17" s="36" t="str">
        <x:f>IF(A17="","",MAX(0,F17-I17))</x:f>
      </x:c>
      <x:c r="K17" s="35" t="str">
        <x:f>IF(A17="","",H17-(F17*IFERROR(VLOOKUP(C17,'SẢN_PHẨM'!$A$2:$G$500,5,FALSE),0)))</x:f>
      </x:c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36" t="str">
        <x:f>IF(C18="","",IFERROR(VLOOKUP(C18,'SẢN_PHẨM'!$A$2:$G$500,2,FALSE),""))</x:f>
      </x:c>
      <x:c r="E18" s="36" t="str">
        <x:f>IF(C18="","",IFERROR(VLOOKUP(C18,'SẢN_PHẨM'!$A$2:$G$500,3,FALSE),""))</x:f>
      </x:c>
      <x:c r="F18" s="39"/>
      <x:c r="G18" s="44"/>
      <x:c r="H18" s="35" t="str">
        <x:f>IF(OR(F18="",G18=""),"",F18*G18)</x:f>
      </x:c>
      <x:c r="I18" s="36" t="str">
        <x:f>IF(A18="","",SUMIFS('CHI_TIẾT_GIAO_HÀNG'!$D$2:$D$500,'CHI_TIẾT_GIAO_HÀNG'!$C$2:$C$500,A18,'CHI_TIẾT_GIAO_HÀNG'!$E$2:$E$500,"ĐÃ GIAO"))</x:f>
      </x:c>
      <x:c r="J18" s="36" t="str">
        <x:f>IF(A18="","",MAX(0,F18-I18))</x:f>
      </x:c>
      <x:c r="K18" s="35" t="str">
        <x:f>IF(A18="","",H18-(F18*IFERROR(VLOOKUP(C18,'SẢN_PHẨM'!$A$2:$G$500,5,FALSE),0)))</x:f>
      </x:c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36" t="str">
        <x:f>IF(C19="","",IFERROR(VLOOKUP(C19,'SẢN_PHẨM'!$A$2:$G$500,2,FALSE),""))</x:f>
      </x:c>
      <x:c r="E19" s="36" t="str">
        <x:f>IF(C19="","",IFERROR(VLOOKUP(C19,'SẢN_PHẨM'!$A$2:$G$500,3,FALSE),""))</x:f>
      </x:c>
      <x:c r="F19" s="39"/>
      <x:c r="G19" s="44"/>
      <x:c r="H19" s="35" t="str">
        <x:f>IF(OR(F19="",G19=""),"",F19*G19)</x:f>
      </x:c>
      <x:c r="I19" s="36" t="str">
        <x:f>IF(A19="","",SUMIFS('CHI_TIẾT_GIAO_HÀNG'!$D$2:$D$500,'CHI_TIẾT_GIAO_HÀNG'!$C$2:$C$500,A19,'CHI_TIẾT_GIAO_HÀNG'!$E$2:$E$500,"ĐÃ GIAO"))</x:f>
      </x:c>
      <x:c r="J19" s="36" t="str">
        <x:f>IF(A19="","",MAX(0,F19-I19))</x:f>
      </x:c>
      <x:c r="K19" s="35" t="str">
        <x:f>IF(A19="","",H19-(F19*IFERROR(VLOOKUP(C19,'SẢN_PHẨM'!$A$2:$G$500,5,FALSE),0)))</x:f>
      </x:c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36" t="str">
        <x:f>IF(C20="","",IFERROR(VLOOKUP(C20,'SẢN_PHẨM'!$A$2:$G$500,2,FALSE),""))</x:f>
      </x:c>
      <x:c r="E20" s="36" t="str">
        <x:f>IF(C20="","",IFERROR(VLOOKUP(C20,'SẢN_PHẨM'!$A$2:$G$500,3,FALSE),""))</x:f>
      </x:c>
      <x:c r="F20" s="39"/>
      <x:c r="G20" s="44"/>
      <x:c r="H20" s="35" t="str">
        <x:f>IF(OR(F20="",G20=""),"",F20*G20)</x:f>
      </x:c>
      <x:c r="I20" s="36" t="str">
        <x:f>IF(A20="","",SUMIFS('CHI_TIẾT_GIAO_HÀNG'!$D$2:$D$500,'CHI_TIẾT_GIAO_HÀNG'!$C$2:$C$500,A20,'CHI_TIẾT_GIAO_HÀNG'!$E$2:$E$500,"ĐÃ GIAO"))</x:f>
      </x:c>
      <x:c r="J20" s="36" t="str">
        <x:f>IF(A20="","",MAX(0,F20-I20))</x:f>
      </x:c>
      <x:c r="K20" s="35" t="str">
        <x:f>IF(A20="","",H20-(F20*IFERROR(VLOOKUP(C20,'SẢN_PHẨM'!$A$2:$G$500,5,FALSE),0)))</x:f>
      </x:c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36" t="str">
        <x:f>IF(C21="","",IFERROR(VLOOKUP(C21,'SẢN_PHẨM'!$A$2:$G$500,2,FALSE),""))</x:f>
      </x:c>
      <x:c r="E21" s="36" t="str">
        <x:f>IF(C21="","",IFERROR(VLOOKUP(C21,'SẢN_PHẨM'!$A$2:$G$500,3,FALSE),""))</x:f>
      </x:c>
      <x:c r="F21" s="39"/>
      <x:c r="G21" s="44"/>
      <x:c r="H21" s="35" t="str">
        <x:f>IF(OR(F21="",G21=""),"",F21*G21)</x:f>
      </x:c>
      <x:c r="I21" s="36" t="str">
        <x:f>IF(A21="","",SUMIFS('CHI_TIẾT_GIAO_HÀNG'!$D$2:$D$500,'CHI_TIẾT_GIAO_HÀNG'!$C$2:$C$500,A21,'CHI_TIẾT_GIAO_HÀNG'!$E$2:$E$500,"ĐÃ GIAO"))</x:f>
      </x:c>
      <x:c r="J21" s="36" t="str">
        <x:f>IF(A21="","",MAX(0,F21-I21))</x:f>
      </x:c>
      <x:c r="K21" s="35" t="str">
        <x:f>IF(A21="","",H21-(F21*IFERROR(VLOOKUP(C21,'SẢN_PHẨM'!$A$2:$G$500,5,FALSE),0)))</x:f>
      </x:c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36" t="str">
        <x:f>IF(C22="","",IFERROR(VLOOKUP(C22,'SẢN_PHẨM'!$A$2:$G$500,2,FALSE),""))</x:f>
      </x:c>
      <x:c r="E22" s="36" t="str">
        <x:f>IF(C22="","",IFERROR(VLOOKUP(C22,'SẢN_PHẨM'!$A$2:$G$500,3,FALSE),""))</x:f>
      </x:c>
      <x:c r="F22" s="39"/>
      <x:c r="G22" s="44"/>
      <x:c r="H22" s="35" t="str">
        <x:f>IF(OR(F22="",G22=""),"",F22*G22)</x:f>
      </x:c>
      <x:c r="I22" s="36" t="str">
        <x:f>IF(A22="","",SUMIFS('CHI_TIẾT_GIAO_HÀNG'!$D$2:$D$500,'CHI_TIẾT_GIAO_HÀNG'!$C$2:$C$500,A22,'CHI_TIẾT_GIAO_HÀNG'!$E$2:$E$500,"ĐÃ GIAO"))</x:f>
      </x:c>
      <x:c r="J22" s="36" t="str">
        <x:f>IF(A22="","",MAX(0,F22-I22))</x:f>
      </x:c>
      <x:c r="K22" s="35" t="str">
        <x:f>IF(A22="","",H22-(F22*IFERROR(VLOOKUP(C22,'SẢN_PHẨM'!$A$2:$G$500,5,FALSE),0)))</x:f>
      </x:c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36" t="str">
        <x:f>IF(C23="","",IFERROR(VLOOKUP(C23,'SẢN_PHẨM'!$A$2:$G$500,2,FALSE),""))</x:f>
      </x:c>
      <x:c r="E23" s="36" t="str">
        <x:f>IF(C23="","",IFERROR(VLOOKUP(C23,'SẢN_PHẨM'!$A$2:$G$500,3,FALSE),""))</x:f>
      </x:c>
      <x:c r="F23" s="39"/>
      <x:c r="G23" s="44"/>
      <x:c r="H23" s="35" t="str">
        <x:f>IF(OR(F23="",G23=""),"",F23*G23)</x:f>
      </x:c>
      <x:c r="I23" s="36" t="str">
        <x:f>IF(A23="","",SUMIFS('CHI_TIẾT_GIAO_HÀNG'!$D$2:$D$500,'CHI_TIẾT_GIAO_HÀNG'!$C$2:$C$500,A23,'CHI_TIẾT_GIAO_HÀNG'!$E$2:$E$500,"ĐÃ GIAO"))</x:f>
      </x:c>
      <x:c r="J23" s="36" t="str">
        <x:f>IF(A23="","",MAX(0,F23-I23))</x:f>
      </x:c>
      <x:c r="K23" s="35" t="str">
        <x:f>IF(A23="","",H23-(F23*IFERROR(VLOOKUP(C23,'SẢN_PHẨM'!$A$2:$G$500,5,FALSE),0)))</x:f>
      </x:c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36" t="str">
        <x:f>IF(C24="","",IFERROR(VLOOKUP(C24,'SẢN_PHẨM'!$A$2:$G$500,2,FALSE),""))</x:f>
      </x:c>
      <x:c r="E24" s="36" t="str">
        <x:f>IF(C24="","",IFERROR(VLOOKUP(C24,'SẢN_PHẨM'!$A$2:$G$500,3,FALSE),""))</x:f>
      </x:c>
      <x:c r="F24" s="39"/>
      <x:c r="G24" s="44"/>
      <x:c r="H24" s="35" t="str">
        <x:f>IF(OR(F24="",G24=""),"",F24*G24)</x:f>
      </x:c>
      <x:c r="I24" s="36" t="str">
        <x:f>IF(A24="","",SUMIFS('CHI_TIẾT_GIAO_HÀNG'!$D$2:$D$500,'CHI_TIẾT_GIAO_HÀNG'!$C$2:$C$500,A24,'CHI_TIẾT_GIAO_HÀNG'!$E$2:$E$500,"ĐÃ GIAO"))</x:f>
      </x:c>
      <x:c r="J24" s="36" t="str">
        <x:f>IF(A24="","",MAX(0,F24-I24))</x:f>
      </x:c>
      <x:c r="K24" s="35" t="str">
        <x:f>IF(A24="","",H24-(F24*IFERROR(VLOOKUP(C24,'SẢN_PHẨM'!$A$2:$G$500,5,FALSE),0)))</x:f>
      </x:c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36" t="str">
        <x:f>IF(C25="","",IFERROR(VLOOKUP(C25,'SẢN_PHẨM'!$A$2:$G$500,2,FALSE),""))</x:f>
      </x:c>
      <x:c r="E25" s="36" t="str">
        <x:f>IF(C25="","",IFERROR(VLOOKUP(C25,'SẢN_PHẨM'!$A$2:$G$500,3,FALSE),""))</x:f>
      </x:c>
      <x:c r="F25" s="39"/>
      <x:c r="G25" s="44"/>
      <x:c r="H25" s="35" t="str">
        <x:f>IF(OR(F25="",G25=""),"",F25*G25)</x:f>
      </x:c>
      <x:c r="I25" s="36" t="str">
        <x:f>IF(A25="","",SUMIFS('CHI_TIẾT_GIAO_HÀNG'!$D$2:$D$500,'CHI_TIẾT_GIAO_HÀNG'!$C$2:$C$500,A25,'CHI_TIẾT_GIAO_HÀNG'!$E$2:$E$500,"ĐÃ GIAO"))</x:f>
      </x:c>
      <x:c r="J25" s="36" t="str">
        <x:f>IF(A25="","",MAX(0,F25-I25))</x:f>
      </x:c>
      <x:c r="K25" s="35" t="str">
        <x:f>IF(A25="","",H25-(F25*IFERROR(VLOOKUP(C25,'SẢN_PHẨM'!$A$2:$G$500,5,FALSE),0)))</x:f>
      </x:c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36" t="str">
        <x:f>IF(C26="","",IFERROR(VLOOKUP(C26,'SẢN_PHẨM'!$A$2:$G$500,2,FALSE),""))</x:f>
      </x:c>
      <x:c r="E26" s="36" t="str">
        <x:f>IF(C26="","",IFERROR(VLOOKUP(C26,'SẢN_PHẨM'!$A$2:$G$500,3,FALSE),""))</x:f>
      </x:c>
      <x:c r="F26" s="39"/>
      <x:c r="G26" s="44"/>
      <x:c r="H26" s="35" t="str">
        <x:f>IF(OR(F26="",G26=""),"",F26*G26)</x:f>
      </x:c>
      <x:c r="I26" s="36" t="str">
        <x:f>IF(A26="","",SUMIFS('CHI_TIẾT_GIAO_HÀNG'!$D$2:$D$500,'CHI_TIẾT_GIAO_HÀNG'!$C$2:$C$500,A26,'CHI_TIẾT_GIAO_HÀNG'!$E$2:$E$500,"ĐÃ GIAO"))</x:f>
      </x:c>
      <x:c r="J26" s="36" t="str">
        <x:f>IF(A26="","",MAX(0,F26-I26))</x:f>
      </x:c>
      <x:c r="K26" s="35" t="str">
        <x:f>IF(A26="","",H26-(F26*IFERROR(VLOOKUP(C26,'SẢN_PHẨM'!$A$2:$G$500,5,FALSE),0)))</x:f>
      </x:c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36" t="str">
        <x:f>IF(C27="","",IFERROR(VLOOKUP(C27,'SẢN_PHẨM'!$A$2:$G$500,2,FALSE),""))</x:f>
      </x:c>
      <x:c r="E27" s="36" t="str">
        <x:f>IF(C27="","",IFERROR(VLOOKUP(C27,'SẢN_PHẨM'!$A$2:$G$500,3,FALSE),""))</x:f>
      </x:c>
      <x:c r="F27" s="39"/>
      <x:c r="G27" s="44"/>
      <x:c r="H27" s="35" t="str">
        <x:f>IF(OR(F27="",G27=""),"",F27*G27)</x:f>
      </x:c>
      <x:c r="I27" s="36" t="str">
        <x:f>IF(A27="","",SUMIFS('CHI_TIẾT_GIAO_HÀNG'!$D$2:$D$500,'CHI_TIẾT_GIAO_HÀNG'!$C$2:$C$500,A27,'CHI_TIẾT_GIAO_HÀNG'!$E$2:$E$500,"ĐÃ GIAO"))</x:f>
      </x:c>
      <x:c r="J27" s="36" t="str">
        <x:f>IF(A27="","",MAX(0,F27-I27))</x:f>
      </x:c>
      <x:c r="K27" s="35" t="str">
        <x:f>IF(A27="","",H27-(F27*IFERROR(VLOOKUP(C27,'SẢN_PHẨM'!$A$2:$G$500,5,FALSE),0)))</x:f>
      </x:c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36" t="str">
        <x:f>IF(C28="","",IFERROR(VLOOKUP(C28,'SẢN_PHẨM'!$A$2:$G$500,2,FALSE),""))</x:f>
      </x:c>
      <x:c r="E28" s="36" t="str">
        <x:f>IF(C28="","",IFERROR(VLOOKUP(C28,'SẢN_PHẨM'!$A$2:$G$500,3,FALSE),""))</x:f>
      </x:c>
      <x:c r="F28" s="39"/>
      <x:c r="G28" s="44"/>
      <x:c r="H28" s="35" t="str">
        <x:f>IF(OR(F28="",G28=""),"",F28*G28)</x:f>
      </x:c>
      <x:c r="I28" s="36" t="str">
        <x:f>IF(A28="","",SUMIFS('CHI_TIẾT_GIAO_HÀNG'!$D$2:$D$500,'CHI_TIẾT_GIAO_HÀNG'!$C$2:$C$500,A28,'CHI_TIẾT_GIAO_HÀNG'!$E$2:$E$500,"ĐÃ GIAO"))</x:f>
      </x:c>
      <x:c r="J28" s="36" t="str">
        <x:f>IF(A28="","",MAX(0,F28-I28))</x:f>
      </x:c>
      <x:c r="K28" s="35" t="str">
        <x:f>IF(A28="","",H28-(F28*IFERROR(VLOOKUP(C28,'SẢN_PHẨM'!$A$2:$G$500,5,FALSE),0)))</x:f>
      </x:c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36" t="str">
        <x:f>IF(C29="","",IFERROR(VLOOKUP(C29,'SẢN_PHẨM'!$A$2:$G$500,2,FALSE),""))</x:f>
      </x:c>
      <x:c r="E29" s="36" t="str">
        <x:f>IF(C29="","",IFERROR(VLOOKUP(C29,'SẢN_PHẨM'!$A$2:$G$500,3,FALSE),""))</x:f>
      </x:c>
      <x:c r="F29" s="39"/>
      <x:c r="G29" s="44"/>
      <x:c r="H29" s="35" t="str">
        <x:f>IF(OR(F29="",G29=""),"",F29*G29)</x:f>
      </x:c>
      <x:c r="I29" s="36" t="str">
        <x:f>IF(A29="","",SUMIFS('CHI_TIẾT_GIAO_HÀNG'!$D$2:$D$500,'CHI_TIẾT_GIAO_HÀNG'!$C$2:$C$500,A29,'CHI_TIẾT_GIAO_HÀNG'!$E$2:$E$500,"ĐÃ GIAO"))</x:f>
      </x:c>
      <x:c r="J29" s="36" t="str">
        <x:f>IF(A29="","",MAX(0,F29-I29))</x:f>
      </x:c>
      <x:c r="K29" s="35" t="str">
        <x:f>IF(A29="","",H29-(F29*IFERROR(VLOOKUP(C29,'SẢN_PHẨM'!$A$2:$G$500,5,FALSE),0)))</x:f>
      </x:c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36" t="str">
        <x:f>IF(C30="","",IFERROR(VLOOKUP(C30,'SẢN_PHẨM'!$A$2:$G$500,2,FALSE),""))</x:f>
      </x:c>
      <x:c r="E30" s="36" t="str">
        <x:f>IF(C30="","",IFERROR(VLOOKUP(C30,'SẢN_PHẨM'!$A$2:$G$500,3,FALSE),""))</x:f>
      </x:c>
      <x:c r="F30" s="39"/>
      <x:c r="G30" s="44"/>
      <x:c r="H30" s="35" t="str">
        <x:f>IF(OR(F30="",G30=""),"",F30*G30)</x:f>
      </x:c>
      <x:c r="I30" s="36" t="str">
        <x:f>IF(A30="","",SUMIFS('CHI_TIẾT_GIAO_HÀNG'!$D$2:$D$500,'CHI_TIẾT_GIAO_HÀNG'!$C$2:$C$500,A30,'CHI_TIẾT_GIAO_HÀNG'!$E$2:$E$500,"ĐÃ GIAO"))</x:f>
      </x:c>
      <x:c r="J30" s="36" t="str">
        <x:f>IF(A30="","",MAX(0,F30-I30))</x:f>
      </x:c>
      <x:c r="K30" s="35" t="str">
        <x:f>IF(A30="","",H30-(F30*IFERROR(VLOOKUP(C30,'SẢN_PHẨM'!$A$2:$G$500,5,FALSE),0)))</x:f>
      </x:c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36" t="str">
        <x:f>IF(C31="","",IFERROR(VLOOKUP(C31,'SẢN_PHẨM'!$A$2:$G$500,2,FALSE),""))</x:f>
      </x:c>
      <x:c r="E31" s="36" t="str">
        <x:f>IF(C31="","",IFERROR(VLOOKUP(C31,'SẢN_PHẨM'!$A$2:$G$500,3,FALSE),""))</x:f>
      </x:c>
      <x:c r="F31" s="39"/>
      <x:c r="G31" s="44"/>
      <x:c r="H31" s="35" t="str">
        <x:f>IF(OR(F31="",G31=""),"",F31*G31)</x:f>
      </x:c>
      <x:c r="I31" s="36" t="str">
        <x:f>IF(A31="","",SUMIFS('CHI_TIẾT_GIAO_HÀNG'!$D$2:$D$500,'CHI_TIẾT_GIAO_HÀNG'!$C$2:$C$500,A31,'CHI_TIẾT_GIAO_HÀNG'!$E$2:$E$500,"ĐÃ GIAO"))</x:f>
      </x:c>
      <x:c r="J31" s="36" t="str">
        <x:f>IF(A31="","",MAX(0,F31-I31))</x:f>
      </x:c>
      <x:c r="K31" s="35" t="str">
        <x:f>IF(A31="","",H31-(F31*IFERROR(VLOOKUP(C31,'SẢN_PHẨM'!$A$2:$G$500,5,FALSE),0)))</x:f>
      </x:c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36" t="str">
        <x:f>IF(C32="","",IFERROR(VLOOKUP(C32,'SẢN_PHẨM'!$A$2:$G$500,2,FALSE),""))</x:f>
      </x:c>
      <x:c r="E32" s="36" t="str">
        <x:f>IF(C32="","",IFERROR(VLOOKUP(C32,'SẢN_PHẨM'!$A$2:$G$500,3,FALSE),""))</x:f>
      </x:c>
      <x:c r="F32" s="39"/>
      <x:c r="G32" s="44"/>
      <x:c r="H32" s="35" t="str">
        <x:f>IF(OR(F32="",G32=""),"",F32*G32)</x:f>
      </x:c>
      <x:c r="I32" s="36" t="str">
        <x:f>IF(A32="","",SUMIFS('CHI_TIẾT_GIAO_HÀNG'!$D$2:$D$500,'CHI_TIẾT_GIAO_HÀNG'!$C$2:$C$500,A32,'CHI_TIẾT_GIAO_HÀNG'!$E$2:$E$500,"ĐÃ GIAO"))</x:f>
      </x:c>
      <x:c r="J32" s="36" t="str">
        <x:f>IF(A32="","",MAX(0,F32-I32))</x:f>
      </x:c>
      <x:c r="K32" s="35" t="str">
        <x:f>IF(A32="","",H32-(F32*IFERROR(VLOOKUP(C32,'SẢN_PHẨM'!$A$2:$G$500,5,FALSE),0)))</x:f>
      </x:c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36" t="str">
        <x:f>IF(C33="","",IFERROR(VLOOKUP(C33,'SẢN_PHẨM'!$A$2:$G$500,2,FALSE),""))</x:f>
      </x:c>
      <x:c r="E33" s="36" t="str">
        <x:f>IF(C33="","",IFERROR(VLOOKUP(C33,'SẢN_PHẨM'!$A$2:$G$500,3,FALSE),""))</x:f>
      </x:c>
      <x:c r="F33" s="39"/>
      <x:c r="G33" s="44"/>
      <x:c r="H33" s="35" t="str">
        <x:f>IF(OR(F33="",G33=""),"",F33*G33)</x:f>
      </x:c>
      <x:c r="I33" s="36" t="str">
        <x:f>IF(A33="","",SUMIFS('CHI_TIẾT_GIAO_HÀNG'!$D$2:$D$500,'CHI_TIẾT_GIAO_HÀNG'!$C$2:$C$500,A33,'CHI_TIẾT_GIAO_HÀNG'!$E$2:$E$500,"ĐÃ GIAO"))</x:f>
      </x:c>
      <x:c r="J33" s="36" t="str">
        <x:f>IF(A33="","",MAX(0,F33-I33))</x:f>
      </x:c>
      <x:c r="K33" s="35" t="str">
        <x:f>IF(A33="","",H33-(F33*IFERROR(VLOOKUP(C33,'SẢN_PHẨM'!$A$2:$G$500,5,FALSE),0)))</x:f>
      </x:c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36" t="str">
        <x:f>IF(C34="","",IFERROR(VLOOKUP(C34,'SẢN_PHẨM'!$A$2:$G$500,2,FALSE),""))</x:f>
      </x:c>
      <x:c r="E34" s="36" t="str">
        <x:f>IF(C34="","",IFERROR(VLOOKUP(C34,'SẢN_PHẨM'!$A$2:$G$500,3,FALSE),""))</x:f>
      </x:c>
      <x:c r="F34" s="39"/>
      <x:c r="G34" s="44"/>
      <x:c r="H34" s="35" t="str">
        <x:f>IF(OR(F34="",G34=""),"",F34*G34)</x:f>
      </x:c>
      <x:c r="I34" s="36" t="str">
        <x:f>IF(A34="","",SUMIFS('CHI_TIẾT_GIAO_HÀNG'!$D$2:$D$500,'CHI_TIẾT_GIAO_HÀNG'!$C$2:$C$500,A34,'CHI_TIẾT_GIAO_HÀNG'!$E$2:$E$500,"ĐÃ GIAO"))</x:f>
      </x:c>
      <x:c r="J34" s="36" t="str">
        <x:f>IF(A34="","",MAX(0,F34-I34))</x:f>
      </x:c>
      <x:c r="K34" s="35" t="str">
        <x:f>IF(A34="","",H34-(F34*IFERROR(VLOOKUP(C34,'SẢN_PHẨM'!$A$2:$G$500,5,FALSE),0)))</x:f>
      </x:c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36" t="str">
        <x:f>IF(C35="","",IFERROR(VLOOKUP(C35,'SẢN_PHẨM'!$A$2:$G$500,2,FALSE),""))</x:f>
      </x:c>
      <x:c r="E35" s="36" t="str">
        <x:f>IF(C35="","",IFERROR(VLOOKUP(C35,'SẢN_PHẨM'!$A$2:$G$500,3,FALSE),""))</x:f>
      </x:c>
      <x:c r="F35" s="39"/>
      <x:c r="G35" s="44"/>
      <x:c r="H35" s="35" t="str">
        <x:f>IF(OR(F35="",G35=""),"",F35*G35)</x:f>
      </x:c>
      <x:c r="I35" s="36" t="str">
        <x:f>IF(A35="","",SUMIFS('CHI_TIẾT_GIAO_HÀNG'!$D$2:$D$500,'CHI_TIẾT_GIAO_HÀNG'!$C$2:$C$500,A35,'CHI_TIẾT_GIAO_HÀNG'!$E$2:$E$500,"ĐÃ GIAO"))</x:f>
      </x:c>
      <x:c r="J35" s="36" t="str">
        <x:f>IF(A35="","",MAX(0,F35-I35))</x:f>
      </x:c>
      <x:c r="K35" s="35" t="str">
        <x:f>IF(A35="","",H35-(F35*IFERROR(VLOOKUP(C35,'SẢN_PHẨM'!$A$2:$G$500,5,FALSE),0)))</x:f>
      </x:c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36" t="str">
        <x:f>IF(C36="","",IFERROR(VLOOKUP(C36,'SẢN_PHẨM'!$A$2:$G$500,2,FALSE),""))</x:f>
      </x:c>
      <x:c r="E36" s="36" t="str">
        <x:f>IF(C36="","",IFERROR(VLOOKUP(C36,'SẢN_PHẨM'!$A$2:$G$500,3,FALSE),""))</x:f>
      </x:c>
      <x:c r="F36" s="39"/>
      <x:c r="G36" s="44"/>
      <x:c r="H36" s="35" t="str">
        <x:f>IF(OR(F36="",G36=""),"",F36*G36)</x:f>
      </x:c>
      <x:c r="I36" s="36" t="str">
        <x:f>IF(A36="","",SUMIFS('CHI_TIẾT_GIAO_HÀNG'!$D$2:$D$500,'CHI_TIẾT_GIAO_HÀNG'!$C$2:$C$500,A36,'CHI_TIẾT_GIAO_HÀNG'!$E$2:$E$500,"ĐÃ GIAO"))</x:f>
      </x:c>
      <x:c r="J36" s="36" t="str">
        <x:f>IF(A36="","",MAX(0,F36-I36))</x:f>
      </x:c>
      <x:c r="K36" s="35" t="str">
        <x:f>IF(A36="","",H36-(F36*IFERROR(VLOOKUP(C36,'SẢN_PHẨM'!$A$2:$G$500,5,FALSE),0)))</x:f>
      </x:c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36" t="str">
        <x:f>IF(C37="","",IFERROR(VLOOKUP(C37,'SẢN_PHẨM'!$A$2:$G$500,2,FALSE),""))</x:f>
      </x:c>
      <x:c r="E37" s="36" t="str">
        <x:f>IF(C37="","",IFERROR(VLOOKUP(C37,'SẢN_PHẨM'!$A$2:$G$500,3,FALSE),""))</x:f>
      </x:c>
      <x:c r="F37" s="39"/>
      <x:c r="G37" s="44"/>
      <x:c r="H37" s="35" t="str">
        <x:f>IF(OR(F37="",G37=""),"",F37*G37)</x:f>
      </x:c>
      <x:c r="I37" s="36" t="str">
        <x:f>IF(A37="","",SUMIFS('CHI_TIẾT_GIAO_HÀNG'!$D$2:$D$500,'CHI_TIẾT_GIAO_HÀNG'!$C$2:$C$500,A37,'CHI_TIẾT_GIAO_HÀNG'!$E$2:$E$500,"ĐÃ GIAO"))</x:f>
      </x:c>
      <x:c r="J37" s="36" t="str">
        <x:f>IF(A37="","",MAX(0,F37-I37))</x:f>
      </x:c>
      <x:c r="K37" s="35" t="str">
        <x:f>IF(A37="","",H37-(F37*IFERROR(VLOOKUP(C37,'SẢN_PHẨM'!$A$2:$G$500,5,FALSE),0)))</x:f>
      </x:c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36" t="str">
        <x:f>IF(C38="","",IFERROR(VLOOKUP(C38,'SẢN_PHẨM'!$A$2:$G$500,2,FALSE),""))</x:f>
      </x:c>
      <x:c r="E38" s="36" t="str">
        <x:f>IF(C38="","",IFERROR(VLOOKUP(C38,'SẢN_PHẨM'!$A$2:$G$500,3,FALSE),""))</x:f>
      </x:c>
      <x:c r="F38" s="39"/>
      <x:c r="G38" s="44"/>
      <x:c r="H38" s="35" t="str">
        <x:f>IF(OR(F38="",G38=""),"",F38*G38)</x:f>
      </x:c>
      <x:c r="I38" s="36" t="str">
        <x:f>IF(A38="","",SUMIFS('CHI_TIẾT_GIAO_HÀNG'!$D$2:$D$500,'CHI_TIẾT_GIAO_HÀNG'!$C$2:$C$500,A38,'CHI_TIẾT_GIAO_HÀNG'!$E$2:$E$500,"ĐÃ GIAO"))</x:f>
      </x:c>
      <x:c r="J38" s="36" t="str">
        <x:f>IF(A38="","",MAX(0,F38-I38))</x:f>
      </x:c>
      <x:c r="K38" s="35" t="str">
        <x:f>IF(A38="","",H38-(F38*IFERROR(VLOOKUP(C38,'SẢN_PHẨM'!$A$2:$G$500,5,FALSE),0)))</x:f>
      </x:c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36" t="str">
        <x:f>IF(C39="","",IFERROR(VLOOKUP(C39,'SẢN_PHẨM'!$A$2:$G$500,2,FALSE),""))</x:f>
      </x:c>
      <x:c r="E39" s="36" t="str">
        <x:f>IF(C39="","",IFERROR(VLOOKUP(C39,'SẢN_PHẨM'!$A$2:$G$500,3,FALSE),""))</x:f>
      </x:c>
      <x:c r="F39" s="39"/>
      <x:c r="G39" s="44"/>
      <x:c r="H39" s="35" t="str">
        <x:f>IF(OR(F39="",G39=""),"",F39*G39)</x:f>
      </x:c>
      <x:c r="I39" s="36" t="str">
        <x:f>IF(A39="","",SUMIFS('CHI_TIẾT_GIAO_HÀNG'!$D$2:$D$500,'CHI_TIẾT_GIAO_HÀNG'!$C$2:$C$500,A39,'CHI_TIẾT_GIAO_HÀNG'!$E$2:$E$500,"ĐÃ GIAO"))</x:f>
      </x:c>
      <x:c r="J39" s="36" t="str">
        <x:f>IF(A39="","",MAX(0,F39-I39))</x:f>
      </x:c>
      <x:c r="K39" s="35" t="str">
        <x:f>IF(A39="","",H39-(F39*IFERROR(VLOOKUP(C39,'SẢN_PHẨM'!$A$2:$G$500,5,FALSE),0)))</x:f>
      </x:c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36" t="str">
        <x:f>IF(C40="","",IFERROR(VLOOKUP(C40,'SẢN_PHẨM'!$A$2:$G$500,2,FALSE),""))</x:f>
      </x:c>
      <x:c r="E40" s="36" t="str">
        <x:f>IF(C40="","",IFERROR(VLOOKUP(C40,'SẢN_PHẨM'!$A$2:$G$500,3,FALSE),""))</x:f>
      </x:c>
      <x:c r="F40" s="39"/>
      <x:c r="G40" s="44"/>
      <x:c r="H40" s="35" t="str">
        <x:f>IF(OR(F40="",G40=""),"",F40*G40)</x:f>
      </x:c>
      <x:c r="I40" s="36" t="str">
        <x:f>IF(A40="","",SUMIFS('CHI_TIẾT_GIAO_HÀNG'!$D$2:$D$500,'CHI_TIẾT_GIAO_HÀNG'!$C$2:$C$500,A40,'CHI_TIẾT_GIAO_HÀNG'!$E$2:$E$500,"ĐÃ GIAO"))</x:f>
      </x:c>
      <x:c r="J40" s="36" t="str">
        <x:f>IF(A40="","",MAX(0,F40-I40))</x:f>
      </x:c>
      <x:c r="K40" s="35" t="str">
        <x:f>IF(A40="","",H40-(F40*IFERROR(VLOOKUP(C40,'SẢN_PHẨM'!$A$2:$G$500,5,FALSE),0)))</x:f>
      </x:c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36" t="str">
        <x:f>IF(C41="","",IFERROR(VLOOKUP(C41,'SẢN_PHẨM'!$A$2:$G$500,2,FALSE),""))</x:f>
      </x:c>
      <x:c r="E41" s="36" t="str">
        <x:f>IF(C41="","",IFERROR(VLOOKUP(C41,'SẢN_PHẨM'!$A$2:$G$500,3,FALSE),""))</x:f>
      </x:c>
      <x:c r="F41" s="39"/>
      <x:c r="G41" s="44"/>
      <x:c r="H41" s="35" t="str">
        <x:f>IF(OR(F41="",G41=""),"",F41*G41)</x:f>
      </x:c>
      <x:c r="I41" s="36" t="str">
        <x:f>IF(A41="","",SUMIFS('CHI_TIẾT_GIAO_HÀNG'!$D$2:$D$500,'CHI_TIẾT_GIAO_HÀNG'!$C$2:$C$500,A41,'CHI_TIẾT_GIAO_HÀNG'!$E$2:$E$500,"ĐÃ GIAO"))</x:f>
      </x:c>
      <x:c r="J41" s="36" t="str">
        <x:f>IF(A41="","",MAX(0,F41-I41))</x:f>
      </x:c>
      <x:c r="K41" s="35" t="str">
        <x:f>IF(A41="","",H41-(F41*IFERROR(VLOOKUP(C41,'SẢN_PHẨM'!$A$2:$G$500,5,FALSE),0)))</x:f>
      </x:c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36" t="str">
        <x:f>IF(C42="","",IFERROR(VLOOKUP(C42,'SẢN_PHẨM'!$A$2:$G$500,2,FALSE),""))</x:f>
      </x:c>
      <x:c r="E42" s="36" t="str">
        <x:f>IF(C42="","",IFERROR(VLOOKUP(C42,'SẢN_PHẨM'!$A$2:$G$500,3,FALSE),""))</x:f>
      </x:c>
      <x:c r="F42" s="39"/>
      <x:c r="G42" s="44"/>
      <x:c r="H42" s="35" t="str">
        <x:f>IF(OR(F42="",G42=""),"",F42*G42)</x:f>
      </x:c>
      <x:c r="I42" s="36" t="str">
        <x:f>IF(A42="","",SUMIFS('CHI_TIẾT_GIAO_HÀNG'!$D$2:$D$500,'CHI_TIẾT_GIAO_HÀNG'!$C$2:$C$500,A42,'CHI_TIẾT_GIAO_HÀNG'!$E$2:$E$500,"ĐÃ GIAO"))</x:f>
      </x:c>
      <x:c r="J42" s="36" t="str">
        <x:f>IF(A42="","",MAX(0,F42-I42))</x:f>
      </x:c>
      <x:c r="K42" s="35" t="str">
        <x:f>IF(A42="","",H42-(F42*IFERROR(VLOOKUP(C42,'SẢN_PHẨM'!$A$2:$G$500,5,FALSE),0)))</x:f>
      </x:c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36" t="str">
        <x:f>IF(C43="","",IFERROR(VLOOKUP(C43,'SẢN_PHẨM'!$A$2:$G$500,2,FALSE),""))</x:f>
      </x:c>
      <x:c r="E43" s="36" t="str">
        <x:f>IF(C43="","",IFERROR(VLOOKUP(C43,'SẢN_PHẨM'!$A$2:$G$500,3,FALSE),""))</x:f>
      </x:c>
      <x:c r="F43" s="39"/>
      <x:c r="G43" s="44"/>
      <x:c r="H43" s="35" t="str">
        <x:f>IF(OR(F43="",G43=""),"",F43*G43)</x:f>
      </x:c>
      <x:c r="I43" s="36" t="str">
        <x:f>IF(A43="","",SUMIFS('CHI_TIẾT_GIAO_HÀNG'!$D$2:$D$500,'CHI_TIẾT_GIAO_HÀNG'!$C$2:$C$500,A43,'CHI_TIẾT_GIAO_HÀNG'!$E$2:$E$500,"ĐÃ GIAO"))</x:f>
      </x:c>
      <x:c r="J43" s="36" t="str">
        <x:f>IF(A43="","",MAX(0,F43-I43))</x:f>
      </x:c>
      <x:c r="K43" s="35" t="str">
        <x:f>IF(A43="","",H43-(F43*IFERROR(VLOOKUP(C43,'SẢN_PHẨM'!$A$2:$G$500,5,FALSE),0)))</x:f>
      </x:c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36" t="str">
        <x:f>IF(C44="","",IFERROR(VLOOKUP(C44,'SẢN_PHẨM'!$A$2:$G$500,2,FALSE),""))</x:f>
      </x:c>
      <x:c r="E44" s="36" t="str">
        <x:f>IF(C44="","",IFERROR(VLOOKUP(C44,'SẢN_PHẨM'!$A$2:$G$500,3,FALSE),""))</x:f>
      </x:c>
      <x:c r="F44" s="39"/>
      <x:c r="G44" s="44"/>
      <x:c r="H44" s="35" t="str">
        <x:f>IF(OR(F44="",G44=""),"",F44*G44)</x:f>
      </x:c>
      <x:c r="I44" s="36" t="str">
        <x:f>IF(A44="","",SUMIFS('CHI_TIẾT_GIAO_HÀNG'!$D$2:$D$500,'CHI_TIẾT_GIAO_HÀNG'!$C$2:$C$500,A44,'CHI_TIẾT_GIAO_HÀNG'!$E$2:$E$500,"ĐÃ GIAO"))</x:f>
      </x:c>
      <x:c r="J44" s="36" t="str">
        <x:f>IF(A44="","",MAX(0,F44-I44))</x:f>
      </x:c>
      <x:c r="K44" s="35" t="str">
        <x:f>IF(A44="","",H44-(F44*IFERROR(VLOOKUP(C44,'SẢN_PHẨM'!$A$2:$G$500,5,FALSE),0)))</x:f>
      </x:c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36" t="str">
        <x:f>IF(C45="","",IFERROR(VLOOKUP(C45,'SẢN_PHẨM'!$A$2:$G$500,2,FALSE),""))</x:f>
      </x:c>
      <x:c r="E45" s="36" t="str">
        <x:f>IF(C45="","",IFERROR(VLOOKUP(C45,'SẢN_PHẨM'!$A$2:$G$500,3,FALSE),""))</x:f>
      </x:c>
      <x:c r="F45" s="39"/>
      <x:c r="G45" s="44"/>
      <x:c r="H45" s="35" t="str">
        <x:f>IF(OR(F45="",G45=""),"",F45*G45)</x:f>
      </x:c>
      <x:c r="I45" s="36" t="str">
        <x:f>IF(A45="","",SUMIFS('CHI_TIẾT_GIAO_HÀNG'!$D$2:$D$500,'CHI_TIẾT_GIAO_HÀNG'!$C$2:$C$500,A45,'CHI_TIẾT_GIAO_HÀNG'!$E$2:$E$500,"ĐÃ GIAO"))</x:f>
      </x:c>
      <x:c r="J45" s="36" t="str">
        <x:f>IF(A45="","",MAX(0,F45-I45))</x:f>
      </x:c>
      <x:c r="K45" s="35" t="str">
        <x:f>IF(A45="","",H45-(F45*IFERROR(VLOOKUP(C45,'SẢN_PHẨM'!$A$2:$G$500,5,FALSE),0)))</x:f>
      </x:c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36" t="str">
        <x:f>IF(C46="","",IFERROR(VLOOKUP(C46,'SẢN_PHẨM'!$A$2:$G$500,2,FALSE),""))</x:f>
      </x:c>
      <x:c r="E46" s="36" t="str">
        <x:f>IF(C46="","",IFERROR(VLOOKUP(C46,'SẢN_PHẨM'!$A$2:$G$500,3,FALSE),""))</x:f>
      </x:c>
      <x:c r="F46" s="39"/>
      <x:c r="G46" s="44"/>
      <x:c r="H46" s="35" t="str">
        <x:f>IF(OR(F46="",G46=""),"",F46*G46)</x:f>
      </x:c>
      <x:c r="I46" s="36" t="str">
        <x:f>IF(A46="","",SUMIFS('CHI_TIẾT_GIAO_HÀNG'!$D$2:$D$500,'CHI_TIẾT_GIAO_HÀNG'!$C$2:$C$500,A46,'CHI_TIẾT_GIAO_HÀNG'!$E$2:$E$500,"ĐÃ GIAO"))</x:f>
      </x:c>
      <x:c r="J46" s="36" t="str">
        <x:f>IF(A46="","",MAX(0,F46-I46))</x:f>
      </x:c>
      <x:c r="K46" s="35" t="str">
        <x:f>IF(A46="","",H46-(F46*IFERROR(VLOOKUP(C46,'SẢN_PHẨM'!$A$2:$G$500,5,FALSE),0)))</x:f>
      </x:c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36" t="str">
        <x:f>IF(C47="","",IFERROR(VLOOKUP(C47,'SẢN_PHẨM'!$A$2:$G$500,2,FALSE),""))</x:f>
      </x:c>
      <x:c r="E47" s="36" t="str">
        <x:f>IF(C47="","",IFERROR(VLOOKUP(C47,'SẢN_PHẨM'!$A$2:$G$500,3,FALSE),""))</x:f>
      </x:c>
      <x:c r="F47" s="39"/>
      <x:c r="G47" s="44"/>
      <x:c r="H47" s="35" t="str">
        <x:f>IF(OR(F47="",G47=""),"",F47*G47)</x:f>
      </x:c>
      <x:c r="I47" s="36" t="str">
        <x:f>IF(A47="","",SUMIFS('CHI_TIẾT_GIAO_HÀNG'!$D$2:$D$500,'CHI_TIẾT_GIAO_HÀNG'!$C$2:$C$500,A47,'CHI_TIẾT_GIAO_HÀNG'!$E$2:$E$500,"ĐÃ GIAO"))</x:f>
      </x:c>
      <x:c r="J47" s="36" t="str">
        <x:f>IF(A47="","",MAX(0,F47-I47))</x:f>
      </x:c>
      <x:c r="K47" s="35" t="str">
        <x:f>IF(A47="","",H47-(F47*IFERROR(VLOOKUP(C47,'SẢN_PHẨM'!$A$2:$G$500,5,FALSE),0)))</x:f>
      </x:c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36" t="str">
        <x:f>IF(C48="","",IFERROR(VLOOKUP(C48,'SẢN_PHẨM'!$A$2:$G$500,2,FALSE),""))</x:f>
      </x:c>
      <x:c r="E48" s="36" t="str">
        <x:f>IF(C48="","",IFERROR(VLOOKUP(C48,'SẢN_PHẨM'!$A$2:$G$500,3,FALSE),""))</x:f>
      </x:c>
      <x:c r="F48" s="39"/>
      <x:c r="G48" s="44"/>
      <x:c r="H48" s="35" t="str">
        <x:f>IF(OR(F48="",G48=""),"",F48*G48)</x:f>
      </x:c>
      <x:c r="I48" s="36" t="str">
        <x:f>IF(A48="","",SUMIFS('CHI_TIẾT_GIAO_HÀNG'!$D$2:$D$500,'CHI_TIẾT_GIAO_HÀNG'!$C$2:$C$500,A48,'CHI_TIẾT_GIAO_HÀNG'!$E$2:$E$500,"ĐÃ GIAO"))</x:f>
      </x:c>
      <x:c r="J48" s="36" t="str">
        <x:f>IF(A48="","",MAX(0,F48-I48))</x:f>
      </x:c>
      <x:c r="K48" s="35" t="str">
        <x:f>IF(A48="","",H48-(F48*IFERROR(VLOOKUP(C48,'SẢN_PHẨM'!$A$2:$G$500,5,FALSE),0)))</x:f>
      </x:c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36" t="str">
        <x:f>IF(C49="","",IFERROR(VLOOKUP(C49,'SẢN_PHẨM'!$A$2:$G$500,2,FALSE),""))</x:f>
      </x:c>
      <x:c r="E49" s="36" t="str">
        <x:f>IF(C49="","",IFERROR(VLOOKUP(C49,'SẢN_PHẨM'!$A$2:$G$500,3,FALSE),""))</x:f>
      </x:c>
      <x:c r="F49" s="39"/>
      <x:c r="G49" s="44"/>
      <x:c r="H49" s="35" t="str">
        <x:f>IF(OR(F49="",G49=""),"",F49*G49)</x:f>
      </x:c>
      <x:c r="I49" s="36" t="str">
        <x:f>IF(A49="","",SUMIFS('CHI_TIẾT_GIAO_HÀNG'!$D$2:$D$500,'CHI_TIẾT_GIAO_HÀNG'!$C$2:$C$500,A49,'CHI_TIẾT_GIAO_HÀNG'!$E$2:$E$500,"ĐÃ GIAO"))</x:f>
      </x:c>
      <x:c r="J49" s="36" t="str">
        <x:f>IF(A49="","",MAX(0,F49-I49))</x:f>
      </x:c>
      <x:c r="K49" s="35" t="str">
        <x:f>IF(A49="","",H49-(F49*IFERROR(VLOOKUP(C49,'SẢN_PHẨM'!$A$2:$G$500,5,FALSE),0)))</x:f>
      </x:c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36" t="str">
        <x:f>IF(C50="","",IFERROR(VLOOKUP(C50,'SẢN_PHẨM'!$A$2:$G$500,2,FALSE),""))</x:f>
      </x:c>
      <x:c r="E50" s="36" t="str">
        <x:f>IF(C50="","",IFERROR(VLOOKUP(C50,'SẢN_PHẨM'!$A$2:$G$500,3,FALSE),""))</x:f>
      </x:c>
      <x:c r="F50" s="39"/>
      <x:c r="G50" s="44"/>
      <x:c r="H50" s="35" t="str">
        <x:f>IF(OR(F50="",G50=""),"",F50*G50)</x:f>
      </x:c>
      <x:c r="I50" s="36" t="str">
        <x:f>IF(A50="","",SUMIFS('CHI_TIẾT_GIAO_HÀNG'!$D$2:$D$500,'CHI_TIẾT_GIAO_HÀNG'!$C$2:$C$500,A50,'CHI_TIẾT_GIAO_HÀNG'!$E$2:$E$500,"ĐÃ GIAO"))</x:f>
      </x:c>
      <x:c r="J50" s="36" t="str">
        <x:f>IF(A50="","",MAX(0,F50-I50))</x:f>
      </x:c>
      <x:c r="K50" s="35" t="str">
        <x:f>IF(A50="","",H50-(F50*IFERROR(VLOOKUP(C50,'SẢN_PHẨM'!$A$2:$G$500,5,FALSE),0)))</x:f>
      </x:c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36" t="str">
        <x:f>IF(C51="","",IFERROR(VLOOKUP(C51,'SẢN_PHẨM'!$A$2:$G$500,2,FALSE),""))</x:f>
      </x:c>
      <x:c r="E51" s="36" t="str">
        <x:f>IF(C51="","",IFERROR(VLOOKUP(C51,'SẢN_PHẨM'!$A$2:$G$500,3,FALSE),""))</x:f>
      </x:c>
      <x:c r="F51" s="39"/>
      <x:c r="G51" s="44"/>
      <x:c r="H51" s="35" t="str">
        <x:f>IF(OR(F51="",G51=""),"",F51*G51)</x:f>
      </x:c>
      <x:c r="I51" s="36" t="str">
        <x:f>IF(A51="","",SUMIFS('CHI_TIẾT_GIAO_HÀNG'!$D$2:$D$500,'CHI_TIẾT_GIAO_HÀNG'!$C$2:$C$500,A51,'CHI_TIẾT_GIAO_HÀNG'!$E$2:$E$500,"ĐÃ GIAO"))</x:f>
      </x:c>
      <x:c r="J51" s="36" t="str">
        <x:f>IF(A51="","",MAX(0,F51-I51))</x:f>
      </x:c>
      <x:c r="K51" s="35" t="str">
        <x:f>IF(A51="","",H51-(F51*IFERROR(VLOOKUP(C51,'SẢN_PHẨM'!$A$2:$G$500,5,FALSE),0)))</x:f>
      </x:c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36" t="str">
        <x:f>IF(C52="","",IFERROR(VLOOKUP(C52,'SẢN_PHẨM'!$A$2:$G$500,2,FALSE),""))</x:f>
      </x:c>
      <x:c r="E52" s="36" t="str">
        <x:f>IF(C52="","",IFERROR(VLOOKUP(C52,'SẢN_PHẨM'!$A$2:$G$500,3,FALSE),""))</x:f>
      </x:c>
      <x:c r="F52" s="39"/>
      <x:c r="G52" s="44"/>
      <x:c r="H52" s="35" t="str">
        <x:f>IF(OR(F52="",G52=""),"",F52*G52)</x:f>
      </x:c>
      <x:c r="I52" s="36" t="str">
        <x:f>IF(A52="","",SUMIFS('CHI_TIẾT_GIAO_HÀNG'!$D$2:$D$500,'CHI_TIẾT_GIAO_HÀNG'!$C$2:$C$500,A52,'CHI_TIẾT_GIAO_HÀNG'!$E$2:$E$500,"ĐÃ GIAO"))</x:f>
      </x:c>
      <x:c r="J52" s="36" t="str">
        <x:f>IF(A52="","",MAX(0,F52-I52))</x:f>
      </x:c>
      <x:c r="K52" s="35" t="str">
        <x:f>IF(A52="","",H52-(F52*IFERROR(VLOOKUP(C52,'SẢN_PHẨM'!$A$2:$G$500,5,FALSE),0)))</x:f>
      </x:c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36" t="str">
        <x:f>IF(C53="","",IFERROR(VLOOKUP(C53,'SẢN_PHẨM'!$A$2:$G$500,2,FALSE),""))</x:f>
      </x:c>
      <x:c r="E53" s="36" t="str">
        <x:f>IF(C53="","",IFERROR(VLOOKUP(C53,'SẢN_PHẨM'!$A$2:$G$500,3,FALSE),""))</x:f>
      </x:c>
      <x:c r="F53" s="39"/>
      <x:c r="G53" s="44"/>
      <x:c r="H53" s="35" t="str">
        <x:f>IF(OR(F53="",G53=""),"",F53*G53)</x:f>
      </x:c>
      <x:c r="I53" s="36" t="str">
        <x:f>IF(A53="","",SUMIFS('CHI_TIẾT_GIAO_HÀNG'!$D$2:$D$500,'CHI_TIẾT_GIAO_HÀNG'!$C$2:$C$500,A53,'CHI_TIẾT_GIAO_HÀNG'!$E$2:$E$500,"ĐÃ GIAO"))</x:f>
      </x:c>
      <x:c r="J53" s="36" t="str">
        <x:f>IF(A53="","",MAX(0,F53-I53))</x:f>
      </x:c>
      <x:c r="K53" s="35" t="str">
        <x:f>IF(A53="","",H53-(F53*IFERROR(VLOOKUP(C53,'SẢN_PHẨM'!$A$2:$G$500,5,FALSE),0)))</x:f>
      </x:c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36" t="str">
        <x:f>IF(C54="","",IFERROR(VLOOKUP(C54,'SẢN_PHẨM'!$A$2:$G$500,2,FALSE),""))</x:f>
      </x:c>
      <x:c r="E54" s="36" t="str">
        <x:f>IF(C54="","",IFERROR(VLOOKUP(C54,'SẢN_PHẨM'!$A$2:$G$500,3,FALSE),""))</x:f>
      </x:c>
      <x:c r="F54" s="39"/>
      <x:c r="G54" s="44"/>
      <x:c r="H54" s="35" t="str">
        <x:f>IF(OR(F54="",G54=""),"",F54*G54)</x:f>
      </x:c>
      <x:c r="I54" s="36" t="str">
        <x:f>IF(A54="","",SUMIFS('CHI_TIẾT_GIAO_HÀNG'!$D$2:$D$500,'CHI_TIẾT_GIAO_HÀNG'!$C$2:$C$500,A54,'CHI_TIẾT_GIAO_HÀNG'!$E$2:$E$500,"ĐÃ GIAO"))</x:f>
      </x:c>
      <x:c r="J54" s="36" t="str">
        <x:f>IF(A54="","",MAX(0,F54-I54))</x:f>
      </x:c>
      <x:c r="K54" s="35" t="str">
        <x:f>IF(A54="","",H54-(F54*IFERROR(VLOOKUP(C54,'SẢN_PHẨM'!$A$2:$G$500,5,FALSE),0)))</x:f>
      </x:c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36" t="str">
        <x:f>IF(C55="","",IFERROR(VLOOKUP(C55,'SẢN_PHẨM'!$A$2:$G$500,2,FALSE),""))</x:f>
      </x:c>
      <x:c r="E55" s="36" t="str">
        <x:f>IF(C55="","",IFERROR(VLOOKUP(C55,'SẢN_PHẨM'!$A$2:$G$500,3,FALSE),""))</x:f>
      </x:c>
      <x:c r="F55" s="39"/>
      <x:c r="G55" s="44"/>
      <x:c r="H55" s="35" t="str">
        <x:f>IF(OR(F55="",G55=""),"",F55*G55)</x:f>
      </x:c>
      <x:c r="I55" s="36" t="str">
        <x:f>IF(A55="","",SUMIFS('CHI_TIẾT_GIAO_HÀNG'!$D$2:$D$500,'CHI_TIẾT_GIAO_HÀNG'!$C$2:$C$500,A55,'CHI_TIẾT_GIAO_HÀNG'!$E$2:$E$500,"ĐÃ GIAO"))</x:f>
      </x:c>
      <x:c r="J55" s="36" t="str">
        <x:f>IF(A55="","",MAX(0,F55-I55))</x:f>
      </x:c>
      <x:c r="K55" s="35" t="str">
        <x:f>IF(A55="","",H55-(F55*IFERROR(VLOOKUP(C55,'SẢN_PHẨM'!$A$2:$G$500,5,FALSE),0)))</x:f>
      </x:c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36" t="str">
        <x:f>IF(C56="","",IFERROR(VLOOKUP(C56,'SẢN_PHẨM'!$A$2:$G$500,2,FALSE),""))</x:f>
      </x:c>
      <x:c r="E56" s="36" t="str">
        <x:f>IF(C56="","",IFERROR(VLOOKUP(C56,'SẢN_PHẨM'!$A$2:$G$500,3,FALSE),""))</x:f>
      </x:c>
      <x:c r="F56" s="39"/>
      <x:c r="G56" s="44"/>
      <x:c r="H56" s="35" t="str">
        <x:f>IF(OR(F56="",G56=""),"",F56*G56)</x:f>
      </x:c>
      <x:c r="I56" s="36" t="str">
        <x:f>IF(A56="","",SUMIFS('CHI_TIẾT_GIAO_HÀNG'!$D$2:$D$500,'CHI_TIẾT_GIAO_HÀNG'!$C$2:$C$500,A56,'CHI_TIẾT_GIAO_HÀNG'!$E$2:$E$500,"ĐÃ GIAO"))</x:f>
      </x:c>
      <x:c r="J56" s="36" t="str">
        <x:f>IF(A56="","",MAX(0,F56-I56))</x:f>
      </x:c>
      <x:c r="K56" s="35" t="str">
        <x:f>IF(A56="","",H56-(F56*IFERROR(VLOOKUP(C56,'SẢN_PHẨM'!$A$2:$G$500,5,FALSE),0)))</x:f>
      </x:c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36" t="str">
        <x:f>IF(C57="","",IFERROR(VLOOKUP(C57,'SẢN_PHẨM'!$A$2:$G$500,2,FALSE),""))</x:f>
      </x:c>
      <x:c r="E57" s="36" t="str">
        <x:f>IF(C57="","",IFERROR(VLOOKUP(C57,'SẢN_PHẨM'!$A$2:$G$500,3,FALSE),""))</x:f>
      </x:c>
      <x:c r="F57" s="39"/>
      <x:c r="G57" s="44"/>
      <x:c r="H57" s="35" t="str">
        <x:f>IF(OR(F57="",G57=""),"",F57*G57)</x:f>
      </x:c>
      <x:c r="I57" s="36" t="str">
        <x:f>IF(A57="","",SUMIFS('CHI_TIẾT_GIAO_HÀNG'!$D$2:$D$500,'CHI_TIẾT_GIAO_HÀNG'!$C$2:$C$500,A57,'CHI_TIẾT_GIAO_HÀNG'!$E$2:$E$500,"ĐÃ GIAO"))</x:f>
      </x:c>
      <x:c r="J57" s="36" t="str">
        <x:f>IF(A57="","",MAX(0,F57-I57))</x:f>
      </x:c>
      <x:c r="K57" s="35" t="str">
        <x:f>IF(A57="","",H57-(F57*IFERROR(VLOOKUP(C57,'SẢN_PHẨM'!$A$2:$G$500,5,FALSE),0)))</x:f>
      </x:c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36" t="str">
        <x:f>IF(C58="","",IFERROR(VLOOKUP(C58,'SẢN_PHẨM'!$A$2:$G$500,2,FALSE),""))</x:f>
      </x:c>
      <x:c r="E58" s="36" t="str">
        <x:f>IF(C58="","",IFERROR(VLOOKUP(C58,'SẢN_PHẨM'!$A$2:$G$500,3,FALSE),""))</x:f>
      </x:c>
      <x:c r="F58" s="39"/>
      <x:c r="G58" s="44"/>
      <x:c r="H58" s="35" t="str">
        <x:f>IF(OR(F58="",G58=""),"",F58*G58)</x:f>
      </x:c>
      <x:c r="I58" s="36" t="str">
        <x:f>IF(A58="","",SUMIFS('CHI_TIẾT_GIAO_HÀNG'!$D$2:$D$500,'CHI_TIẾT_GIAO_HÀNG'!$C$2:$C$500,A58,'CHI_TIẾT_GIAO_HÀNG'!$E$2:$E$500,"ĐÃ GIAO"))</x:f>
      </x:c>
      <x:c r="J58" s="36" t="str">
        <x:f>IF(A58="","",MAX(0,F58-I58))</x:f>
      </x:c>
      <x:c r="K58" s="35" t="str">
        <x:f>IF(A58="","",H58-(F58*IFERROR(VLOOKUP(C58,'SẢN_PHẨM'!$A$2:$G$500,5,FALSE),0)))</x:f>
      </x:c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36" t="str">
        <x:f>IF(C59="","",IFERROR(VLOOKUP(C59,'SẢN_PHẨM'!$A$2:$G$500,2,FALSE),""))</x:f>
      </x:c>
      <x:c r="E59" s="36" t="str">
        <x:f>IF(C59="","",IFERROR(VLOOKUP(C59,'SẢN_PHẨM'!$A$2:$G$500,3,FALSE),""))</x:f>
      </x:c>
      <x:c r="F59" s="39"/>
      <x:c r="G59" s="44"/>
      <x:c r="H59" s="35" t="str">
        <x:f>IF(OR(F59="",G59=""),"",F59*G59)</x:f>
      </x:c>
      <x:c r="I59" s="36" t="str">
        <x:f>IF(A59="","",SUMIFS('CHI_TIẾT_GIAO_HÀNG'!$D$2:$D$500,'CHI_TIẾT_GIAO_HÀNG'!$C$2:$C$500,A59,'CHI_TIẾT_GIAO_HÀNG'!$E$2:$E$500,"ĐÃ GIAO"))</x:f>
      </x:c>
      <x:c r="J59" s="36" t="str">
        <x:f>IF(A59="","",MAX(0,F59-I59))</x:f>
      </x:c>
      <x:c r="K59" s="35" t="str">
        <x:f>IF(A59="","",H59-(F59*IFERROR(VLOOKUP(C59,'SẢN_PHẨM'!$A$2:$G$500,5,FALSE),0)))</x:f>
      </x:c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36" t="str">
        <x:f>IF(C60="","",IFERROR(VLOOKUP(C60,'SẢN_PHẨM'!$A$2:$G$500,2,FALSE),""))</x:f>
      </x:c>
      <x:c r="E60" s="36" t="str">
        <x:f>IF(C60="","",IFERROR(VLOOKUP(C60,'SẢN_PHẨM'!$A$2:$G$500,3,FALSE),""))</x:f>
      </x:c>
      <x:c r="F60" s="39"/>
      <x:c r="G60" s="44"/>
      <x:c r="H60" s="35" t="str">
        <x:f>IF(OR(F60="",G60=""),"",F60*G60)</x:f>
      </x:c>
      <x:c r="I60" s="36" t="str">
        <x:f>IF(A60="","",SUMIFS('CHI_TIẾT_GIAO_HÀNG'!$D$2:$D$500,'CHI_TIẾT_GIAO_HÀNG'!$C$2:$C$500,A60,'CHI_TIẾT_GIAO_HÀNG'!$E$2:$E$500,"ĐÃ GIAO"))</x:f>
      </x:c>
      <x:c r="J60" s="36" t="str">
        <x:f>IF(A60="","",MAX(0,F60-I60))</x:f>
      </x:c>
      <x:c r="K60" s="35" t="str">
        <x:f>IF(A60="","",H60-(F60*IFERROR(VLOOKUP(C60,'SẢN_PHẨM'!$A$2:$G$500,5,FALSE),0)))</x:f>
      </x:c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36" t="str">
        <x:f>IF(C61="","",IFERROR(VLOOKUP(C61,'SẢN_PHẨM'!$A$2:$G$500,2,FALSE),""))</x:f>
      </x:c>
      <x:c r="E61" s="36" t="str">
        <x:f>IF(C61="","",IFERROR(VLOOKUP(C61,'SẢN_PHẨM'!$A$2:$G$500,3,FALSE),""))</x:f>
      </x:c>
      <x:c r="F61" s="39"/>
      <x:c r="G61" s="44"/>
      <x:c r="H61" s="35" t="str">
        <x:f>IF(OR(F61="",G61=""),"",F61*G61)</x:f>
      </x:c>
      <x:c r="I61" s="36" t="str">
        <x:f>IF(A61="","",SUMIFS('CHI_TIẾT_GIAO_HÀNG'!$D$2:$D$500,'CHI_TIẾT_GIAO_HÀNG'!$C$2:$C$500,A61,'CHI_TIẾT_GIAO_HÀNG'!$E$2:$E$500,"ĐÃ GIAO"))</x:f>
      </x:c>
      <x:c r="J61" s="36" t="str">
        <x:f>IF(A61="","",MAX(0,F61-I61))</x:f>
      </x:c>
      <x:c r="K61" s="35" t="str">
        <x:f>IF(A61="","",H61-(F61*IFERROR(VLOOKUP(C61,'SẢN_PHẨM'!$A$2:$G$500,5,FALSE),0)))</x:f>
      </x:c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36" t="str">
        <x:f>IF(C62="","",IFERROR(VLOOKUP(C62,'SẢN_PHẨM'!$A$2:$G$500,2,FALSE),""))</x:f>
      </x:c>
      <x:c r="E62" s="36" t="str">
        <x:f>IF(C62="","",IFERROR(VLOOKUP(C62,'SẢN_PHẨM'!$A$2:$G$500,3,FALSE),""))</x:f>
      </x:c>
      <x:c r="F62" s="39"/>
      <x:c r="G62" s="44"/>
      <x:c r="H62" s="35" t="str">
        <x:f>IF(OR(F62="",G62=""),"",F62*G62)</x:f>
      </x:c>
      <x:c r="I62" s="36" t="str">
        <x:f>IF(A62="","",SUMIFS('CHI_TIẾT_GIAO_HÀNG'!$D$2:$D$500,'CHI_TIẾT_GIAO_HÀNG'!$C$2:$C$500,A62,'CHI_TIẾT_GIAO_HÀNG'!$E$2:$E$500,"ĐÃ GIAO"))</x:f>
      </x:c>
      <x:c r="J62" s="36" t="str">
        <x:f>IF(A62="","",MAX(0,F62-I62))</x:f>
      </x:c>
      <x:c r="K62" s="35" t="str">
        <x:f>IF(A62="","",H62-(F62*IFERROR(VLOOKUP(C62,'SẢN_PHẨM'!$A$2:$G$500,5,FALSE),0)))</x:f>
      </x:c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36" t="str">
        <x:f>IF(C63="","",IFERROR(VLOOKUP(C63,'SẢN_PHẨM'!$A$2:$G$500,2,FALSE),""))</x:f>
      </x:c>
      <x:c r="E63" s="36" t="str">
        <x:f>IF(C63="","",IFERROR(VLOOKUP(C63,'SẢN_PHẨM'!$A$2:$G$500,3,FALSE),""))</x:f>
      </x:c>
      <x:c r="F63" s="39"/>
      <x:c r="G63" s="44"/>
      <x:c r="H63" s="35" t="str">
        <x:f>IF(OR(F63="",G63=""),"",F63*G63)</x:f>
      </x:c>
      <x:c r="I63" s="36" t="str">
        <x:f>IF(A63="","",SUMIFS('CHI_TIẾT_GIAO_HÀNG'!$D$2:$D$500,'CHI_TIẾT_GIAO_HÀNG'!$C$2:$C$500,A63,'CHI_TIẾT_GIAO_HÀNG'!$E$2:$E$500,"ĐÃ GIAO"))</x:f>
      </x:c>
      <x:c r="J63" s="36" t="str">
        <x:f>IF(A63="","",MAX(0,F63-I63))</x:f>
      </x:c>
      <x:c r="K63" s="35" t="str">
        <x:f>IF(A63="","",H63-(F63*IFERROR(VLOOKUP(C63,'SẢN_PHẨM'!$A$2:$G$500,5,FALSE),0)))</x:f>
      </x:c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36" t="str">
        <x:f>IF(C64="","",IFERROR(VLOOKUP(C64,'SẢN_PHẨM'!$A$2:$G$500,2,FALSE),""))</x:f>
      </x:c>
      <x:c r="E64" s="36" t="str">
        <x:f>IF(C64="","",IFERROR(VLOOKUP(C64,'SẢN_PHẨM'!$A$2:$G$500,3,FALSE),""))</x:f>
      </x:c>
      <x:c r="F64" s="39"/>
      <x:c r="G64" s="44"/>
      <x:c r="H64" s="35" t="str">
        <x:f>IF(OR(F64="",G64=""),"",F64*G64)</x:f>
      </x:c>
      <x:c r="I64" s="36" t="str">
        <x:f>IF(A64="","",SUMIFS('CHI_TIẾT_GIAO_HÀNG'!$D$2:$D$500,'CHI_TIẾT_GIAO_HÀNG'!$C$2:$C$500,A64,'CHI_TIẾT_GIAO_HÀNG'!$E$2:$E$500,"ĐÃ GIAO"))</x:f>
      </x:c>
      <x:c r="J64" s="36" t="str">
        <x:f>IF(A64="","",MAX(0,F64-I64))</x:f>
      </x:c>
      <x:c r="K64" s="35" t="str">
        <x:f>IF(A64="","",H64-(F64*IFERROR(VLOOKUP(C64,'SẢN_PHẨM'!$A$2:$G$500,5,FALSE),0)))</x:f>
      </x:c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36" t="str">
        <x:f>IF(C65="","",IFERROR(VLOOKUP(C65,'SẢN_PHẨM'!$A$2:$G$500,2,FALSE),""))</x:f>
      </x:c>
      <x:c r="E65" s="36" t="str">
        <x:f>IF(C65="","",IFERROR(VLOOKUP(C65,'SẢN_PHẨM'!$A$2:$G$500,3,FALSE),""))</x:f>
      </x:c>
      <x:c r="F65" s="39"/>
      <x:c r="G65" s="44"/>
      <x:c r="H65" s="35" t="str">
        <x:f>IF(OR(F65="",G65=""),"",F65*G65)</x:f>
      </x:c>
      <x:c r="I65" s="36" t="str">
        <x:f>IF(A65="","",SUMIFS('CHI_TIẾT_GIAO_HÀNG'!$D$2:$D$500,'CHI_TIẾT_GIAO_HÀNG'!$C$2:$C$500,A65,'CHI_TIẾT_GIAO_HÀNG'!$E$2:$E$500,"ĐÃ GIAO"))</x:f>
      </x:c>
      <x:c r="J65" s="36" t="str">
        <x:f>IF(A65="","",MAX(0,F65-I65))</x:f>
      </x:c>
      <x:c r="K65" s="35" t="str">
        <x:f>IF(A65="","",H65-(F65*IFERROR(VLOOKUP(C65,'SẢN_PHẨM'!$A$2:$G$500,5,FALSE),0)))</x:f>
      </x:c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36" t="str">
        <x:f>IF(C66="","",IFERROR(VLOOKUP(C66,'SẢN_PHẨM'!$A$2:$G$500,2,FALSE),""))</x:f>
      </x:c>
      <x:c r="E66" s="36" t="str">
        <x:f>IF(C66="","",IFERROR(VLOOKUP(C66,'SẢN_PHẨM'!$A$2:$G$500,3,FALSE),""))</x:f>
      </x:c>
      <x:c r="F66" s="39"/>
      <x:c r="G66" s="44"/>
      <x:c r="H66" s="35" t="str">
        <x:f>IF(OR(F66="",G66=""),"",F66*G66)</x:f>
      </x:c>
      <x:c r="I66" s="36" t="str">
        <x:f>IF(A66="","",SUMIFS('CHI_TIẾT_GIAO_HÀNG'!$D$2:$D$500,'CHI_TIẾT_GIAO_HÀNG'!$C$2:$C$500,A66,'CHI_TIẾT_GIAO_HÀNG'!$E$2:$E$500,"ĐÃ GIAO"))</x:f>
      </x:c>
      <x:c r="J66" s="36" t="str">
        <x:f>IF(A66="","",MAX(0,F66-I66))</x:f>
      </x:c>
      <x:c r="K66" s="35" t="str">
        <x:f>IF(A66="","",H66-(F66*IFERROR(VLOOKUP(C66,'SẢN_PHẨM'!$A$2:$G$500,5,FALSE),0)))</x:f>
      </x:c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36" t="str">
        <x:f>IF(C67="","",IFERROR(VLOOKUP(C67,'SẢN_PHẨM'!$A$2:$G$500,2,FALSE),""))</x:f>
      </x:c>
      <x:c r="E67" s="36" t="str">
        <x:f>IF(C67="","",IFERROR(VLOOKUP(C67,'SẢN_PHẨM'!$A$2:$G$500,3,FALSE),""))</x:f>
      </x:c>
      <x:c r="F67" s="39"/>
      <x:c r="G67" s="44"/>
      <x:c r="H67" s="35" t="str">
        <x:f>IF(OR(F67="",G67=""),"",F67*G67)</x:f>
      </x:c>
      <x:c r="I67" s="36" t="str">
        <x:f>IF(A67="","",SUMIFS('CHI_TIẾT_GIAO_HÀNG'!$D$2:$D$500,'CHI_TIẾT_GIAO_HÀNG'!$C$2:$C$500,A67,'CHI_TIẾT_GIAO_HÀNG'!$E$2:$E$500,"ĐÃ GIAO"))</x:f>
      </x:c>
      <x:c r="J67" s="36" t="str">
        <x:f>IF(A67="","",MAX(0,F67-I67))</x:f>
      </x:c>
      <x:c r="K67" s="35" t="str">
        <x:f>IF(A67="","",H67-(F67*IFERROR(VLOOKUP(C67,'SẢN_PHẨM'!$A$2:$G$500,5,FALSE),0)))</x:f>
      </x:c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36" t="str">
        <x:f>IF(C68="","",IFERROR(VLOOKUP(C68,'SẢN_PHẨM'!$A$2:$G$500,2,FALSE),""))</x:f>
      </x:c>
      <x:c r="E68" s="36" t="str">
        <x:f>IF(C68="","",IFERROR(VLOOKUP(C68,'SẢN_PHẨM'!$A$2:$G$500,3,FALSE),""))</x:f>
      </x:c>
      <x:c r="F68" s="39"/>
      <x:c r="G68" s="44"/>
      <x:c r="H68" s="35" t="str">
        <x:f>IF(OR(F68="",G68=""),"",F68*G68)</x:f>
      </x:c>
      <x:c r="I68" s="36" t="str">
        <x:f>IF(A68="","",SUMIFS('CHI_TIẾT_GIAO_HÀNG'!$D$2:$D$500,'CHI_TIẾT_GIAO_HÀNG'!$C$2:$C$500,A68,'CHI_TIẾT_GIAO_HÀNG'!$E$2:$E$500,"ĐÃ GIAO"))</x:f>
      </x:c>
      <x:c r="J68" s="36" t="str">
        <x:f>IF(A68="","",MAX(0,F68-I68))</x:f>
      </x:c>
      <x:c r="K68" s="35" t="str">
        <x:f>IF(A68="","",H68-(F68*IFERROR(VLOOKUP(C68,'SẢN_PHẨM'!$A$2:$G$500,5,FALSE),0)))</x:f>
      </x:c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36" t="str">
        <x:f>IF(C69="","",IFERROR(VLOOKUP(C69,'SẢN_PHẨM'!$A$2:$G$500,2,FALSE),""))</x:f>
      </x:c>
      <x:c r="E69" s="36" t="str">
        <x:f>IF(C69="","",IFERROR(VLOOKUP(C69,'SẢN_PHẨM'!$A$2:$G$500,3,FALSE),""))</x:f>
      </x:c>
      <x:c r="F69" s="39"/>
      <x:c r="G69" s="44"/>
      <x:c r="H69" s="35" t="str">
        <x:f>IF(OR(F69="",G69=""),"",F69*G69)</x:f>
      </x:c>
      <x:c r="I69" s="36" t="str">
        <x:f>IF(A69="","",SUMIFS('CHI_TIẾT_GIAO_HÀNG'!$D$2:$D$500,'CHI_TIẾT_GIAO_HÀNG'!$C$2:$C$500,A69,'CHI_TIẾT_GIAO_HÀNG'!$E$2:$E$500,"ĐÃ GIAO"))</x:f>
      </x:c>
      <x:c r="J69" s="36" t="str">
        <x:f>IF(A69="","",MAX(0,F69-I69))</x:f>
      </x:c>
      <x:c r="K69" s="35" t="str">
        <x:f>IF(A69="","",H69-(F69*IFERROR(VLOOKUP(C69,'SẢN_PHẨM'!$A$2:$G$500,5,FALSE),0)))</x:f>
      </x:c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36" t="str">
        <x:f>IF(C70="","",IFERROR(VLOOKUP(C70,'SẢN_PHẨM'!$A$2:$G$500,2,FALSE),""))</x:f>
      </x:c>
      <x:c r="E70" s="36" t="str">
        <x:f>IF(C70="","",IFERROR(VLOOKUP(C70,'SẢN_PHẨM'!$A$2:$G$500,3,FALSE),""))</x:f>
      </x:c>
      <x:c r="F70" s="39"/>
      <x:c r="G70" s="44"/>
      <x:c r="H70" s="35" t="str">
        <x:f>IF(OR(F70="",G70=""),"",F70*G70)</x:f>
      </x:c>
      <x:c r="I70" s="36" t="str">
        <x:f>IF(A70="","",SUMIFS('CHI_TIẾT_GIAO_HÀNG'!$D$2:$D$500,'CHI_TIẾT_GIAO_HÀNG'!$C$2:$C$500,A70,'CHI_TIẾT_GIAO_HÀNG'!$E$2:$E$500,"ĐÃ GIAO"))</x:f>
      </x:c>
      <x:c r="J70" s="36" t="str">
        <x:f>IF(A70="","",MAX(0,F70-I70))</x:f>
      </x:c>
      <x:c r="K70" s="35" t="str">
        <x:f>IF(A70="","",H70-(F70*IFERROR(VLOOKUP(C70,'SẢN_PHẨM'!$A$2:$G$500,5,FALSE),0)))</x:f>
      </x:c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36" t="str">
        <x:f>IF(C71="","",IFERROR(VLOOKUP(C71,'SẢN_PHẨM'!$A$2:$G$500,2,FALSE),""))</x:f>
      </x:c>
      <x:c r="E71" s="36" t="str">
        <x:f>IF(C71="","",IFERROR(VLOOKUP(C71,'SẢN_PHẨM'!$A$2:$G$500,3,FALSE),""))</x:f>
      </x:c>
      <x:c r="F71" s="39"/>
      <x:c r="G71" s="44"/>
      <x:c r="H71" s="35" t="str">
        <x:f>IF(OR(F71="",G71=""),"",F71*G71)</x:f>
      </x:c>
      <x:c r="I71" s="36" t="str">
        <x:f>IF(A71="","",SUMIFS('CHI_TIẾT_GIAO_HÀNG'!$D$2:$D$500,'CHI_TIẾT_GIAO_HÀNG'!$C$2:$C$500,A71,'CHI_TIẾT_GIAO_HÀNG'!$E$2:$E$500,"ĐÃ GIAO"))</x:f>
      </x:c>
      <x:c r="J71" s="36" t="str">
        <x:f>IF(A71="","",MAX(0,F71-I71))</x:f>
      </x:c>
      <x:c r="K71" s="35" t="str">
        <x:f>IF(A71="","",H71-(F71*IFERROR(VLOOKUP(C71,'SẢN_PHẨM'!$A$2:$G$500,5,FALSE),0)))</x:f>
      </x:c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36" t="str">
        <x:f>IF(C72="","",IFERROR(VLOOKUP(C72,'SẢN_PHẨM'!$A$2:$G$500,2,FALSE),""))</x:f>
      </x:c>
      <x:c r="E72" s="36" t="str">
        <x:f>IF(C72="","",IFERROR(VLOOKUP(C72,'SẢN_PHẨM'!$A$2:$G$500,3,FALSE),""))</x:f>
      </x:c>
      <x:c r="F72" s="39"/>
      <x:c r="G72" s="44"/>
      <x:c r="H72" s="35" t="str">
        <x:f>IF(OR(F72="",G72=""),"",F72*G72)</x:f>
      </x:c>
      <x:c r="I72" s="36" t="str">
        <x:f>IF(A72="","",SUMIFS('CHI_TIẾT_GIAO_HÀNG'!$D$2:$D$500,'CHI_TIẾT_GIAO_HÀNG'!$C$2:$C$500,A72,'CHI_TIẾT_GIAO_HÀNG'!$E$2:$E$500,"ĐÃ GIAO"))</x:f>
      </x:c>
      <x:c r="J72" s="36" t="str">
        <x:f>IF(A72="","",MAX(0,F72-I72))</x:f>
      </x:c>
      <x:c r="K72" s="35" t="str">
        <x:f>IF(A72="","",H72-(F72*IFERROR(VLOOKUP(C72,'SẢN_PHẨM'!$A$2:$G$500,5,FALSE),0)))</x:f>
      </x:c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36" t="str">
        <x:f>IF(C73="","",IFERROR(VLOOKUP(C73,'SẢN_PHẨM'!$A$2:$G$500,2,FALSE),""))</x:f>
      </x:c>
      <x:c r="E73" s="36" t="str">
        <x:f>IF(C73="","",IFERROR(VLOOKUP(C73,'SẢN_PHẨM'!$A$2:$G$500,3,FALSE),""))</x:f>
      </x:c>
      <x:c r="F73" s="39"/>
      <x:c r="G73" s="44"/>
      <x:c r="H73" s="35" t="str">
        <x:f>IF(OR(F73="",G73=""),"",F73*G73)</x:f>
      </x:c>
      <x:c r="I73" s="36" t="str">
        <x:f>IF(A73="","",SUMIFS('CHI_TIẾT_GIAO_HÀNG'!$D$2:$D$500,'CHI_TIẾT_GIAO_HÀNG'!$C$2:$C$500,A73,'CHI_TIẾT_GIAO_HÀNG'!$E$2:$E$500,"ĐÃ GIAO"))</x:f>
      </x:c>
      <x:c r="J73" s="36" t="str">
        <x:f>IF(A73="","",MAX(0,F73-I73))</x:f>
      </x:c>
      <x:c r="K73" s="35" t="str">
        <x:f>IF(A73="","",H73-(F73*IFERROR(VLOOKUP(C73,'SẢN_PHẨM'!$A$2:$G$500,5,FALSE),0)))</x:f>
      </x:c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36" t="str">
        <x:f>IF(C74="","",IFERROR(VLOOKUP(C74,'SẢN_PHẨM'!$A$2:$G$500,2,FALSE),""))</x:f>
      </x:c>
      <x:c r="E74" s="36" t="str">
        <x:f>IF(C74="","",IFERROR(VLOOKUP(C74,'SẢN_PHẨM'!$A$2:$G$500,3,FALSE),""))</x:f>
      </x:c>
      <x:c r="F74" s="39"/>
      <x:c r="G74" s="44"/>
      <x:c r="H74" s="35" t="str">
        <x:f>IF(OR(F74="",G74=""),"",F74*G74)</x:f>
      </x:c>
      <x:c r="I74" s="36" t="str">
        <x:f>IF(A74="","",SUMIFS('CHI_TIẾT_GIAO_HÀNG'!$D$2:$D$500,'CHI_TIẾT_GIAO_HÀNG'!$C$2:$C$500,A74,'CHI_TIẾT_GIAO_HÀNG'!$E$2:$E$500,"ĐÃ GIAO"))</x:f>
      </x:c>
      <x:c r="J74" s="36" t="str">
        <x:f>IF(A74="","",MAX(0,F74-I74))</x:f>
      </x:c>
      <x:c r="K74" s="35" t="str">
        <x:f>IF(A74="","",H74-(F74*IFERROR(VLOOKUP(C74,'SẢN_PHẨM'!$A$2:$G$500,5,FALSE),0)))</x:f>
      </x:c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36" t="str">
        <x:f>IF(C75="","",IFERROR(VLOOKUP(C75,'SẢN_PHẨM'!$A$2:$G$500,2,FALSE),""))</x:f>
      </x:c>
      <x:c r="E75" s="36" t="str">
        <x:f>IF(C75="","",IFERROR(VLOOKUP(C75,'SẢN_PHẨM'!$A$2:$G$500,3,FALSE),""))</x:f>
      </x:c>
      <x:c r="F75" s="39"/>
      <x:c r="G75" s="44"/>
      <x:c r="H75" s="35" t="str">
        <x:f>IF(OR(F75="",G75=""),"",F75*G75)</x:f>
      </x:c>
      <x:c r="I75" s="36" t="str">
        <x:f>IF(A75="","",SUMIFS('CHI_TIẾT_GIAO_HÀNG'!$D$2:$D$500,'CHI_TIẾT_GIAO_HÀNG'!$C$2:$C$500,A75,'CHI_TIẾT_GIAO_HÀNG'!$E$2:$E$500,"ĐÃ GIAO"))</x:f>
      </x:c>
      <x:c r="J75" s="36" t="str">
        <x:f>IF(A75="","",MAX(0,F75-I75))</x:f>
      </x:c>
      <x:c r="K75" s="35" t="str">
        <x:f>IF(A75="","",H75-(F75*IFERROR(VLOOKUP(C75,'SẢN_PHẨM'!$A$2:$G$500,5,FALSE),0)))</x:f>
      </x:c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36" t="str">
        <x:f>IF(C76="","",IFERROR(VLOOKUP(C76,'SẢN_PHẨM'!$A$2:$G$500,2,FALSE),""))</x:f>
      </x:c>
      <x:c r="E76" s="36" t="str">
        <x:f>IF(C76="","",IFERROR(VLOOKUP(C76,'SẢN_PHẨM'!$A$2:$G$500,3,FALSE),""))</x:f>
      </x:c>
      <x:c r="F76" s="39"/>
      <x:c r="G76" s="44"/>
      <x:c r="H76" s="35" t="str">
        <x:f>IF(OR(F76="",G76=""),"",F76*G76)</x:f>
      </x:c>
      <x:c r="I76" s="36" t="str">
        <x:f>IF(A76="","",SUMIFS('CHI_TIẾT_GIAO_HÀNG'!$D$2:$D$500,'CHI_TIẾT_GIAO_HÀNG'!$C$2:$C$500,A76,'CHI_TIẾT_GIAO_HÀNG'!$E$2:$E$500,"ĐÃ GIAO"))</x:f>
      </x:c>
      <x:c r="J76" s="36" t="str">
        <x:f>IF(A76="","",MAX(0,F76-I76))</x:f>
      </x:c>
      <x:c r="K76" s="35" t="str">
        <x:f>IF(A76="","",H76-(F76*IFERROR(VLOOKUP(C76,'SẢN_PHẨM'!$A$2:$G$500,5,FALSE),0)))</x:f>
      </x:c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36" t="str">
        <x:f>IF(C77="","",IFERROR(VLOOKUP(C77,'SẢN_PHẨM'!$A$2:$G$500,2,FALSE),""))</x:f>
      </x:c>
      <x:c r="E77" s="36" t="str">
        <x:f>IF(C77="","",IFERROR(VLOOKUP(C77,'SẢN_PHẨM'!$A$2:$G$500,3,FALSE),""))</x:f>
      </x:c>
      <x:c r="F77" s="39"/>
      <x:c r="G77" s="44"/>
      <x:c r="H77" s="35" t="str">
        <x:f>IF(OR(F77="",G77=""),"",F77*G77)</x:f>
      </x:c>
      <x:c r="I77" s="36" t="str">
        <x:f>IF(A77="","",SUMIFS('CHI_TIẾT_GIAO_HÀNG'!$D$2:$D$500,'CHI_TIẾT_GIAO_HÀNG'!$C$2:$C$500,A77,'CHI_TIẾT_GIAO_HÀNG'!$E$2:$E$500,"ĐÃ GIAO"))</x:f>
      </x:c>
      <x:c r="J77" s="36" t="str">
        <x:f>IF(A77="","",MAX(0,F77-I77))</x:f>
      </x:c>
      <x:c r="K77" s="35" t="str">
        <x:f>IF(A77="","",H77-(F77*IFERROR(VLOOKUP(C77,'SẢN_PHẨM'!$A$2:$G$500,5,FALSE),0)))</x:f>
      </x:c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36" t="str">
        <x:f>IF(C78="","",IFERROR(VLOOKUP(C78,'SẢN_PHẨM'!$A$2:$G$500,2,FALSE),""))</x:f>
      </x:c>
      <x:c r="E78" s="36" t="str">
        <x:f>IF(C78="","",IFERROR(VLOOKUP(C78,'SẢN_PHẨM'!$A$2:$G$500,3,FALSE),""))</x:f>
      </x:c>
      <x:c r="F78" s="39"/>
      <x:c r="G78" s="44"/>
      <x:c r="H78" s="35" t="str">
        <x:f>IF(OR(F78="",G78=""),"",F78*G78)</x:f>
      </x:c>
      <x:c r="I78" s="36" t="str">
        <x:f>IF(A78="","",SUMIFS('CHI_TIẾT_GIAO_HÀNG'!$D$2:$D$500,'CHI_TIẾT_GIAO_HÀNG'!$C$2:$C$500,A78,'CHI_TIẾT_GIAO_HÀNG'!$E$2:$E$500,"ĐÃ GIAO"))</x:f>
      </x:c>
      <x:c r="J78" s="36" t="str">
        <x:f>IF(A78="","",MAX(0,F78-I78))</x:f>
      </x:c>
      <x:c r="K78" s="35" t="str">
        <x:f>IF(A78="","",H78-(F78*IFERROR(VLOOKUP(C78,'SẢN_PHẨM'!$A$2:$G$500,5,FALSE),0)))</x:f>
      </x:c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36" t="str">
        <x:f>IF(C79="","",IFERROR(VLOOKUP(C79,'SẢN_PHẨM'!$A$2:$G$500,2,FALSE),""))</x:f>
      </x:c>
      <x:c r="E79" s="36" t="str">
        <x:f>IF(C79="","",IFERROR(VLOOKUP(C79,'SẢN_PHẨM'!$A$2:$G$500,3,FALSE),""))</x:f>
      </x:c>
      <x:c r="F79" s="39"/>
      <x:c r="G79" s="44"/>
      <x:c r="H79" s="35" t="str">
        <x:f>IF(OR(F79="",G79=""),"",F79*G79)</x:f>
      </x:c>
      <x:c r="I79" s="36" t="str">
        <x:f>IF(A79="","",SUMIFS('CHI_TIẾT_GIAO_HÀNG'!$D$2:$D$500,'CHI_TIẾT_GIAO_HÀNG'!$C$2:$C$500,A79,'CHI_TIẾT_GIAO_HÀNG'!$E$2:$E$500,"ĐÃ GIAO"))</x:f>
      </x:c>
      <x:c r="J79" s="36" t="str">
        <x:f>IF(A79="","",MAX(0,F79-I79))</x:f>
      </x:c>
      <x:c r="K79" s="35" t="str">
        <x:f>IF(A79="","",H79-(F79*IFERROR(VLOOKUP(C79,'SẢN_PHẨM'!$A$2:$G$500,5,FALSE),0)))</x:f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36" t="str">
        <x:f>IF(C80="","",IFERROR(VLOOKUP(C80,'SẢN_PHẨM'!$A$2:$G$500,2,FALSE),""))</x:f>
      </x:c>
      <x:c r="E80" s="36" t="str">
        <x:f>IF(C80="","",IFERROR(VLOOKUP(C80,'SẢN_PHẨM'!$A$2:$G$500,3,FALSE),""))</x:f>
      </x:c>
      <x:c r="F80" s="39"/>
      <x:c r="G80" s="44"/>
      <x:c r="H80" s="35" t="str">
        <x:f>IF(OR(F80="",G80=""),"",F80*G80)</x:f>
      </x:c>
      <x:c r="I80" s="36" t="str">
        <x:f>IF(A80="","",SUMIFS('CHI_TIẾT_GIAO_HÀNG'!$D$2:$D$500,'CHI_TIẾT_GIAO_HÀNG'!$C$2:$C$500,A80,'CHI_TIẾT_GIAO_HÀNG'!$E$2:$E$500,"ĐÃ GIAO"))</x:f>
      </x:c>
      <x:c r="J80" s="36" t="str">
        <x:f>IF(A80="","",MAX(0,F80-I80))</x:f>
      </x:c>
      <x:c r="K80" s="35" t="str">
        <x:f>IF(A80="","",H80-(F80*IFERROR(VLOOKUP(C80,'SẢN_PHẨM'!$A$2:$G$500,5,FALSE),0)))</x:f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36" t="str">
        <x:f>IF(C81="","",IFERROR(VLOOKUP(C81,'SẢN_PHẨM'!$A$2:$G$500,2,FALSE),""))</x:f>
      </x:c>
      <x:c r="E81" s="36" t="str">
        <x:f>IF(C81="","",IFERROR(VLOOKUP(C81,'SẢN_PHẨM'!$A$2:$G$500,3,FALSE),""))</x:f>
      </x:c>
      <x:c r="F81" s="39"/>
      <x:c r="G81" s="44"/>
      <x:c r="H81" s="35" t="str">
        <x:f>IF(OR(F81="",G81=""),"",F81*G81)</x:f>
      </x:c>
      <x:c r="I81" s="36" t="str">
        <x:f>IF(A81="","",SUMIFS('CHI_TIẾT_GIAO_HÀNG'!$D$2:$D$500,'CHI_TIẾT_GIAO_HÀNG'!$C$2:$C$500,A81,'CHI_TIẾT_GIAO_HÀNG'!$E$2:$E$500,"ĐÃ GIAO"))</x:f>
      </x:c>
      <x:c r="J81" s="36" t="str">
        <x:f>IF(A81="","",MAX(0,F81-I81))</x:f>
      </x:c>
      <x:c r="K81" s="35" t="str">
        <x:f>IF(A81="","",H81-(F81*IFERROR(VLOOKUP(C81,'SẢN_PHẨM'!$A$2:$G$500,5,FALSE),0)))</x:f>
      </x:c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36" t="str">
        <x:f>IF(C82="","",IFERROR(VLOOKUP(C82,'SẢN_PHẨM'!$A$2:$G$500,2,FALSE),""))</x:f>
      </x:c>
      <x:c r="E82" s="36" t="str">
        <x:f>IF(C82="","",IFERROR(VLOOKUP(C82,'SẢN_PHẨM'!$A$2:$G$500,3,FALSE),""))</x:f>
      </x:c>
      <x:c r="F82" s="39"/>
      <x:c r="G82" s="44"/>
      <x:c r="H82" s="35" t="str">
        <x:f>IF(OR(F82="",G82=""),"",F82*G82)</x:f>
      </x:c>
      <x:c r="I82" s="36" t="str">
        <x:f>IF(A82="","",SUMIFS('CHI_TIẾT_GIAO_HÀNG'!$D$2:$D$500,'CHI_TIẾT_GIAO_HÀNG'!$C$2:$C$500,A82,'CHI_TIẾT_GIAO_HÀNG'!$E$2:$E$500,"ĐÃ GIAO"))</x:f>
      </x:c>
      <x:c r="J82" s="36" t="str">
        <x:f>IF(A82="","",MAX(0,F82-I82))</x:f>
      </x:c>
      <x:c r="K82" s="35" t="str">
        <x:f>IF(A82="","",H82-(F82*IFERROR(VLOOKUP(C82,'SẢN_PHẨM'!$A$2:$G$500,5,FALSE),0)))</x:f>
      </x:c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36" t="str">
        <x:f>IF(C83="","",IFERROR(VLOOKUP(C83,'SẢN_PHẨM'!$A$2:$G$500,2,FALSE),""))</x:f>
      </x:c>
      <x:c r="E83" s="36" t="str">
        <x:f>IF(C83="","",IFERROR(VLOOKUP(C83,'SẢN_PHẨM'!$A$2:$G$500,3,FALSE),""))</x:f>
      </x:c>
      <x:c r="F83" s="39"/>
      <x:c r="G83" s="44"/>
      <x:c r="H83" s="35" t="str">
        <x:f>IF(OR(F83="",G83=""),"",F83*G83)</x:f>
      </x:c>
      <x:c r="I83" s="36" t="str">
        <x:f>IF(A83="","",SUMIFS('CHI_TIẾT_GIAO_HÀNG'!$D$2:$D$500,'CHI_TIẾT_GIAO_HÀNG'!$C$2:$C$500,A83,'CHI_TIẾT_GIAO_HÀNG'!$E$2:$E$500,"ĐÃ GIAO"))</x:f>
      </x:c>
      <x:c r="J83" s="36" t="str">
        <x:f>IF(A83="","",MAX(0,F83-I83))</x:f>
      </x:c>
      <x:c r="K83" s="35" t="str">
        <x:f>IF(A83="","",H83-(F83*IFERROR(VLOOKUP(C83,'SẢN_PHẨM'!$A$2:$G$500,5,FALSE),0)))</x:f>
      </x:c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36" t="str">
        <x:f>IF(C84="","",IFERROR(VLOOKUP(C84,'SẢN_PHẨM'!$A$2:$G$500,2,FALSE),""))</x:f>
      </x:c>
      <x:c r="E84" s="36" t="str">
        <x:f>IF(C84="","",IFERROR(VLOOKUP(C84,'SẢN_PHẨM'!$A$2:$G$500,3,FALSE),""))</x:f>
      </x:c>
      <x:c r="F84" s="39"/>
      <x:c r="G84" s="44"/>
      <x:c r="H84" s="35" t="str">
        <x:f>IF(OR(F84="",G84=""),"",F84*G84)</x:f>
      </x:c>
      <x:c r="I84" s="36" t="str">
        <x:f>IF(A84="","",SUMIFS('CHI_TIẾT_GIAO_HÀNG'!$D$2:$D$500,'CHI_TIẾT_GIAO_HÀNG'!$C$2:$C$500,A84,'CHI_TIẾT_GIAO_HÀNG'!$E$2:$E$500,"ĐÃ GIAO"))</x:f>
      </x:c>
      <x:c r="J84" s="36" t="str">
        <x:f>IF(A84="","",MAX(0,F84-I84))</x:f>
      </x:c>
      <x:c r="K84" s="35" t="str">
        <x:f>IF(A84="","",H84-(F84*IFERROR(VLOOKUP(C84,'SẢN_PHẨM'!$A$2:$G$500,5,FALSE),0)))</x:f>
      </x:c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36" t="str">
        <x:f>IF(C85="","",IFERROR(VLOOKUP(C85,'SẢN_PHẨM'!$A$2:$G$500,2,FALSE),""))</x:f>
      </x:c>
      <x:c r="E85" s="36" t="str">
        <x:f>IF(C85="","",IFERROR(VLOOKUP(C85,'SẢN_PHẨM'!$A$2:$G$500,3,FALSE),""))</x:f>
      </x:c>
      <x:c r="F85" s="39"/>
      <x:c r="G85" s="44"/>
      <x:c r="H85" s="35" t="str">
        <x:f>IF(OR(F85="",G85=""),"",F85*G85)</x:f>
      </x:c>
      <x:c r="I85" s="36" t="str">
        <x:f>IF(A85="","",SUMIFS('CHI_TIẾT_GIAO_HÀNG'!$D$2:$D$500,'CHI_TIẾT_GIAO_HÀNG'!$C$2:$C$500,A85,'CHI_TIẾT_GIAO_HÀNG'!$E$2:$E$500,"ĐÃ GIAO"))</x:f>
      </x:c>
      <x:c r="J85" s="36" t="str">
        <x:f>IF(A85="","",MAX(0,F85-I85))</x:f>
      </x:c>
      <x:c r="K85" s="35" t="str">
        <x:f>IF(A85="","",H85-(F85*IFERROR(VLOOKUP(C85,'SẢN_PHẨM'!$A$2:$G$500,5,FALSE),0)))</x:f>
      </x:c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36" t="str">
        <x:f>IF(C86="","",IFERROR(VLOOKUP(C86,'SẢN_PHẨM'!$A$2:$G$500,2,FALSE),""))</x:f>
      </x:c>
      <x:c r="E86" s="36" t="str">
        <x:f>IF(C86="","",IFERROR(VLOOKUP(C86,'SẢN_PHẨM'!$A$2:$G$500,3,FALSE),""))</x:f>
      </x:c>
      <x:c r="F86" s="39"/>
      <x:c r="G86" s="44"/>
      <x:c r="H86" s="35" t="str">
        <x:f>IF(OR(F86="",G86=""),"",F86*G86)</x:f>
      </x:c>
      <x:c r="I86" s="36" t="str">
        <x:f>IF(A86="","",SUMIFS('CHI_TIẾT_GIAO_HÀNG'!$D$2:$D$500,'CHI_TIẾT_GIAO_HÀNG'!$C$2:$C$500,A86,'CHI_TIẾT_GIAO_HÀNG'!$E$2:$E$500,"ĐÃ GIAO"))</x:f>
      </x:c>
      <x:c r="J86" s="36" t="str">
        <x:f>IF(A86="","",MAX(0,F86-I86))</x:f>
      </x:c>
      <x:c r="K86" s="35" t="str">
        <x:f>IF(A86="","",H86-(F86*IFERROR(VLOOKUP(C86,'SẢN_PHẨM'!$A$2:$G$500,5,FALSE),0)))</x:f>
      </x:c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36" t="str">
        <x:f>IF(C87="","",IFERROR(VLOOKUP(C87,'SẢN_PHẨM'!$A$2:$G$500,2,FALSE),""))</x:f>
      </x:c>
      <x:c r="E87" s="36" t="str">
        <x:f>IF(C87="","",IFERROR(VLOOKUP(C87,'SẢN_PHẨM'!$A$2:$G$500,3,FALSE),""))</x:f>
      </x:c>
      <x:c r="F87" s="39"/>
      <x:c r="G87" s="44"/>
      <x:c r="H87" s="35" t="str">
        <x:f>IF(OR(F87="",G87=""),"",F87*G87)</x:f>
      </x:c>
      <x:c r="I87" s="36" t="str">
        <x:f>IF(A87="","",SUMIFS('CHI_TIẾT_GIAO_HÀNG'!$D$2:$D$500,'CHI_TIẾT_GIAO_HÀNG'!$C$2:$C$500,A87,'CHI_TIẾT_GIAO_HÀNG'!$E$2:$E$500,"ĐÃ GIAO"))</x:f>
      </x:c>
      <x:c r="J87" s="36" t="str">
        <x:f>IF(A87="","",MAX(0,F87-I87))</x:f>
      </x:c>
      <x:c r="K87" s="35" t="str">
        <x:f>IF(A87="","",H87-(F87*IFERROR(VLOOKUP(C87,'SẢN_PHẨM'!$A$2:$G$500,5,FALSE),0)))</x:f>
      </x:c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36" t="str">
        <x:f>IF(C88="","",IFERROR(VLOOKUP(C88,'SẢN_PHẨM'!$A$2:$G$500,2,FALSE),""))</x:f>
      </x:c>
      <x:c r="E88" s="36" t="str">
        <x:f>IF(C88="","",IFERROR(VLOOKUP(C88,'SẢN_PHẨM'!$A$2:$G$500,3,FALSE),""))</x:f>
      </x:c>
      <x:c r="F88" s="39"/>
      <x:c r="G88" s="44"/>
      <x:c r="H88" s="35" t="str">
        <x:f>IF(OR(F88="",G88=""),"",F88*G88)</x:f>
      </x:c>
      <x:c r="I88" s="36" t="str">
        <x:f>IF(A88="","",SUMIFS('CHI_TIẾT_GIAO_HÀNG'!$D$2:$D$500,'CHI_TIẾT_GIAO_HÀNG'!$C$2:$C$500,A88,'CHI_TIẾT_GIAO_HÀNG'!$E$2:$E$500,"ĐÃ GIAO"))</x:f>
      </x:c>
      <x:c r="J88" s="36" t="str">
        <x:f>IF(A88="","",MAX(0,F88-I88))</x:f>
      </x:c>
      <x:c r="K88" s="35" t="str">
        <x:f>IF(A88="","",H88-(F88*IFERROR(VLOOKUP(C88,'SẢN_PHẨM'!$A$2:$G$500,5,FALSE),0)))</x:f>
      </x:c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36" t="str">
        <x:f>IF(C89="","",IFERROR(VLOOKUP(C89,'SẢN_PHẨM'!$A$2:$G$500,2,FALSE),""))</x:f>
      </x:c>
      <x:c r="E89" s="36" t="str">
        <x:f>IF(C89="","",IFERROR(VLOOKUP(C89,'SẢN_PHẨM'!$A$2:$G$500,3,FALSE),""))</x:f>
      </x:c>
      <x:c r="F89" s="39"/>
      <x:c r="G89" s="44"/>
      <x:c r="H89" s="35" t="str">
        <x:f>IF(OR(F89="",G89=""),"",F89*G89)</x:f>
      </x:c>
      <x:c r="I89" s="36" t="str">
        <x:f>IF(A89="","",SUMIFS('CHI_TIẾT_GIAO_HÀNG'!$D$2:$D$500,'CHI_TIẾT_GIAO_HÀNG'!$C$2:$C$500,A89,'CHI_TIẾT_GIAO_HÀNG'!$E$2:$E$500,"ĐÃ GIAO"))</x:f>
      </x:c>
      <x:c r="J89" s="36" t="str">
        <x:f>IF(A89="","",MAX(0,F89-I89))</x:f>
      </x:c>
      <x:c r="K89" s="35" t="str">
        <x:f>IF(A89="","",H89-(F89*IFERROR(VLOOKUP(C89,'SẢN_PHẨM'!$A$2:$G$500,5,FALSE),0)))</x:f>
      </x:c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36" t="str">
        <x:f>IF(C90="","",IFERROR(VLOOKUP(C90,'SẢN_PHẨM'!$A$2:$G$500,2,FALSE),""))</x:f>
      </x:c>
      <x:c r="E90" s="36" t="str">
        <x:f>IF(C90="","",IFERROR(VLOOKUP(C90,'SẢN_PHẨM'!$A$2:$G$500,3,FALSE),""))</x:f>
      </x:c>
      <x:c r="F90" s="39"/>
      <x:c r="G90" s="44"/>
      <x:c r="H90" s="35" t="str">
        <x:f>IF(OR(F90="",G90=""),"",F90*G90)</x:f>
      </x:c>
      <x:c r="I90" s="36" t="str">
        <x:f>IF(A90="","",SUMIFS('CHI_TIẾT_GIAO_HÀNG'!$D$2:$D$500,'CHI_TIẾT_GIAO_HÀNG'!$C$2:$C$500,A90,'CHI_TIẾT_GIAO_HÀNG'!$E$2:$E$500,"ĐÃ GIAO"))</x:f>
      </x:c>
      <x:c r="J90" s="36" t="str">
        <x:f>IF(A90="","",MAX(0,F90-I90))</x:f>
      </x:c>
      <x:c r="K90" s="35" t="str">
        <x:f>IF(A90="","",H90-(F90*IFERROR(VLOOKUP(C90,'SẢN_PHẨM'!$A$2:$G$500,5,FALSE),0)))</x:f>
      </x:c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36" t="str">
        <x:f>IF(C91="","",IFERROR(VLOOKUP(C91,'SẢN_PHẨM'!$A$2:$G$500,2,FALSE),""))</x:f>
      </x:c>
      <x:c r="E91" s="36" t="str">
        <x:f>IF(C91="","",IFERROR(VLOOKUP(C91,'SẢN_PHẨM'!$A$2:$G$500,3,FALSE),""))</x:f>
      </x:c>
      <x:c r="F91" s="39"/>
      <x:c r="G91" s="44"/>
      <x:c r="H91" s="35" t="str">
        <x:f>IF(OR(F91="",G91=""),"",F91*G91)</x:f>
      </x:c>
      <x:c r="I91" s="36" t="str">
        <x:f>IF(A91="","",SUMIFS('CHI_TIẾT_GIAO_HÀNG'!$D$2:$D$500,'CHI_TIẾT_GIAO_HÀNG'!$C$2:$C$500,A91,'CHI_TIẾT_GIAO_HÀNG'!$E$2:$E$500,"ĐÃ GIAO"))</x:f>
      </x:c>
      <x:c r="J91" s="36" t="str">
        <x:f>IF(A91="","",MAX(0,F91-I91))</x:f>
      </x:c>
      <x:c r="K91" s="35" t="str">
        <x:f>IF(A91="","",H91-(F91*IFERROR(VLOOKUP(C91,'SẢN_PHẨM'!$A$2:$G$500,5,FALSE),0)))</x:f>
      </x:c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36" t="str">
        <x:f>IF(C92="","",IFERROR(VLOOKUP(C92,'SẢN_PHẨM'!$A$2:$G$500,2,FALSE),""))</x:f>
      </x:c>
      <x:c r="E92" s="36" t="str">
        <x:f>IF(C92="","",IFERROR(VLOOKUP(C92,'SẢN_PHẨM'!$A$2:$G$500,3,FALSE),""))</x:f>
      </x:c>
      <x:c r="F92" s="39"/>
      <x:c r="G92" s="44"/>
      <x:c r="H92" s="35" t="str">
        <x:f>IF(OR(F92="",G92=""),"",F92*G92)</x:f>
      </x:c>
      <x:c r="I92" s="36" t="str">
        <x:f>IF(A92="","",SUMIFS('CHI_TIẾT_GIAO_HÀNG'!$D$2:$D$500,'CHI_TIẾT_GIAO_HÀNG'!$C$2:$C$500,A92,'CHI_TIẾT_GIAO_HÀNG'!$E$2:$E$500,"ĐÃ GIAO"))</x:f>
      </x:c>
      <x:c r="J92" s="36" t="str">
        <x:f>IF(A92="","",MAX(0,F92-I92))</x:f>
      </x:c>
      <x:c r="K92" s="35" t="str">
        <x:f>IF(A92="","",H92-(F92*IFERROR(VLOOKUP(C92,'SẢN_PHẨM'!$A$2:$G$500,5,FALSE),0)))</x:f>
      </x:c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36" t="str">
        <x:f>IF(C93="","",IFERROR(VLOOKUP(C93,'SẢN_PHẨM'!$A$2:$G$500,2,FALSE),""))</x:f>
      </x:c>
      <x:c r="E93" s="36" t="str">
        <x:f>IF(C93="","",IFERROR(VLOOKUP(C93,'SẢN_PHẨM'!$A$2:$G$500,3,FALSE),""))</x:f>
      </x:c>
      <x:c r="F93" s="39"/>
      <x:c r="G93" s="44"/>
      <x:c r="H93" s="35" t="str">
        <x:f>IF(OR(F93="",G93=""),"",F93*G93)</x:f>
      </x:c>
      <x:c r="I93" s="36" t="str">
        <x:f>IF(A93="","",SUMIFS('CHI_TIẾT_GIAO_HÀNG'!$D$2:$D$500,'CHI_TIẾT_GIAO_HÀNG'!$C$2:$C$500,A93,'CHI_TIẾT_GIAO_HÀNG'!$E$2:$E$500,"ĐÃ GIAO"))</x:f>
      </x:c>
      <x:c r="J93" s="36" t="str">
        <x:f>IF(A93="","",MAX(0,F93-I93))</x:f>
      </x:c>
      <x:c r="K93" s="35" t="str">
        <x:f>IF(A93="","",H93-(F93*IFERROR(VLOOKUP(C93,'SẢN_PHẨM'!$A$2:$G$500,5,FALSE),0)))</x:f>
      </x:c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36" t="str">
        <x:f>IF(C94="","",IFERROR(VLOOKUP(C94,'SẢN_PHẨM'!$A$2:$G$500,2,FALSE),""))</x:f>
      </x:c>
      <x:c r="E94" s="36" t="str">
        <x:f>IF(C94="","",IFERROR(VLOOKUP(C94,'SẢN_PHẨM'!$A$2:$G$500,3,FALSE),""))</x:f>
      </x:c>
      <x:c r="F94" s="39"/>
      <x:c r="G94" s="44"/>
      <x:c r="H94" s="35" t="str">
        <x:f>IF(OR(F94="",G94=""),"",F94*G94)</x:f>
      </x:c>
      <x:c r="I94" s="36" t="str">
        <x:f>IF(A94="","",SUMIFS('CHI_TIẾT_GIAO_HÀNG'!$D$2:$D$500,'CHI_TIẾT_GIAO_HÀNG'!$C$2:$C$500,A94,'CHI_TIẾT_GIAO_HÀNG'!$E$2:$E$500,"ĐÃ GIAO"))</x:f>
      </x:c>
      <x:c r="J94" s="36" t="str">
        <x:f>IF(A94="","",MAX(0,F94-I94))</x:f>
      </x:c>
      <x:c r="K94" s="35" t="str">
        <x:f>IF(A94="","",H94-(F94*IFERROR(VLOOKUP(C94,'SẢN_PHẨM'!$A$2:$G$500,5,FALSE),0)))</x:f>
      </x:c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36" t="str">
        <x:f>IF(C95="","",IFERROR(VLOOKUP(C95,'SẢN_PHẨM'!$A$2:$G$500,2,FALSE),""))</x:f>
      </x:c>
      <x:c r="E95" s="36" t="str">
        <x:f>IF(C95="","",IFERROR(VLOOKUP(C95,'SẢN_PHẨM'!$A$2:$G$500,3,FALSE),""))</x:f>
      </x:c>
      <x:c r="F95" s="39"/>
      <x:c r="G95" s="44"/>
      <x:c r="H95" s="35" t="str">
        <x:f>IF(OR(F95="",G95=""),"",F95*G95)</x:f>
      </x:c>
      <x:c r="I95" s="36" t="str">
        <x:f>IF(A95="","",SUMIFS('CHI_TIẾT_GIAO_HÀNG'!$D$2:$D$500,'CHI_TIẾT_GIAO_HÀNG'!$C$2:$C$500,A95,'CHI_TIẾT_GIAO_HÀNG'!$E$2:$E$500,"ĐÃ GIAO"))</x:f>
      </x:c>
      <x:c r="J95" s="36" t="str">
        <x:f>IF(A95="","",MAX(0,F95-I95))</x:f>
      </x:c>
      <x:c r="K95" s="35" t="str">
        <x:f>IF(A95="","",H95-(F95*IFERROR(VLOOKUP(C95,'SẢN_PHẨM'!$A$2:$G$500,5,FALSE),0)))</x:f>
      </x:c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36" t="str">
        <x:f>IF(C96="","",IFERROR(VLOOKUP(C96,'SẢN_PHẨM'!$A$2:$G$500,2,FALSE),""))</x:f>
      </x:c>
      <x:c r="E96" s="36" t="str">
        <x:f>IF(C96="","",IFERROR(VLOOKUP(C96,'SẢN_PHẨM'!$A$2:$G$500,3,FALSE),""))</x:f>
      </x:c>
      <x:c r="F96" s="39"/>
      <x:c r="G96" s="44"/>
      <x:c r="H96" s="35" t="str">
        <x:f>IF(OR(F96="",G96=""),"",F96*G96)</x:f>
      </x:c>
      <x:c r="I96" s="36" t="str">
        <x:f>IF(A96="","",SUMIFS('CHI_TIẾT_GIAO_HÀNG'!$D$2:$D$500,'CHI_TIẾT_GIAO_HÀNG'!$C$2:$C$500,A96,'CHI_TIẾT_GIAO_HÀNG'!$E$2:$E$500,"ĐÃ GIAO"))</x:f>
      </x:c>
      <x:c r="J96" s="36" t="str">
        <x:f>IF(A96="","",MAX(0,F96-I96))</x:f>
      </x:c>
      <x:c r="K96" s="35" t="str">
        <x:f>IF(A96="","",H96-(F96*IFERROR(VLOOKUP(C96,'SẢN_PHẨM'!$A$2:$G$500,5,FALSE),0)))</x:f>
      </x:c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36" t="str">
        <x:f>IF(C97="","",IFERROR(VLOOKUP(C97,'SẢN_PHẨM'!$A$2:$G$500,2,FALSE),""))</x:f>
      </x:c>
      <x:c r="E97" s="36" t="str">
        <x:f>IF(C97="","",IFERROR(VLOOKUP(C97,'SẢN_PHẨM'!$A$2:$G$500,3,FALSE),""))</x:f>
      </x:c>
      <x:c r="F97" s="39"/>
      <x:c r="G97" s="44"/>
      <x:c r="H97" s="35" t="str">
        <x:f>IF(OR(F97="",G97=""),"",F97*G97)</x:f>
      </x:c>
      <x:c r="I97" s="36" t="str">
        <x:f>IF(A97="","",SUMIFS('CHI_TIẾT_GIAO_HÀNG'!$D$2:$D$500,'CHI_TIẾT_GIAO_HÀNG'!$C$2:$C$500,A97,'CHI_TIẾT_GIAO_HÀNG'!$E$2:$E$500,"ĐÃ GIAO"))</x:f>
      </x:c>
      <x:c r="J97" s="36" t="str">
        <x:f>IF(A97="","",MAX(0,F97-I97))</x:f>
      </x:c>
      <x:c r="K97" s="35" t="str">
        <x:f>IF(A97="","",H97-(F97*IFERROR(VLOOKUP(C97,'SẢN_PHẨM'!$A$2:$G$500,5,FALSE),0)))</x:f>
      </x:c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36" t="str">
        <x:f>IF(C98="","",IFERROR(VLOOKUP(C98,'SẢN_PHẨM'!$A$2:$G$500,2,FALSE),""))</x:f>
      </x:c>
      <x:c r="E98" s="36" t="str">
        <x:f>IF(C98="","",IFERROR(VLOOKUP(C98,'SẢN_PHẨM'!$A$2:$G$500,3,FALSE),""))</x:f>
      </x:c>
      <x:c r="F98" s="39"/>
      <x:c r="G98" s="44"/>
      <x:c r="H98" s="35" t="str">
        <x:f>IF(OR(F98="",G98=""),"",F98*G98)</x:f>
      </x:c>
      <x:c r="I98" s="36" t="str">
        <x:f>IF(A98="","",SUMIFS('CHI_TIẾT_GIAO_HÀNG'!$D$2:$D$500,'CHI_TIẾT_GIAO_HÀNG'!$C$2:$C$500,A98,'CHI_TIẾT_GIAO_HÀNG'!$E$2:$E$500,"ĐÃ GIAO"))</x:f>
      </x:c>
      <x:c r="J98" s="36" t="str">
        <x:f>IF(A98="","",MAX(0,F98-I98))</x:f>
      </x:c>
      <x:c r="K98" s="35" t="str">
        <x:f>IF(A98="","",H98-(F98*IFERROR(VLOOKUP(C98,'SẢN_PHẨM'!$A$2:$G$500,5,FALSE),0)))</x:f>
      </x:c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36" t="str">
        <x:f>IF(C99="","",IFERROR(VLOOKUP(C99,'SẢN_PHẨM'!$A$2:$G$500,2,FALSE),""))</x:f>
      </x:c>
      <x:c r="E99" s="36" t="str">
        <x:f>IF(C99="","",IFERROR(VLOOKUP(C99,'SẢN_PHẨM'!$A$2:$G$500,3,FALSE),""))</x:f>
      </x:c>
      <x:c r="F99" s="39"/>
      <x:c r="G99" s="44"/>
      <x:c r="H99" s="35" t="str">
        <x:f>IF(OR(F99="",G99=""),"",F99*G99)</x:f>
      </x:c>
      <x:c r="I99" s="36" t="str">
        <x:f>IF(A99="","",SUMIFS('CHI_TIẾT_GIAO_HÀNG'!$D$2:$D$500,'CHI_TIẾT_GIAO_HÀNG'!$C$2:$C$500,A99,'CHI_TIẾT_GIAO_HÀNG'!$E$2:$E$500,"ĐÃ GIAO"))</x:f>
      </x:c>
      <x:c r="J99" s="36" t="str">
        <x:f>IF(A99="","",MAX(0,F99-I99))</x:f>
      </x:c>
      <x:c r="K99" s="35" t="str">
        <x:f>IF(A99="","",H99-(F99*IFERROR(VLOOKUP(C99,'SẢN_PHẨM'!$A$2:$G$500,5,FALSE),0)))</x:f>
      </x:c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36" t="str">
        <x:f>IF(C100="","",IFERROR(VLOOKUP(C100,'SẢN_PHẨM'!$A$2:$G$500,2,FALSE),""))</x:f>
      </x:c>
      <x:c r="E100" s="36" t="str">
        <x:f>IF(C100="","",IFERROR(VLOOKUP(C100,'SẢN_PHẨM'!$A$2:$G$500,3,FALSE),""))</x:f>
      </x:c>
      <x:c r="F100" s="39"/>
      <x:c r="G100" s="44"/>
      <x:c r="H100" s="35" t="str">
        <x:f>IF(OR(F100="",G100=""),"",F100*G100)</x:f>
      </x:c>
      <x:c r="I100" s="36" t="str">
        <x:f>IF(A100="","",SUMIFS('CHI_TIẾT_GIAO_HÀNG'!$D$2:$D$500,'CHI_TIẾT_GIAO_HÀNG'!$C$2:$C$500,A100,'CHI_TIẾT_GIAO_HÀNG'!$E$2:$E$500,"ĐÃ GIAO"))</x:f>
      </x:c>
      <x:c r="J100" s="36" t="str">
        <x:f>IF(A100="","",MAX(0,F100-I100))</x:f>
      </x:c>
      <x:c r="K100" s="35" t="str">
        <x:f>IF(A100="","",H100-(F100*IFERROR(VLOOKUP(C100,'SẢN_PHẨM'!$A$2:$G$500,5,FALSE),0)))</x:f>
      </x:c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36" t="str">
        <x:f>IF(C101="","",IFERROR(VLOOKUP(C101,'SẢN_PHẨM'!$A$2:$G$500,2,FALSE),""))</x:f>
      </x:c>
      <x:c r="E101" s="36" t="str">
        <x:f>IF(C101="","",IFERROR(VLOOKUP(C101,'SẢN_PHẨM'!$A$2:$G$500,3,FALSE),""))</x:f>
      </x:c>
      <x:c r="F101" s="39"/>
      <x:c r="G101" s="44"/>
      <x:c r="H101" s="35" t="str">
        <x:f>IF(OR(F101="",G101=""),"",F101*G101)</x:f>
      </x:c>
      <x:c r="I101" s="36" t="str">
        <x:f>IF(A101="","",SUMIFS('CHI_TIẾT_GIAO_HÀNG'!$D$2:$D$500,'CHI_TIẾT_GIAO_HÀNG'!$C$2:$C$500,A101,'CHI_TIẾT_GIAO_HÀNG'!$E$2:$E$500,"ĐÃ GIAO"))</x:f>
      </x:c>
      <x:c r="J101" s="36" t="str">
        <x:f>IF(A101="","",MAX(0,F101-I101))</x:f>
      </x:c>
      <x:c r="K101" s="35" t="str">
        <x:f>IF(A101="","",H101-(F101*IFERROR(VLOOKUP(C101,'SẢN_PHẨM'!$A$2:$G$500,5,FALSE),0)))</x:f>
      </x:c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36" t="str">
        <x:f>IF(C102="","",IFERROR(VLOOKUP(C102,'SẢN_PHẨM'!$A$2:$G$500,2,FALSE),""))</x:f>
      </x:c>
      <x:c r="E102" s="36" t="str">
        <x:f>IF(C102="","",IFERROR(VLOOKUP(C102,'SẢN_PHẨM'!$A$2:$G$500,3,FALSE),""))</x:f>
      </x:c>
      <x:c r="F102" s="39"/>
      <x:c r="G102" s="44"/>
      <x:c r="H102" s="35" t="str">
        <x:f>IF(OR(F102="",G102=""),"",F102*G102)</x:f>
      </x:c>
      <x:c r="I102" s="36" t="str">
        <x:f>IF(A102="","",SUMIFS('CHI_TIẾT_GIAO_HÀNG'!$D$2:$D$500,'CHI_TIẾT_GIAO_HÀNG'!$C$2:$C$500,A102,'CHI_TIẾT_GIAO_HÀNG'!$E$2:$E$500,"ĐÃ GIAO"))</x:f>
      </x:c>
      <x:c r="J102" s="36" t="str">
        <x:f>IF(A102="","",MAX(0,F102-I102))</x:f>
      </x:c>
      <x:c r="K102" s="35" t="str">
        <x:f>IF(A102="","",H102-(F102*IFERROR(VLOOKUP(C102,'SẢN_PHẨM'!$A$2:$G$500,5,FALSE),0)))</x:f>
      </x:c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36" t="str">
        <x:f>IF(C103="","",IFERROR(VLOOKUP(C103,'SẢN_PHẨM'!$A$2:$G$500,2,FALSE),""))</x:f>
      </x:c>
      <x:c r="E103" s="36" t="str">
        <x:f>IF(C103="","",IFERROR(VLOOKUP(C103,'SẢN_PHẨM'!$A$2:$G$500,3,FALSE),""))</x:f>
      </x:c>
      <x:c r="F103" s="39"/>
      <x:c r="G103" s="44"/>
      <x:c r="H103" s="35" t="str">
        <x:f>IF(OR(F103="",G103=""),"",F103*G103)</x:f>
      </x:c>
      <x:c r="I103" s="36" t="str">
        <x:f>IF(A103="","",SUMIFS('CHI_TIẾT_GIAO_HÀNG'!$D$2:$D$500,'CHI_TIẾT_GIAO_HÀNG'!$C$2:$C$500,A103,'CHI_TIẾT_GIAO_HÀNG'!$E$2:$E$500,"ĐÃ GIAO"))</x:f>
      </x:c>
      <x:c r="J103" s="36" t="str">
        <x:f>IF(A103="","",MAX(0,F103-I103))</x:f>
      </x:c>
      <x:c r="K103" s="35" t="str">
        <x:f>IF(A103="","",H103-(F103*IFERROR(VLOOKUP(C103,'SẢN_PHẨM'!$A$2:$G$500,5,FALSE),0)))</x:f>
      </x:c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36" t="str">
        <x:f>IF(C104="","",IFERROR(VLOOKUP(C104,'SẢN_PHẨM'!$A$2:$G$500,2,FALSE),""))</x:f>
      </x:c>
      <x:c r="E104" s="36" t="str">
        <x:f>IF(C104="","",IFERROR(VLOOKUP(C104,'SẢN_PHẨM'!$A$2:$G$500,3,FALSE),""))</x:f>
      </x:c>
      <x:c r="F104" s="39"/>
      <x:c r="G104" s="44"/>
      <x:c r="H104" s="35" t="str">
        <x:f>IF(OR(F104="",G104=""),"",F104*G104)</x:f>
      </x:c>
      <x:c r="I104" s="36" t="str">
        <x:f>IF(A104="","",SUMIFS('CHI_TIẾT_GIAO_HÀNG'!$D$2:$D$500,'CHI_TIẾT_GIAO_HÀNG'!$C$2:$C$500,A104,'CHI_TIẾT_GIAO_HÀNG'!$E$2:$E$500,"ĐÃ GIAO"))</x:f>
      </x:c>
      <x:c r="J104" s="36" t="str">
        <x:f>IF(A104="","",MAX(0,F104-I104))</x:f>
      </x:c>
      <x:c r="K104" s="35" t="str">
        <x:f>IF(A104="","",H104-(F104*IFERROR(VLOOKUP(C104,'SẢN_PHẨM'!$A$2:$G$500,5,FALSE),0)))</x:f>
      </x:c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36" t="str">
        <x:f>IF(C105="","",IFERROR(VLOOKUP(C105,'SẢN_PHẨM'!$A$2:$G$500,2,FALSE),""))</x:f>
      </x:c>
      <x:c r="E105" s="36" t="str">
        <x:f>IF(C105="","",IFERROR(VLOOKUP(C105,'SẢN_PHẨM'!$A$2:$G$500,3,FALSE),""))</x:f>
      </x:c>
      <x:c r="F105" s="39"/>
      <x:c r="G105" s="44"/>
      <x:c r="H105" s="35" t="str">
        <x:f>IF(OR(F105="",G105=""),"",F105*G105)</x:f>
      </x:c>
      <x:c r="I105" s="36" t="str">
        <x:f>IF(A105="","",SUMIFS('CHI_TIẾT_GIAO_HÀNG'!$D$2:$D$500,'CHI_TIẾT_GIAO_HÀNG'!$C$2:$C$500,A105,'CHI_TIẾT_GIAO_HÀNG'!$E$2:$E$500,"ĐÃ GIAO"))</x:f>
      </x:c>
      <x:c r="J105" s="36" t="str">
        <x:f>IF(A105="","",MAX(0,F105-I105))</x:f>
      </x:c>
      <x:c r="K105" s="35" t="str">
        <x:f>IF(A105="","",H105-(F105*IFERROR(VLOOKUP(C105,'SẢN_PHẨM'!$A$2:$G$500,5,FALSE),0)))</x:f>
      </x:c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36" t="str">
        <x:f>IF(C106="","",IFERROR(VLOOKUP(C106,'SẢN_PHẨM'!$A$2:$G$500,2,FALSE),""))</x:f>
      </x:c>
      <x:c r="E106" s="36" t="str">
        <x:f>IF(C106="","",IFERROR(VLOOKUP(C106,'SẢN_PHẨM'!$A$2:$G$500,3,FALSE),""))</x:f>
      </x:c>
      <x:c r="F106" s="39"/>
      <x:c r="G106" s="44"/>
      <x:c r="H106" s="35" t="str">
        <x:f>IF(OR(F106="",G106=""),"",F106*G106)</x:f>
      </x:c>
      <x:c r="I106" s="36" t="str">
        <x:f>IF(A106="","",SUMIFS('CHI_TIẾT_GIAO_HÀNG'!$D$2:$D$500,'CHI_TIẾT_GIAO_HÀNG'!$C$2:$C$500,A106,'CHI_TIẾT_GIAO_HÀNG'!$E$2:$E$500,"ĐÃ GIAO"))</x:f>
      </x:c>
      <x:c r="J106" s="36" t="str">
        <x:f>IF(A106="","",MAX(0,F106-I106))</x:f>
      </x:c>
      <x:c r="K106" s="35" t="str">
        <x:f>IF(A106="","",H106-(F106*IFERROR(VLOOKUP(C106,'SẢN_PHẨM'!$A$2:$G$500,5,FALSE),0)))</x:f>
      </x:c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36" t="str">
        <x:f>IF(C107="","",IFERROR(VLOOKUP(C107,'SẢN_PHẨM'!$A$2:$G$500,2,FALSE),""))</x:f>
      </x:c>
      <x:c r="E107" s="36" t="str">
        <x:f>IF(C107="","",IFERROR(VLOOKUP(C107,'SẢN_PHẨM'!$A$2:$G$500,3,FALSE),""))</x:f>
      </x:c>
      <x:c r="F107" s="39"/>
      <x:c r="G107" s="44"/>
      <x:c r="H107" s="35" t="str">
        <x:f>IF(OR(F107="",G107=""),"",F107*G107)</x:f>
      </x:c>
      <x:c r="I107" s="36" t="str">
        <x:f>IF(A107="","",SUMIFS('CHI_TIẾT_GIAO_HÀNG'!$D$2:$D$500,'CHI_TIẾT_GIAO_HÀNG'!$C$2:$C$500,A107,'CHI_TIẾT_GIAO_HÀNG'!$E$2:$E$500,"ĐÃ GIAO"))</x:f>
      </x:c>
      <x:c r="J107" s="36" t="str">
        <x:f>IF(A107="","",MAX(0,F107-I107))</x:f>
      </x:c>
      <x:c r="K107" s="35" t="str">
        <x:f>IF(A107="","",H107-(F107*IFERROR(VLOOKUP(C107,'SẢN_PHẨM'!$A$2:$G$500,5,FALSE),0)))</x:f>
      </x:c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36" t="str">
        <x:f>IF(C108="","",IFERROR(VLOOKUP(C108,'SẢN_PHẨM'!$A$2:$G$500,2,FALSE),""))</x:f>
      </x:c>
      <x:c r="E108" s="36" t="str">
        <x:f>IF(C108="","",IFERROR(VLOOKUP(C108,'SẢN_PHẨM'!$A$2:$G$500,3,FALSE),""))</x:f>
      </x:c>
      <x:c r="F108" s="39"/>
      <x:c r="G108" s="44"/>
      <x:c r="H108" s="35" t="str">
        <x:f>IF(OR(F108="",G108=""),"",F108*G108)</x:f>
      </x:c>
      <x:c r="I108" s="36" t="str">
        <x:f>IF(A108="","",SUMIFS('CHI_TIẾT_GIAO_HÀNG'!$D$2:$D$500,'CHI_TIẾT_GIAO_HÀNG'!$C$2:$C$500,A108,'CHI_TIẾT_GIAO_HÀNG'!$E$2:$E$500,"ĐÃ GIAO"))</x:f>
      </x:c>
      <x:c r="J108" s="36" t="str">
        <x:f>IF(A108="","",MAX(0,F108-I108))</x:f>
      </x:c>
      <x:c r="K108" s="35" t="str">
        <x:f>IF(A108="","",H108-(F108*IFERROR(VLOOKUP(C108,'SẢN_PHẨM'!$A$2:$G$500,5,FALSE),0)))</x:f>
      </x:c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36" t="str">
        <x:f>IF(C109="","",IFERROR(VLOOKUP(C109,'SẢN_PHẨM'!$A$2:$G$500,2,FALSE),""))</x:f>
      </x:c>
      <x:c r="E109" s="36" t="str">
        <x:f>IF(C109="","",IFERROR(VLOOKUP(C109,'SẢN_PHẨM'!$A$2:$G$500,3,FALSE),""))</x:f>
      </x:c>
      <x:c r="F109" s="39"/>
      <x:c r="G109" s="44"/>
      <x:c r="H109" s="35" t="str">
        <x:f>IF(OR(F109="",G109=""),"",F109*G109)</x:f>
      </x:c>
      <x:c r="I109" s="36" t="str">
        <x:f>IF(A109="","",SUMIFS('CHI_TIẾT_GIAO_HÀNG'!$D$2:$D$500,'CHI_TIẾT_GIAO_HÀNG'!$C$2:$C$500,A109,'CHI_TIẾT_GIAO_HÀNG'!$E$2:$E$500,"ĐÃ GIAO"))</x:f>
      </x:c>
      <x:c r="J109" s="36" t="str">
        <x:f>IF(A109="","",MAX(0,F109-I109))</x:f>
      </x:c>
      <x:c r="K109" s="35" t="str">
        <x:f>IF(A109="","",H109-(F109*IFERROR(VLOOKUP(C109,'SẢN_PHẨM'!$A$2:$G$500,5,FALSE),0)))</x:f>
      </x:c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36" t="str">
        <x:f>IF(C110="","",IFERROR(VLOOKUP(C110,'SẢN_PHẨM'!$A$2:$G$500,2,FALSE),""))</x:f>
      </x:c>
      <x:c r="E110" s="36" t="str">
        <x:f>IF(C110="","",IFERROR(VLOOKUP(C110,'SẢN_PHẨM'!$A$2:$G$500,3,FALSE),""))</x:f>
      </x:c>
      <x:c r="F110" s="39"/>
      <x:c r="G110" s="44"/>
      <x:c r="H110" s="35" t="str">
        <x:f>IF(OR(F110="",G110=""),"",F110*G110)</x:f>
      </x:c>
      <x:c r="I110" s="36" t="str">
        <x:f>IF(A110="","",SUMIFS('CHI_TIẾT_GIAO_HÀNG'!$D$2:$D$500,'CHI_TIẾT_GIAO_HÀNG'!$C$2:$C$500,A110,'CHI_TIẾT_GIAO_HÀNG'!$E$2:$E$500,"ĐÃ GIAO"))</x:f>
      </x:c>
      <x:c r="J110" s="36" t="str">
        <x:f>IF(A110="","",MAX(0,F110-I110))</x:f>
      </x:c>
      <x:c r="K110" s="35" t="str">
        <x:f>IF(A110="","",H110-(F110*IFERROR(VLOOKUP(C110,'SẢN_PHẨM'!$A$2:$G$500,5,FALSE),0)))</x:f>
      </x:c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36" t="str">
        <x:f>IF(C111="","",IFERROR(VLOOKUP(C111,'SẢN_PHẨM'!$A$2:$G$500,2,FALSE),""))</x:f>
      </x:c>
      <x:c r="E111" s="36" t="str">
        <x:f>IF(C111="","",IFERROR(VLOOKUP(C111,'SẢN_PHẨM'!$A$2:$G$500,3,FALSE),""))</x:f>
      </x:c>
      <x:c r="F111" s="39"/>
      <x:c r="G111" s="44"/>
      <x:c r="H111" s="35" t="str">
        <x:f>IF(OR(F111="",G111=""),"",F111*G111)</x:f>
      </x:c>
      <x:c r="I111" s="36" t="str">
        <x:f>IF(A111="","",SUMIFS('CHI_TIẾT_GIAO_HÀNG'!$D$2:$D$500,'CHI_TIẾT_GIAO_HÀNG'!$C$2:$C$500,A111,'CHI_TIẾT_GIAO_HÀNG'!$E$2:$E$500,"ĐÃ GIAO"))</x:f>
      </x:c>
      <x:c r="J111" s="36" t="str">
        <x:f>IF(A111="","",MAX(0,F111-I111))</x:f>
      </x:c>
      <x:c r="K111" s="35" t="str">
        <x:f>IF(A111="","",H111-(F111*IFERROR(VLOOKUP(C111,'SẢN_PHẨM'!$A$2:$G$500,5,FALSE),0)))</x:f>
      </x:c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36" t="str">
        <x:f>IF(C112="","",IFERROR(VLOOKUP(C112,'SẢN_PHẨM'!$A$2:$G$500,2,FALSE),""))</x:f>
      </x:c>
      <x:c r="E112" s="36" t="str">
        <x:f>IF(C112="","",IFERROR(VLOOKUP(C112,'SẢN_PHẨM'!$A$2:$G$500,3,FALSE),""))</x:f>
      </x:c>
      <x:c r="F112" s="39"/>
      <x:c r="G112" s="44"/>
      <x:c r="H112" s="35" t="str">
        <x:f>IF(OR(F112="",G112=""),"",F112*G112)</x:f>
      </x:c>
      <x:c r="I112" s="36" t="str">
        <x:f>IF(A112="","",SUMIFS('CHI_TIẾT_GIAO_HÀNG'!$D$2:$D$500,'CHI_TIẾT_GIAO_HÀNG'!$C$2:$C$500,A112,'CHI_TIẾT_GIAO_HÀNG'!$E$2:$E$500,"ĐÃ GIAO"))</x:f>
      </x:c>
      <x:c r="J112" s="36" t="str">
        <x:f>IF(A112="","",MAX(0,F112-I112))</x:f>
      </x:c>
      <x:c r="K112" s="35" t="str">
        <x:f>IF(A112="","",H112-(F112*IFERROR(VLOOKUP(C112,'SẢN_PHẨM'!$A$2:$G$500,5,FALSE),0)))</x:f>
      </x:c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36" t="str">
        <x:f>IF(C113="","",IFERROR(VLOOKUP(C113,'SẢN_PHẨM'!$A$2:$G$500,2,FALSE),""))</x:f>
      </x:c>
      <x:c r="E113" s="36" t="str">
        <x:f>IF(C113="","",IFERROR(VLOOKUP(C113,'SẢN_PHẨM'!$A$2:$G$500,3,FALSE),""))</x:f>
      </x:c>
      <x:c r="F113" s="39"/>
      <x:c r="G113" s="44"/>
      <x:c r="H113" s="35" t="str">
        <x:f>IF(OR(F113="",G113=""),"",F113*G113)</x:f>
      </x:c>
      <x:c r="I113" s="36" t="str">
        <x:f>IF(A113="","",SUMIFS('CHI_TIẾT_GIAO_HÀNG'!$D$2:$D$500,'CHI_TIẾT_GIAO_HÀNG'!$C$2:$C$500,A113,'CHI_TIẾT_GIAO_HÀNG'!$E$2:$E$500,"ĐÃ GIAO"))</x:f>
      </x:c>
      <x:c r="J113" s="36" t="str">
        <x:f>IF(A113="","",MAX(0,F113-I113))</x:f>
      </x:c>
      <x:c r="K113" s="35" t="str">
        <x:f>IF(A113="","",H113-(F113*IFERROR(VLOOKUP(C113,'SẢN_PHẨM'!$A$2:$G$500,5,FALSE),0)))</x:f>
      </x:c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36" t="str">
        <x:f>IF(C114="","",IFERROR(VLOOKUP(C114,'SẢN_PHẨM'!$A$2:$G$500,2,FALSE),""))</x:f>
      </x:c>
      <x:c r="E114" s="36" t="str">
        <x:f>IF(C114="","",IFERROR(VLOOKUP(C114,'SẢN_PHẨM'!$A$2:$G$500,3,FALSE),""))</x:f>
      </x:c>
      <x:c r="F114" s="39"/>
      <x:c r="G114" s="44"/>
      <x:c r="H114" s="35" t="str">
        <x:f>IF(OR(F114="",G114=""),"",F114*G114)</x:f>
      </x:c>
      <x:c r="I114" s="36" t="str">
        <x:f>IF(A114="","",SUMIFS('CHI_TIẾT_GIAO_HÀNG'!$D$2:$D$500,'CHI_TIẾT_GIAO_HÀNG'!$C$2:$C$500,A114,'CHI_TIẾT_GIAO_HÀNG'!$E$2:$E$500,"ĐÃ GIAO"))</x:f>
      </x:c>
      <x:c r="J114" s="36" t="str">
        <x:f>IF(A114="","",MAX(0,F114-I114))</x:f>
      </x:c>
      <x:c r="K114" s="35" t="str">
        <x:f>IF(A114="","",H114-(F114*IFERROR(VLOOKUP(C114,'SẢN_PHẨM'!$A$2:$G$500,5,FALSE),0)))</x:f>
      </x:c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36" t="str">
        <x:f>IF(C115="","",IFERROR(VLOOKUP(C115,'SẢN_PHẨM'!$A$2:$G$500,2,FALSE),""))</x:f>
      </x:c>
      <x:c r="E115" s="36" t="str">
        <x:f>IF(C115="","",IFERROR(VLOOKUP(C115,'SẢN_PHẨM'!$A$2:$G$500,3,FALSE),""))</x:f>
      </x:c>
      <x:c r="F115" s="39"/>
      <x:c r="G115" s="44"/>
      <x:c r="H115" s="35" t="str">
        <x:f>IF(OR(F115="",G115=""),"",F115*G115)</x:f>
      </x:c>
      <x:c r="I115" s="36" t="str">
        <x:f>IF(A115="","",SUMIFS('CHI_TIẾT_GIAO_HÀNG'!$D$2:$D$500,'CHI_TIẾT_GIAO_HÀNG'!$C$2:$C$500,A115,'CHI_TIẾT_GIAO_HÀNG'!$E$2:$E$500,"ĐÃ GIAO"))</x:f>
      </x:c>
      <x:c r="J115" s="36" t="str">
        <x:f>IF(A115="","",MAX(0,F115-I115))</x:f>
      </x:c>
      <x:c r="K115" s="35" t="str">
        <x:f>IF(A115="","",H115-(F115*IFERROR(VLOOKUP(C115,'SẢN_PHẨM'!$A$2:$G$500,5,FALSE),0)))</x:f>
      </x:c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36" t="str">
        <x:f>IF(C116="","",IFERROR(VLOOKUP(C116,'SẢN_PHẨM'!$A$2:$G$500,2,FALSE),""))</x:f>
      </x:c>
      <x:c r="E116" s="36" t="str">
        <x:f>IF(C116="","",IFERROR(VLOOKUP(C116,'SẢN_PHẨM'!$A$2:$G$500,3,FALSE),""))</x:f>
      </x:c>
      <x:c r="F116" s="39"/>
      <x:c r="G116" s="44"/>
      <x:c r="H116" s="35" t="str">
        <x:f>IF(OR(F116="",G116=""),"",F116*G116)</x:f>
      </x:c>
      <x:c r="I116" s="36" t="str">
        <x:f>IF(A116="","",SUMIFS('CHI_TIẾT_GIAO_HÀNG'!$D$2:$D$500,'CHI_TIẾT_GIAO_HÀNG'!$C$2:$C$500,A116,'CHI_TIẾT_GIAO_HÀNG'!$E$2:$E$500,"ĐÃ GIAO"))</x:f>
      </x:c>
      <x:c r="J116" s="36" t="str">
        <x:f>IF(A116="","",MAX(0,F116-I116))</x:f>
      </x:c>
      <x:c r="K116" s="35" t="str">
        <x:f>IF(A116="","",H116-(F116*IFERROR(VLOOKUP(C116,'SẢN_PHẨM'!$A$2:$G$500,5,FALSE),0)))</x:f>
      </x:c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36" t="str">
        <x:f>IF(C117="","",IFERROR(VLOOKUP(C117,'SẢN_PHẨM'!$A$2:$G$500,2,FALSE),""))</x:f>
      </x:c>
      <x:c r="E117" s="36" t="str">
        <x:f>IF(C117="","",IFERROR(VLOOKUP(C117,'SẢN_PHẨM'!$A$2:$G$500,3,FALSE),""))</x:f>
      </x:c>
      <x:c r="F117" s="39"/>
      <x:c r="G117" s="44"/>
      <x:c r="H117" s="35" t="str">
        <x:f>IF(OR(F117="",G117=""),"",F117*G117)</x:f>
      </x:c>
      <x:c r="I117" s="36" t="str">
        <x:f>IF(A117="","",SUMIFS('CHI_TIẾT_GIAO_HÀNG'!$D$2:$D$500,'CHI_TIẾT_GIAO_HÀNG'!$C$2:$C$500,A117,'CHI_TIẾT_GIAO_HÀNG'!$E$2:$E$500,"ĐÃ GIAO"))</x:f>
      </x:c>
      <x:c r="J117" s="36" t="str">
        <x:f>IF(A117="","",MAX(0,F117-I117))</x:f>
      </x:c>
      <x:c r="K117" s="35" t="str">
        <x:f>IF(A117="","",H117-(F117*IFERROR(VLOOKUP(C117,'SẢN_PHẨM'!$A$2:$G$500,5,FALSE),0)))</x:f>
      </x:c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36" t="str">
        <x:f>IF(C118="","",IFERROR(VLOOKUP(C118,'SẢN_PHẨM'!$A$2:$G$500,2,FALSE),""))</x:f>
      </x:c>
      <x:c r="E118" s="36" t="str">
        <x:f>IF(C118="","",IFERROR(VLOOKUP(C118,'SẢN_PHẨM'!$A$2:$G$500,3,FALSE),""))</x:f>
      </x:c>
      <x:c r="F118" s="39"/>
      <x:c r="G118" s="44"/>
      <x:c r="H118" s="35" t="str">
        <x:f>IF(OR(F118="",G118=""),"",F118*G118)</x:f>
      </x:c>
      <x:c r="I118" s="36" t="str">
        <x:f>IF(A118="","",SUMIFS('CHI_TIẾT_GIAO_HÀNG'!$D$2:$D$500,'CHI_TIẾT_GIAO_HÀNG'!$C$2:$C$500,A118,'CHI_TIẾT_GIAO_HÀNG'!$E$2:$E$500,"ĐÃ GIAO"))</x:f>
      </x:c>
      <x:c r="J118" s="36" t="str">
        <x:f>IF(A118="","",MAX(0,F118-I118))</x:f>
      </x:c>
      <x:c r="K118" s="35" t="str">
        <x:f>IF(A118="","",H118-(F118*IFERROR(VLOOKUP(C118,'SẢN_PHẨM'!$A$2:$G$500,5,FALSE),0)))</x:f>
      </x:c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36" t="str">
        <x:f>IF(C119="","",IFERROR(VLOOKUP(C119,'SẢN_PHẨM'!$A$2:$G$500,2,FALSE),""))</x:f>
      </x:c>
      <x:c r="E119" s="36" t="str">
        <x:f>IF(C119="","",IFERROR(VLOOKUP(C119,'SẢN_PHẨM'!$A$2:$G$500,3,FALSE),""))</x:f>
      </x:c>
      <x:c r="F119" s="39"/>
      <x:c r="G119" s="44"/>
      <x:c r="H119" s="35" t="str">
        <x:f>IF(OR(F119="",G119=""),"",F119*G119)</x:f>
      </x:c>
      <x:c r="I119" s="36" t="str">
        <x:f>IF(A119="","",SUMIFS('CHI_TIẾT_GIAO_HÀNG'!$D$2:$D$500,'CHI_TIẾT_GIAO_HÀNG'!$C$2:$C$500,A119,'CHI_TIẾT_GIAO_HÀNG'!$E$2:$E$500,"ĐÃ GIAO"))</x:f>
      </x:c>
      <x:c r="J119" s="36" t="str">
        <x:f>IF(A119="","",MAX(0,F119-I119))</x:f>
      </x:c>
      <x:c r="K119" s="35" t="str">
        <x:f>IF(A119="","",H119-(F119*IFERROR(VLOOKUP(C119,'SẢN_PHẨM'!$A$2:$G$500,5,FALSE),0)))</x:f>
      </x:c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36" t="str">
        <x:f>IF(C120="","",IFERROR(VLOOKUP(C120,'SẢN_PHẨM'!$A$2:$G$500,2,FALSE),""))</x:f>
      </x:c>
      <x:c r="E120" s="36" t="str">
        <x:f>IF(C120="","",IFERROR(VLOOKUP(C120,'SẢN_PHẨM'!$A$2:$G$500,3,FALSE),""))</x:f>
      </x:c>
      <x:c r="F120" s="39"/>
      <x:c r="G120" s="44"/>
      <x:c r="H120" s="35" t="str">
        <x:f>IF(OR(F120="",G120=""),"",F120*G120)</x:f>
      </x:c>
      <x:c r="I120" s="36" t="str">
        <x:f>IF(A120="","",SUMIFS('CHI_TIẾT_GIAO_HÀNG'!$D$2:$D$500,'CHI_TIẾT_GIAO_HÀNG'!$C$2:$C$500,A120,'CHI_TIẾT_GIAO_HÀNG'!$E$2:$E$500,"ĐÃ GIAO"))</x:f>
      </x:c>
      <x:c r="J120" s="36" t="str">
        <x:f>IF(A120="","",MAX(0,F120-I120))</x:f>
      </x:c>
      <x:c r="K120" s="35" t="str">
        <x:f>IF(A120="","",H120-(F120*IFERROR(VLOOKUP(C120,'SẢN_PHẨM'!$A$2:$G$500,5,FALSE),0)))</x:f>
      </x:c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36" t="str">
        <x:f>IF(C121="","",IFERROR(VLOOKUP(C121,'SẢN_PHẨM'!$A$2:$G$500,2,FALSE),""))</x:f>
      </x:c>
      <x:c r="E121" s="36" t="str">
        <x:f>IF(C121="","",IFERROR(VLOOKUP(C121,'SẢN_PHẨM'!$A$2:$G$500,3,FALSE),""))</x:f>
      </x:c>
      <x:c r="F121" s="39"/>
      <x:c r="G121" s="44"/>
      <x:c r="H121" s="35" t="str">
        <x:f>IF(OR(F121="",G121=""),"",F121*G121)</x:f>
      </x:c>
      <x:c r="I121" s="36" t="str">
        <x:f>IF(A121="","",SUMIFS('CHI_TIẾT_GIAO_HÀNG'!$D$2:$D$500,'CHI_TIẾT_GIAO_HÀNG'!$C$2:$C$500,A121,'CHI_TIẾT_GIAO_HÀNG'!$E$2:$E$500,"ĐÃ GIAO"))</x:f>
      </x:c>
      <x:c r="J121" s="36" t="str">
        <x:f>IF(A121="","",MAX(0,F121-I121))</x:f>
      </x:c>
      <x:c r="K121" s="35" t="str">
        <x:f>IF(A121="","",H121-(F121*IFERROR(VLOOKUP(C121,'SẢN_PHẨM'!$A$2:$G$500,5,FALSE),0)))</x:f>
      </x:c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36" t="str">
        <x:f>IF(C122="","",IFERROR(VLOOKUP(C122,'SẢN_PHẨM'!$A$2:$G$500,2,FALSE),""))</x:f>
      </x:c>
      <x:c r="E122" s="36" t="str">
        <x:f>IF(C122="","",IFERROR(VLOOKUP(C122,'SẢN_PHẨM'!$A$2:$G$500,3,FALSE),""))</x:f>
      </x:c>
      <x:c r="F122" s="39"/>
      <x:c r="G122" s="44"/>
      <x:c r="H122" s="35" t="str">
        <x:f>IF(OR(F122="",G122=""),"",F122*G122)</x:f>
      </x:c>
      <x:c r="I122" s="36" t="str">
        <x:f>IF(A122="","",SUMIFS('CHI_TIẾT_GIAO_HÀNG'!$D$2:$D$500,'CHI_TIẾT_GIAO_HÀNG'!$C$2:$C$500,A122,'CHI_TIẾT_GIAO_HÀNG'!$E$2:$E$500,"ĐÃ GIAO"))</x:f>
      </x:c>
      <x:c r="J122" s="36" t="str">
        <x:f>IF(A122="","",MAX(0,F122-I122))</x:f>
      </x:c>
      <x:c r="K122" s="35" t="str">
        <x:f>IF(A122="","",H122-(F122*IFERROR(VLOOKUP(C122,'SẢN_PHẨM'!$A$2:$G$500,5,FALSE),0)))</x:f>
      </x:c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36" t="str">
        <x:f>IF(C123="","",IFERROR(VLOOKUP(C123,'SẢN_PHẨM'!$A$2:$G$500,2,FALSE),""))</x:f>
      </x:c>
      <x:c r="E123" s="36" t="str">
        <x:f>IF(C123="","",IFERROR(VLOOKUP(C123,'SẢN_PHẨM'!$A$2:$G$500,3,FALSE),""))</x:f>
      </x:c>
      <x:c r="F123" s="39"/>
      <x:c r="G123" s="44"/>
      <x:c r="H123" s="35" t="str">
        <x:f>IF(OR(F123="",G123=""),"",F123*G123)</x:f>
      </x:c>
      <x:c r="I123" s="36" t="str">
        <x:f>IF(A123="","",SUMIFS('CHI_TIẾT_GIAO_HÀNG'!$D$2:$D$500,'CHI_TIẾT_GIAO_HÀNG'!$C$2:$C$500,A123,'CHI_TIẾT_GIAO_HÀNG'!$E$2:$E$500,"ĐÃ GIAO"))</x:f>
      </x:c>
      <x:c r="J123" s="36" t="str">
        <x:f>IF(A123="","",MAX(0,F123-I123))</x:f>
      </x:c>
      <x:c r="K123" s="35" t="str">
        <x:f>IF(A123="","",H123-(F123*IFERROR(VLOOKUP(C123,'SẢN_PHẨM'!$A$2:$G$500,5,FALSE),0)))</x:f>
      </x:c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36" t="str">
        <x:f>IF(C124="","",IFERROR(VLOOKUP(C124,'SẢN_PHẨM'!$A$2:$G$500,2,FALSE),""))</x:f>
      </x:c>
      <x:c r="E124" s="36" t="str">
        <x:f>IF(C124="","",IFERROR(VLOOKUP(C124,'SẢN_PHẨM'!$A$2:$G$500,3,FALSE),""))</x:f>
      </x:c>
      <x:c r="F124" s="39"/>
      <x:c r="G124" s="44"/>
      <x:c r="H124" s="35" t="str">
        <x:f>IF(OR(F124="",G124=""),"",F124*G124)</x:f>
      </x:c>
      <x:c r="I124" s="36" t="str">
        <x:f>IF(A124="","",SUMIFS('CHI_TIẾT_GIAO_HÀNG'!$D$2:$D$500,'CHI_TIẾT_GIAO_HÀNG'!$C$2:$C$500,A124,'CHI_TIẾT_GIAO_HÀNG'!$E$2:$E$500,"ĐÃ GIAO"))</x:f>
      </x:c>
      <x:c r="J124" s="36" t="str">
        <x:f>IF(A124="","",MAX(0,F124-I124))</x:f>
      </x:c>
      <x:c r="K124" s="35" t="str">
        <x:f>IF(A124="","",H124-(F124*IFERROR(VLOOKUP(C124,'SẢN_PHẨM'!$A$2:$G$500,5,FALSE),0)))</x:f>
      </x:c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36" t="str">
        <x:f>IF(C125="","",IFERROR(VLOOKUP(C125,'SẢN_PHẨM'!$A$2:$G$500,2,FALSE),""))</x:f>
      </x:c>
      <x:c r="E125" s="36" t="str">
        <x:f>IF(C125="","",IFERROR(VLOOKUP(C125,'SẢN_PHẨM'!$A$2:$G$500,3,FALSE),""))</x:f>
      </x:c>
      <x:c r="F125" s="39"/>
      <x:c r="G125" s="44"/>
      <x:c r="H125" s="35" t="str">
        <x:f>IF(OR(F125="",G125=""),"",F125*G125)</x:f>
      </x:c>
      <x:c r="I125" s="36" t="str">
        <x:f>IF(A125="","",SUMIFS('CHI_TIẾT_GIAO_HÀNG'!$D$2:$D$500,'CHI_TIẾT_GIAO_HÀNG'!$C$2:$C$500,A125,'CHI_TIẾT_GIAO_HÀNG'!$E$2:$E$500,"ĐÃ GIAO"))</x:f>
      </x:c>
      <x:c r="J125" s="36" t="str">
        <x:f>IF(A125="","",MAX(0,F125-I125))</x:f>
      </x:c>
      <x:c r="K125" s="35" t="str">
        <x:f>IF(A125="","",H125-(F125*IFERROR(VLOOKUP(C125,'SẢN_PHẨM'!$A$2:$G$500,5,FALSE),0)))</x:f>
      </x:c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36" t="str">
        <x:f>IF(C126="","",IFERROR(VLOOKUP(C126,'SẢN_PHẨM'!$A$2:$G$500,2,FALSE),""))</x:f>
      </x:c>
      <x:c r="E126" s="36" t="str">
        <x:f>IF(C126="","",IFERROR(VLOOKUP(C126,'SẢN_PHẨM'!$A$2:$G$500,3,FALSE),""))</x:f>
      </x:c>
      <x:c r="F126" s="39"/>
      <x:c r="G126" s="44"/>
      <x:c r="H126" s="35" t="str">
        <x:f>IF(OR(F126="",G126=""),"",F126*G126)</x:f>
      </x:c>
      <x:c r="I126" s="36" t="str">
        <x:f>IF(A126="","",SUMIFS('CHI_TIẾT_GIAO_HÀNG'!$D$2:$D$500,'CHI_TIẾT_GIAO_HÀNG'!$C$2:$C$500,A126,'CHI_TIẾT_GIAO_HÀNG'!$E$2:$E$500,"ĐÃ GIAO"))</x:f>
      </x:c>
      <x:c r="J126" s="36" t="str">
        <x:f>IF(A126="","",MAX(0,F126-I126))</x:f>
      </x:c>
      <x:c r="K126" s="35" t="str">
        <x:f>IF(A126="","",H126-(F126*IFERROR(VLOOKUP(C126,'SẢN_PHẨM'!$A$2:$G$500,5,FALSE),0)))</x:f>
      </x:c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36" t="str">
        <x:f>IF(C127="","",IFERROR(VLOOKUP(C127,'SẢN_PHẨM'!$A$2:$G$500,2,FALSE),""))</x:f>
      </x:c>
      <x:c r="E127" s="36" t="str">
        <x:f>IF(C127="","",IFERROR(VLOOKUP(C127,'SẢN_PHẨM'!$A$2:$G$500,3,FALSE),""))</x:f>
      </x:c>
      <x:c r="F127" s="39"/>
      <x:c r="G127" s="44"/>
      <x:c r="H127" s="35" t="str">
        <x:f>IF(OR(F127="",G127=""),"",F127*G127)</x:f>
      </x:c>
      <x:c r="I127" s="36" t="str">
        <x:f>IF(A127="","",SUMIFS('CHI_TIẾT_GIAO_HÀNG'!$D$2:$D$500,'CHI_TIẾT_GIAO_HÀNG'!$C$2:$C$500,A127,'CHI_TIẾT_GIAO_HÀNG'!$E$2:$E$500,"ĐÃ GIAO"))</x:f>
      </x:c>
      <x:c r="J127" s="36" t="str">
        <x:f>IF(A127="","",MAX(0,F127-I127))</x:f>
      </x:c>
      <x:c r="K127" s="35" t="str">
        <x:f>IF(A127="","",H127-(F127*IFERROR(VLOOKUP(C127,'SẢN_PHẨM'!$A$2:$G$500,5,FALSE),0)))</x:f>
      </x:c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36" t="str">
        <x:f>IF(C128="","",IFERROR(VLOOKUP(C128,'SẢN_PHẨM'!$A$2:$G$500,2,FALSE),""))</x:f>
      </x:c>
      <x:c r="E128" s="36" t="str">
        <x:f>IF(C128="","",IFERROR(VLOOKUP(C128,'SẢN_PHẨM'!$A$2:$G$500,3,FALSE),""))</x:f>
      </x:c>
      <x:c r="F128" s="39"/>
      <x:c r="G128" s="44"/>
      <x:c r="H128" s="35" t="str">
        <x:f>IF(OR(F128="",G128=""),"",F128*G128)</x:f>
      </x:c>
      <x:c r="I128" s="36" t="str">
        <x:f>IF(A128="","",SUMIFS('CHI_TIẾT_GIAO_HÀNG'!$D$2:$D$500,'CHI_TIẾT_GIAO_HÀNG'!$C$2:$C$500,A128,'CHI_TIẾT_GIAO_HÀNG'!$E$2:$E$500,"ĐÃ GIAO"))</x:f>
      </x:c>
      <x:c r="J128" s="36" t="str">
        <x:f>IF(A128="","",MAX(0,F128-I128))</x:f>
      </x:c>
      <x:c r="K128" s="35" t="str">
        <x:f>IF(A128="","",H128-(F128*IFERROR(VLOOKUP(C128,'SẢN_PHẨM'!$A$2:$G$500,5,FALSE),0)))</x:f>
      </x:c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36" t="str">
        <x:f>IF(C129="","",IFERROR(VLOOKUP(C129,'SẢN_PHẨM'!$A$2:$G$500,2,FALSE),""))</x:f>
      </x:c>
      <x:c r="E129" s="36" t="str">
        <x:f>IF(C129="","",IFERROR(VLOOKUP(C129,'SẢN_PHẨM'!$A$2:$G$500,3,FALSE),""))</x:f>
      </x:c>
      <x:c r="F129" s="39"/>
      <x:c r="G129" s="44"/>
      <x:c r="H129" s="35" t="str">
        <x:f>IF(OR(F129="",G129=""),"",F129*G129)</x:f>
      </x:c>
      <x:c r="I129" s="36" t="str">
        <x:f>IF(A129="","",SUMIFS('CHI_TIẾT_GIAO_HÀNG'!$D$2:$D$500,'CHI_TIẾT_GIAO_HÀNG'!$C$2:$C$500,A129,'CHI_TIẾT_GIAO_HÀNG'!$E$2:$E$500,"ĐÃ GIAO"))</x:f>
      </x:c>
      <x:c r="J129" s="36" t="str">
        <x:f>IF(A129="","",MAX(0,F129-I129))</x:f>
      </x:c>
      <x:c r="K129" s="35" t="str">
        <x:f>IF(A129="","",H129-(F129*IFERROR(VLOOKUP(C129,'SẢN_PHẨM'!$A$2:$G$500,5,FALSE),0)))</x:f>
      </x:c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36" t="str">
        <x:f>IF(C130="","",IFERROR(VLOOKUP(C130,'SẢN_PHẨM'!$A$2:$G$500,2,FALSE),""))</x:f>
      </x:c>
      <x:c r="E130" s="36" t="str">
        <x:f>IF(C130="","",IFERROR(VLOOKUP(C130,'SẢN_PHẨM'!$A$2:$G$500,3,FALSE),""))</x:f>
      </x:c>
      <x:c r="F130" s="39"/>
      <x:c r="G130" s="44"/>
      <x:c r="H130" s="35" t="str">
        <x:f>IF(OR(F130="",G130=""),"",F130*G130)</x:f>
      </x:c>
      <x:c r="I130" s="36" t="str">
        <x:f>IF(A130="","",SUMIFS('CHI_TIẾT_GIAO_HÀNG'!$D$2:$D$500,'CHI_TIẾT_GIAO_HÀNG'!$C$2:$C$500,A130,'CHI_TIẾT_GIAO_HÀNG'!$E$2:$E$500,"ĐÃ GIAO"))</x:f>
      </x:c>
      <x:c r="J130" s="36" t="str">
        <x:f>IF(A130="","",MAX(0,F130-I130))</x:f>
      </x:c>
      <x:c r="K130" s="35" t="str">
        <x:f>IF(A130="","",H130-(F130*IFERROR(VLOOKUP(C130,'SẢN_PHẨM'!$A$2:$G$500,5,FALSE),0)))</x:f>
      </x:c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36" t="str">
        <x:f>IF(C131="","",IFERROR(VLOOKUP(C131,'SẢN_PHẨM'!$A$2:$G$500,2,FALSE),""))</x:f>
      </x:c>
      <x:c r="E131" s="36" t="str">
        <x:f>IF(C131="","",IFERROR(VLOOKUP(C131,'SẢN_PHẨM'!$A$2:$G$500,3,FALSE),""))</x:f>
      </x:c>
      <x:c r="F131" s="39"/>
      <x:c r="G131" s="44"/>
      <x:c r="H131" s="35" t="str">
        <x:f>IF(OR(F131="",G131=""),"",F131*G131)</x:f>
      </x:c>
      <x:c r="I131" s="36" t="str">
        <x:f>IF(A131="","",SUMIFS('CHI_TIẾT_GIAO_HÀNG'!$D$2:$D$500,'CHI_TIẾT_GIAO_HÀNG'!$C$2:$C$500,A131,'CHI_TIẾT_GIAO_HÀNG'!$E$2:$E$500,"ĐÃ GIAO"))</x:f>
      </x:c>
      <x:c r="J131" s="36" t="str">
        <x:f>IF(A131="","",MAX(0,F131-I131))</x:f>
      </x:c>
      <x:c r="K131" s="35" t="str">
        <x:f>IF(A131="","",H131-(F131*IFERROR(VLOOKUP(C131,'SẢN_PHẨM'!$A$2:$G$500,5,FALSE),0)))</x:f>
      </x:c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36" t="str">
        <x:f>IF(C132="","",IFERROR(VLOOKUP(C132,'SẢN_PHẨM'!$A$2:$G$500,2,FALSE),""))</x:f>
      </x:c>
      <x:c r="E132" s="36" t="str">
        <x:f>IF(C132="","",IFERROR(VLOOKUP(C132,'SẢN_PHẨM'!$A$2:$G$500,3,FALSE),""))</x:f>
      </x:c>
      <x:c r="F132" s="39"/>
      <x:c r="G132" s="44"/>
      <x:c r="H132" s="35" t="str">
        <x:f>IF(OR(F132="",G132=""),"",F132*G132)</x:f>
      </x:c>
      <x:c r="I132" s="36" t="str">
        <x:f>IF(A132="","",SUMIFS('CHI_TIẾT_GIAO_HÀNG'!$D$2:$D$500,'CHI_TIẾT_GIAO_HÀNG'!$C$2:$C$500,A132,'CHI_TIẾT_GIAO_HÀNG'!$E$2:$E$500,"ĐÃ GIAO"))</x:f>
      </x:c>
      <x:c r="J132" s="36" t="str">
        <x:f>IF(A132="","",MAX(0,F132-I132))</x:f>
      </x:c>
      <x:c r="K132" s="35" t="str">
        <x:f>IF(A132="","",H132-(F132*IFERROR(VLOOKUP(C132,'SẢN_PHẨM'!$A$2:$G$500,5,FALSE),0)))</x:f>
      </x:c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36" t="str">
        <x:f>IF(C133="","",IFERROR(VLOOKUP(C133,'SẢN_PHẨM'!$A$2:$G$500,2,FALSE),""))</x:f>
      </x:c>
      <x:c r="E133" s="36" t="str">
        <x:f>IF(C133="","",IFERROR(VLOOKUP(C133,'SẢN_PHẨM'!$A$2:$G$500,3,FALSE),""))</x:f>
      </x:c>
      <x:c r="F133" s="39"/>
      <x:c r="G133" s="44"/>
      <x:c r="H133" s="35" t="str">
        <x:f>IF(OR(F133="",G133=""),"",F133*G133)</x:f>
      </x:c>
      <x:c r="I133" s="36" t="str">
        <x:f>IF(A133="","",SUMIFS('CHI_TIẾT_GIAO_HÀNG'!$D$2:$D$500,'CHI_TIẾT_GIAO_HÀNG'!$C$2:$C$500,A133,'CHI_TIẾT_GIAO_HÀNG'!$E$2:$E$500,"ĐÃ GIAO"))</x:f>
      </x:c>
      <x:c r="J133" s="36" t="str">
        <x:f>IF(A133="","",MAX(0,F133-I133))</x:f>
      </x:c>
      <x:c r="K133" s="35" t="str">
        <x:f>IF(A133="","",H133-(F133*IFERROR(VLOOKUP(C133,'SẢN_PHẨM'!$A$2:$G$500,5,FALSE),0)))</x:f>
      </x:c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36" t="str">
        <x:f>IF(C134="","",IFERROR(VLOOKUP(C134,'SẢN_PHẨM'!$A$2:$G$500,2,FALSE),""))</x:f>
      </x:c>
      <x:c r="E134" s="36" t="str">
        <x:f>IF(C134="","",IFERROR(VLOOKUP(C134,'SẢN_PHẨM'!$A$2:$G$500,3,FALSE),""))</x:f>
      </x:c>
      <x:c r="F134" s="39"/>
      <x:c r="G134" s="44"/>
      <x:c r="H134" s="35" t="str">
        <x:f>IF(OR(F134="",G134=""),"",F134*G134)</x:f>
      </x:c>
      <x:c r="I134" s="36" t="str">
        <x:f>IF(A134="","",SUMIFS('CHI_TIẾT_GIAO_HÀNG'!$D$2:$D$500,'CHI_TIẾT_GIAO_HÀNG'!$C$2:$C$500,A134,'CHI_TIẾT_GIAO_HÀNG'!$E$2:$E$500,"ĐÃ GIAO"))</x:f>
      </x:c>
      <x:c r="J134" s="36" t="str">
        <x:f>IF(A134="","",MAX(0,F134-I134))</x:f>
      </x:c>
      <x:c r="K134" s="35" t="str">
        <x:f>IF(A134="","",H134-(F134*IFERROR(VLOOKUP(C134,'SẢN_PHẨM'!$A$2:$G$500,5,FALSE),0)))</x:f>
      </x:c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36" t="str">
        <x:f>IF(C135="","",IFERROR(VLOOKUP(C135,'SẢN_PHẨM'!$A$2:$G$500,2,FALSE),""))</x:f>
      </x:c>
      <x:c r="E135" s="36" t="str">
        <x:f>IF(C135="","",IFERROR(VLOOKUP(C135,'SẢN_PHẨM'!$A$2:$G$500,3,FALSE),""))</x:f>
      </x:c>
      <x:c r="F135" s="39"/>
      <x:c r="G135" s="44"/>
      <x:c r="H135" s="35" t="str">
        <x:f>IF(OR(F135="",G135=""),"",F135*G135)</x:f>
      </x:c>
      <x:c r="I135" s="36" t="str">
        <x:f>IF(A135="","",SUMIFS('CHI_TIẾT_GIAO_HÀNG'!$D$2:$D$500,'CHI_TIẾT_GIAO_HÀNG'!$C$2:$C$500,A135,'CHI_TIẾT_GIAO_HÀNG'!$E$2:$E$500,"ĐÃ GIAO"))</x:f>
      </x:c>
      <x:c r="J135" s="36" t="str">
        <x:f>IF(A135="","",MAX(0,F135-I135))</x:f>
      </x:c>
      <x:c r="K135" s="35" t="str">
        <x:f>IF(A135="","",H135-(F135*IFERROR(VLOOKUP(C135,'SẢN_PHẨM'!$A$2:$G$500,5,FALSE),0)))</x:f>
      </x:c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36" t="str">
        <x:f>IF(C136="","",IFERROR(VLOOKUP(C136,'SẢN_PHẨM'!$A$2:$G$500,2,FALSE),""))</x:f>
      </x:c>
      <x:c r="E136" s="36" t="str">
        <x:f>IF(C136="","",IFERROR(VLOOKUP(C136,'SẢN_PHẨM'!$A$2:$G$500,3,FALSE),""))</x:f>
      </x:c>
      <x:c r="F136" s="39"/>
      <x:c r="G136" s="44"/>
      <x:c r="H136" s="35" t="str">
        <x:f>IF(OR(F136="",G136=""),"",F136*G136)</x:f>
      </x:c>
      <x:c r="I136" s="36" t="str">
        <x:f>IF(A136="","",SUMIFS('CHI_TIẾT_GIAO_HÀNG'!$D$2:$D$500,'CHI_TIẾT_GIAO_HÀNG'!$C$2:$C$500,A136,'CHI_TIẾT_GIAO_HÀNG'!$E$2:$E$500,"ĐÃ GIAO"))</x:f>
      </x:c>
      <x:c r="J136" s="36" t="str">
        <x:f>IF(A136="","",MAX(0,F136-I136))</x:f>
      </x:c>
      <x:c r="K136" s="35" t="str">
        <x:f>IF(A136="","",H136-(F136*IFERROR(VLOOKUP(C136,'SẢN_PHẨM'!$A$2:$G$500,5,FALSE),0)))</x:f>
      </x:c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36" t="str">
        <x:f>IF(C137="","",IFERROR(VLOOKUP(C137,'SẢN_PHẨM'!$A$2:$G$500,2,FALSE),""))</x:f>
      </x:c>
      <x:c r="E137" s="36" t="str">
        <x:f>IF(C137="","",IFERROR(VLOOKUP(C137,'SẢN_PHẨM'!$A$2:$G$500,3,FALSE),""))</x:f>
      </x:c>
      <x:c r="F137" s="39"/>
      <x:c r="G137" s="44"/>
      <x:c r="H137" s="35" t="str">
        <x:f>IF(OR(F137="",G137=""),"",F137*G137)</x:f>
      </x:c>
      <x:c r="I137" s="36" t="str">
        <x:f>IF(A137="","",SUMIFS('CHI_TIẾT_GIAO_HÀNG'!$D$2:$D$500,'CHI_TIẾT_GIAO_HÀNG'!$C$2:$C$500,A137,'CHI_TIẾT_GIAO_HÀNG'!$E$2:$E$500,"ĐÃ GIAO"))</x:f>
      </x:c>
      <x:c r="J137" s="36" t="str">
        <x:f>IF(A137="","",MAX(0,F137-I137))</x:f>
      </x:c>
      <x:c r="K137" s="35" t="str">
        <x:f>IF(A137="","",H137-(F137*IFERROR(VLOOKUP(C137,'SẢN_PHẨM'!$A$2:$G$500,5,FALSE),0)))</x:f>
      </x:c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36" t="str">
        <x:f>IF(C138="","",IFERROR(VLOOKUP(C138,'SẢN_PHẨM'!$A$2:$G$500,2,FALSE),""))</x:f>
      </x:c>
      <x:c r="E138" s="36" t="str">
        <x:f>IF(C138="","",IFERROR(VLOOKUP(C138,'SẢN_PHẨM'!$A$2:$G$500,3,FALSE),""))</x:f>
      </x:c>
      <x:c r="F138" s="39"/>
      <x:c r="G138" s="44"/>
      <x:c r="H138" s="35" t="str">
        <x:f>IF(OR(F138="",G138=""),"",F138*G138)</x:f>
      </x:c>
      <x:c r="I138" s="36" t="str">
        <x:f>IF(A138="","",SUMIFS('CHI_TIẾT_GIAO_HÀNG'!$D$2:$D$500,'CHI_TIẾT_GIAO_HÀNG'!$C$2:$C$500,A138,'CHI_TIẾT_GIAO_HÀNG'!$E$2:$E$500,"ĐÃ GIAO"))</x:f>
      </x:c>
      <x:c r="J138" s="36" t="str">
        <x:f>IF(A138="","",MAX(0,F138-I138))</x:f>
      </x:c>
      <x:c r="K138" s="35" t="str">
        <x:f>IF(A138="","",H138-(F138*IFERROR(VLOOKUP(C138,'SẢN_PHẨM'!$A$2:$G$500,5,FALSE),0)))</x:f>
      </x:c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36" t="str">
        <x:f>IF(C139="","",IFERROR(VLOOKUP(C139,'SẢN_PHẨM'!$A$2:$G$500,2,FALSE),""))</x:f>
      </x:c>
      <x:c r="E139" s="36" t="str">
        <x:f>IF(C139="","",IFERROR(VLOOKUP(C139,'SẢN_PHẨM'!$A$2:$G$500,3,FALSE),""))</x:f>
      </x:c>
      <x:c r="F139" s="39"/>
      <x:c r="G139" s="44"/>
      <x:c r="H139" s="35" t="str">
        <x:f>IF(OR(F139="",G139=""),"",F139*G139)</x:f>
      </x:c>
      <x:c r="I139" s="36" t="str">
        <x:f>IF(A139="","",SUMIFS('CHI_TIẾT_GIAO_HÀNG'!$D$2:$D$500,'CHI_TIẾT_GIAO_HÀNG'!$C$2:$C$500,A139,'CHI_TIẾT_GIAO_HÀNG'!$E$2:$E$500,"ĐÃ GIAO"))</x:f>
      </x:c>
      <x:c r="J139" s="36" t="str">
        <x:f>IF(A139="","",MAX(0,F139-I139))</x:f>
      </x:c>
      <x:c r="K139" s="35" t="str">
        <x:f>IF(A139="","",H139-(F139*IFERROR(VLOOKUP(C139,'SẢN_PHẨM'!$A$2:$G$500,5,FALSE),0)))</x:f>
      </x:c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36" t="str">
        <x:f>IF(C140="","",IFERROR(VLOOKUP(C140,'SẢN_PHẨM'!$A$2:$G$500,2,FALSE),""))</x:f>
      </x:c>
      <x:c r="E140" s="36" t="str">
        <x:f>IF(C140="","",IFERROR(VLOOKUP(C140,'SẢN_PHẨM'!$A$2:$G$500,3,FALSE),""))</x:f>
      </x:c>
      <x:c r="F140" s="39"/>
      <x:c r="G140" s="44"/>
      <x:c r="H140" s="35" t="str">
        <x:f>IF(OR(F140="",G140=""),"",F140*G140)</x:f>
      </x:c>
      <x:c r="I140" s="36" t="str">
        <x:f>IF(A140="","",SUMIFS('CHI_TIẾT_GIAO_HÀNG'!$D$2:$D$500,'CHI_TIẾT_GIAO_HÀNG'!$C$2:$C$500,A140,'CHI_TIẾT_GIAO_HÀNG'!$E$2:$E$500,"ĐÃ GIAO"))</x:f>
      </x:c>
      <x:c r="J140" s="36" t="str">
        <x:f>IF(A140="","",MAX(0,F140-I140))</x:f>
      </x:c>
      <x:c r="K140" s="35" t="str">
        <x:f>IF(A140="","",H140-(F140*IFERROR(VLOOKUP(C140,'SẢN_PHẨM'!$A$2:$G$500,5,FALSE),0)))</x:f>
      </x:c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36" t="str">
        <x:f>IF(C141="","",IFERROR(VLOOKUP(C141,'SẢN_PHẨM'!$A$2:$G$500,2,FALSE),""))</x:f>
      </x:c>
      <x:c r="E141" s="36" t="str">
        <x:f>IF(C141="","",IFERROR(VLOOKUP(C141,'SẢN_PHẨM'!$A$2:$G$500,3,FALSE),""))</x:f>
      </x:c>
      <x:c r="F141" s="39"/>
      <x:c r="G141" s="44"/>
      <x:c r="H141" s="35" t="str">
        <x:f>IF(OR(F141="",G141=""),"",F141*G141)</x:f>
      </x:c>
      <x:c r="I141" s="36" t="str">
        <x:f>IF(A141="","",SUMIFS('CHI_TIẾT_GIAO_HÀNG'!$D$2:$D$500,'CHI_TIẾT_GIAO_HÀNG'!$C$2:$C$500,A141,'CHI_TIẾT_GIAO_HÀNG'!$E$2:$E$500,"ĐÃ GIAO"))</x:f>
      </x:c>
      <x:c r="J141" s="36" t="str">
        <x:f>IF(A141="","",MAX(0,F141-I141))</x:f>
      </x:c>
      <x:c r="K141" s="35" t="str">
        <x:f>IF(A141="","",H141-(F141*IFERROR(VLOOKUP(C141,'SẢN_PHẨM'!$A$2:$G$500,5,FALSE),0)))</x:f>
      </x:c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36" t="str">
        <x:f>IF(C142="","",IFERROR(VLOOKUP(C142,'SẢN_PHẨM'!$A$2:$G$500,2,FALSE),""))</x:f>
      </x:c>
      <x:c r="E142" s="36" t="str">
        <x:f>IF(C142="","",IFERROR(VLOOKUP(C142,'SẢN_PHẨM'!$A$2:$G$500,3,FALSE),""))</x:f>
      </x:c>
      <x:c r="F142" s="39"/>
      <x:c r="G142" s="44"/>
      <x:c r="H142" s="35" t="str">
        <x:f>IF(OR(F142="",G142=""),"",F142*G142)</x:f>
      </x:c>
      <x:c r="I142" s="36" t="str">
        <x:f>IF(A142="","",SUMIFS('CHI_TIẾT_GIAO_HÀNG'!$D$2:$D$500,'CHI_TIẾT_GIAO_HÀNG'!$C$2:$C$500,A142,'CHI_TIẾT_GIAO_HÀNG'!$E$2:$E$500,"ĐÃ GIAO"))</x:f>
      </x:c>
      <x:c r="J142" s="36" t="str">
        <x:f>IF(A142="","",MAX(0,F142-I142))</x:f>
      </x:c>
      <x:c r="K142" s="35" t="str">
        <x:f>IF(A142="","",H142-(F142*IFERROR(VLOOKUP(C142,'SẢN_PHẨM'!$A$2:$G$500,5,FALSE),0)))</x:f>
      </x:c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36" t="str">
        <x:f>IF(C143="","",IFERROR(VLOOKUP(C143,'SẢN_PHẨM'!$A$2:$G$500,2,FALSE),""))</x:f>
      </x:c>
      <x:c r="E143" s="36" t="str">
        <x:f>IF(C143="","",IFERROR(VLOOKUP(C143,'SẢN_PHẨM'!$A$2:$G$500,3,FALSE),""))</x:f>
      </x:c>
      <x:c r="F143" s="39"/>
      <x:c r="G143" s="44"/>
      <x:c r="H143" s="35" t="str">
        <x:f>IF(OR(F143="",G143=""),"",F143*G143)</x:f>
      </x:c>
      <x:c r="I143" s="36" t="str">
        <x:f>IF(A143="","",SUMIFS('CHI_TIẾT_GIAO_HÀNG'!$D$2:$D$500,'CHI_TIẾT_GIAO_HÀNG'!$C$2:$C$500,A143,'CHI_TIẾT_GIAO_HÀNG'!$E$2:$E$500,"ĐÃ GIAO"))</x:f>
      </x:c>
      <x:c r="J143" s="36" t="str">
        <x:f>IF(A143="","",MAX(0,F143-I143))</x:f>
      </x:c>
      <x:c r="K143" s="35" t="str">
        <x:f>IF(A143="","",H143-(F143*IFERROR(VLOOKUP(C143,'SẢN_PHẨM'!$A$2:$G$500,5,FALSE),0)))</x:f>
      </x:c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36" t="str">
        <x:f>IF(C144="","",IFERROR(VLOOKUP(C144,'SẢN_PHẨM'!$A$2:$G$500,2,FALSE),""))</x:f>
      </x:c>
      <x:c r="E144" s="36" t="str">
        <x:f>IF(C144="","",IFERROR(VLOOKUP(C144,'SẢN_PHẨM'!$A$2:$G$500,3,FALSE),""))</x:f>
      </x:c>
      <x:c r="F144" s="39"/>
      <x:c r="G144" s="44"/>
      <x:c r="H144" s="35" t="str">
        <x:f>IF(OR(F144="",G144=""),"",F144*G144)</x:f>
      </x:c>
      <x:c r="I144" s="36" t="str">
        <x:f>IF(A144="","",SUMIFS('CHI_TIẾT_GIAO_HÀNG'!$D$2:$D$500,'CHI_TIẾT_GIAO_HÀNG'!$C$2:$C$500,A144,'CHI_TIẾT_GIAO_HÀNG'!$E$2:$E$500,"ĐÃ GIAO"))</x:f>
      </x:c>
      <x:c r="J144" s="36" t="str">
        <x:f>IF(A144="","",MAX(0,F144-I144))</x:f>
      </x:c>
      <x:c r="K144" s="35" t="str">
        <x:f>IF(A144="","",H144-(F144*IFERROR(VLOOKUP(C144,'SẢN_PHẨM'!$A$2:$G$500,5,FALSE),0)))</x:f>
      </x:c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36" t="str">
        <x:f>IF(C145="","",IFERROR(VLOOKUP(C145,'SẢN_PHẨM'!$A$2:$G$500,2,FALSE),""))</x:f>
      </x:c>
      <x:c r="E145" s="36" t="str">
        <x:f>IF(C145="","",IFERROR(VLOOKUP(C145,'SẢN_PHẨM'!$A$2:$G$500,3,FALSE),""))</x:f>
      </x:c>
      <x:c r="F145" s="39"/>
      <x:c r="G145" s="44"/>
      <x:c r="H145" s="35" t="str">
        <x:f>IF(OR(F145="",G145=""),"",F145*G145)</x:f>
      </x:c>
      <x:c r="I145" s="36" t="str">
        <x:f>IF(A145="","",SUMIFS('CHI_TIẾT_GIAO_HÀNG'!$D$2:$D$500,'CHI_TIẾT_GIAO_HÀNG'!$C$2:$C$500,A145,'CHI_TIẾT_GIAO_HÀNG'!$E$2:$E$500,"ĐÃ GIAO"))</x:f>
      </x:c>
      <x:c r="J145" s="36" t="str">
        <x:f>IF(A145="","",MAX(0,F145-I145))</x:f>
      </x:c>
      <x:c r="K145" s="35" t="str">
        <x:f>IF(A145="","",H145-(F145*IFERROR(VLOOKUP(C145,'SẢN_PHẨM'!$A$2:$G$500,5,FALSE),0)))</x:f>
      </x:c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36" t="str">
        <x:f>IF(C146="","",IFERROR(VLOOKUP(C146,'SẢN_PHẨM'!$A$2:$G$500,2,FALSE),""))</x:f>
      </x:c>
      <x:c r="E146" s="36" t="str">
        <x:f>IF(C146="","",IFERROR(VLOOKUP(C146,'SẢN_PHẨM'!$A$2:$G$500,3,FALSE),""))</x:f>
      </x:c>
      <x:c r="F146" s="39"/>
      <x:c r="G146" s="44"/>
      <x:c r="H146" s="35" t="str">
        <x:f>IF(OR(F146="",G146=""),"",F146*G146)</x:f>
      </x:c>
      <x:c r="I146" s="36" t="str">
        <x:f>IF(A146="","",SUMIFS('CHI_TIẾT_GIAO_HÀNG'!$D$2:$D$500,'CHI_TIẾT_GIAO_HÀNG'!$C$2:$C$500,A146,'CHI_TIẾT_GIAO_HÀNG'!$E$2:$E$500,"ĐÃ GIAO"))</x:f>
      </x:c>
      <x:c r="J146" s="36" t="str">
        <x:f>IF(A146="","",MAX(0,F146-I146))</x:f>
      </x:c>
      <x:c r="K146" s="35" t="str">
        <x:f>IF(A146="","",H146-(F146*IFERROR(VLOOKUP(C146,'SẢN_PHẨM'!$A$2:$G$500,5,FALSE),0)))</x:f>
      </x:c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36" t="str">
        <x:f>IF(C147="","",IFERROR(VLOOKUP(C147,'SẢN_PHẨM'!$A$2:$G$500,2,FALSE),""))</x:f>
      </x:c>
      <x:c r="E147" s="36" t="str">
        <x:f>IF(C147="","",IFERROR(VLOOKUP(C147,'SẢN_PHẨM'!$A$2:$G$500,3,FALSE),""))</x:f>
      </x:c>
      <x:c r="F147" s="39"/>
      <x:c r="G147" s="44"/>
      <x:c r="H147" s="35" t="str">
        <x:f>IF(OR(F147="",G147=""),"",F147*G147)</x:f>
      </x:c>
      <x:c r="I147" s="36" t="str">
        <x:f>IF(A147="","",SUMIFS('CHI_TIẾT_GIAO_HÀNG'!$D$2:$D$500,'CHI_TIẾT_GIAO_HÀNG'!$C$2:$C$500,A147,'CHI_TIẾT_GIAO_HÀNG'!$E$2:$E$500,"ĐÃ GIAO"))</x:f>
      </x:c>
      <x:c r="J147" s="36" t="str">
        <x:f>IF(A147="","",MAX(0,F147-I147))</x:f>
      </x:c>
      <x:c r="K147" s="35" t="str">
        <x:f>IF(A147="","",H147-(F147*IFERROR(VLOOKUP(C147,'SẢN_PHẨM'!$A$2:$G$500,5,FALSE),0)))</x:f>
      </x:c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36" t="str">
        <x:f>IF(C148="","",IFERROR(VLOOKUP(C148,'SẢN_PHẨM'!$A$2:$G$500,2,FALSE),""))</x:f>
      </x:c>
      <x:c r="E148" s="36" t="str">
        <x:f>IF(C148="","",IFERROR(VLOOKUP(C148,'SẢN_PHẨM'!$A$2:$G$500,3,FALSE),""))</x:f>
      </x:c>
      <x:c r="F148" s="39"/>
      <x:c r="G148" s="44"/>
      <x:c r="H148" s="35" t="str">
        <x:f>IF(OR(F148="",G148=""),"",F148*G148)</x:f>
      </x:c>
      <x:c r="I148" s="36" t="str">
        <x:f>IF(A148="","",SUMIFS('CHI_TIẾT_GIAO_HÀNG'!$D$2:$D$500,'CHI_TIẾT_GIAO_HÀNG'!$C$2:$C$500,A148,'CHI_TIẾT_GIAO_HÀNG'!$E$2:$E$500,"ĐÃ GIAO"))</x:f>
      </x:c>
      <x:c r="J148" s="36" t="str">
        <x:f>IF(A148="","",MAX(0,F148-I148))</x:f>
      </x:c>
      <x:c r="K148" s="35" t="str">
        <x:f>IF(A148="","",H148-(F148*IFERROR(VLOOKUP(C148,'SẢN_PHẨM'!$A$2:$G$500,5,FALSE),0)))</x:f>
      </x:c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36" t="str">
        <x:f>IF(C149="","",IFERROR(VLOOKUP(C149,'SẢN_PHẨM'!$A$2:$G$500,2,FALSE),""))</x:f>
      </x:c>
      <x:c r="E149" s="36" t="str">
        <x:f>IF(C149="","",IFERROR(VLOOKUP(C149,'SẢN_PHẨM'!$A$2:$G$500,3,FALSE),""))</x:f>
      </x:c>
      <x:c r="F149" s="39"/>
      <x:c r="G149" s="44"/>
      <x:c r="H149" s="35" t="str">
        <x:f>IF(OR(F149="",G149=""),"",F149*G149)</x:f>
      </x:c>
      <x:c r="I149" s="36" t="str">
        <x:f>IF(A149="","",SUMIFS('CHI_TIẾT_GIAO_HÀNG'!$D$2:$D$500,'CHI_TIẾT_GIAO_HÀNG'!$C$2:$C$500,A149,'CHI_TIẾT_GIAO_HÀNG'!$E$2:$E$500,"ĐÃ GIAO"))</x:f>
      </x:c>
      <x:c r="J149" s="36" t="str">
        <x:f>IF(A149="","",MAX(0,F149-I149))</x:f>
      </x:c>
      <x:c r="K149" s="35" t="str">
        <x:f>IF(A149="","",H149-(F149*IFERROR(VLOOKUP(C149,'SẢN_PHẨM'!$A$2:$G$500,5,FALSE),0)))</x:f>
      </x:c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36" t="str">
        <x:f>IF(C150="","",IFERROR(VLOOKUP(C150,'SẢN_PHẨM'!$A$2:$G$500,2,FALSE),""))</x:f>
      </x:c>
      <x:c r="E150" s="36" t="str">
        <x:f>IF(C150="","",IFERROR(VLOOKUP(C150,'SẢN_PHẨM'!$A$2:$G$500,3,FALSE),""))</x:f>
      </x:c>
      <x:c r="F150" s="39"/>
      <x:c r="G150" s="44"/>
      <x:c r="H150" s="35" t="str">
        <x:f>IF(OR(F150="",G150=""),"",F150*G150)</x:f>
      </x:c>
      <x:c r="I150" s="36" t="str">
        <x:f>IF(A150="","",SUMIFS('CHI_TIẾT_GIAO_HÀNG'!$D$2:$D$500,'CHI_TIẾT_GIAO_HÀNG'!$C$2:$C$500,A150,'CHI_TIẾT_GIAO_HÀNG'!$E$2:$E$500,"ĐÃ GIAO"))</x:f>
      </x:c>
      <x:c r="J150" s="36" t="str">
        <x:f>IF(A150="","",MAX(0,F150-I150))</x:f>
      </x:c>
      <x:c r="K150" s="35" t="str">
        <x:f>IF(A150="","",H150-(F150*IFERROR(VLOOKUP(C150,'SẢN_PHẨM'!$A$2:$G$500,5,FALSE),0)))</x:f>
      </x:c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36" t="str">
        <x:f>IF(C151="","",IFERROR(VLOOKUP(C151,'SẢN_PHẨM'!$A$2:$G$500,2,FALSE),""))</x:f>
      </x:c>
      <x:c r="E151" s="36" t="str">
        <x:f>IF(C151="","",IFERROR(VLOOKUP(C151,'SẢN_PHẨM'!$A$2:$G$500,3,FALSE),""))</x:f>
      </x:c>
      <x:c r="F151" s="39"/>
      <x:c r="G151" s="44"/>
      <x:c r="H151" s="35" t="str">
        <x:f>IF(OR(F151="",G151=""),"",F151*G151)</x:f>
      </x:c>
      <x:c r="I151" s="36" t="str">
        <x:f>IF(A151="","",SUMIFS('CHI_TIẾT_GIAO_HÀNG'!$D$2:$D$500,'CHI_TIẾT_GIAO_HÀNG'!$C$2:$C$500,A151,'CHI_TIẾT_GIAO_HÀNG'!$E$2:$E$500,"ĐÃ GIAO"))</x:f>
      </x:c>
      <x:c r="J151" s="36" t="str">
        <x:f>IF(A151="","",MAX(0,F151-I151))</x:f>
      </x:c>
      <x:c r="K151" s="35" t="str">
        <x:f>IF(A151="","",H151-(F151*IFERROR(VLOOKUP(C151,'SẢN_PHẨM'!$A$2:$G$500,5,FALSE),0)))</x:f>
      </x:c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36" t="str">
        <x:f>IF(C152="","",IFERROR(VLOOKUP(C152,'SẢN_PHẨM'!$A$2:$G$500,2,FALSE),""))</x:f>
      </x:c>
      <x:c r="E152" s="36" t="str">
        <x:f>IF(C152="","",IFERROR(VLOOKUP(C152,'SẢN_PHẨM'!$A$2:$G$500,3,FALSE),""))</x:f>
      </x:c>
      <x:c r="F152" s="39"/>
      <x:c r="G152" s="44"/>
      <x:c r="H152" s="35" t="str">
        <x:f>IF(OR(F152="",G152=""),"",F152*G152)</x:f>
      </x:c>
      <x:c r="I152" s="36" t="str">
        <x:f>IF(A152="","",SUMIFS('CHI_TIẾT_GIAO_HÀNG'!$D$2:$D$500,'CHI_TIẾT_GIAO_HÀNG'!$C$2:$C$500,A152,'CHI_TIẾT_GIAO_HÀNG'!$E$2:$E$500,"ĐÃ GIAO"))</x:f>
      </x:c>
      <x:c r="J152" s="36" t="str">
        <x:f>IF(A152="","",MAX(0,F152-I152))</x:f>
      </x:c>
      <x:c r="K152" s="35" t="str">
        <x:f>IF(A152="","",H152-(F152*IFERROR(VLOOKUP(C152,'SẢN_PHẨM'!$A$2:$G$500,5,FALSE),0)))</x:f>
      </x:c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36" t="str">
        <x:f>IF(C153="","",IFERROR(VLOOKUP(C153,'SẢN_PHẨM'!$A$2:$G$500,2,FALSE),""))</x:f>
      </x:c>
      <x:c r="E153" s="36" t="str">
        <x:f>IF(C153="","",IFERROR(VLOOKUP(C153,'SẢN_PHẨM'!$A$2:$G$500,3,FALSE),""))</x:f>
      </x:c>
      <x:c r="F153" s="39"/>
      <x:c r="G153" s="44"/>
      <x:c r="H153" s="35" t="str">
        <x:f>IF(OR(F153="",G153=""),"",F153*G153)</x:f>
      </x:c>
      <x:c r="I153" s="36" t="str">
        <x:f>IF(A153="","",SUMIFS('CHI_TIẾT_GIAO_HÀNG'!$D$2:$D$500,'CHI_TIẾT_GIAO_HÀNG'!$C$2:$C$500,A153,'CHI_TIẾT_GIAO_HÀNG'!$E$2:$E$500,"ĐÃ GIAO"))</x:f>
      </x:c>
      <x:c r="J153" s="36" t="str">
        <x:f>IF(A153="","",MAX(0,F153-I153))</x:f>
      </x:c>
      <x:c r="K153" s="35" t="str">
        <x:f>IF(A153="","",H153-(F153*IFERROR(VLOOKUP(C153,'SẢN_PHẨM'!$A$2:$G$500,5,FALSE),0)))</x:f>
      </x:c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36" t="str">
        <x:f>IF(C154="","",IFERROR(VLOOKUP(C154,'SẢN_PHẨM'!$A$2:$G$500,2,FALSE),""))</x:f>
      </x:c>
      <x:c r="E154" s="36" t="str">
        <x:f>IF(C154="","",IFERROR(VLOOKUP(C154,'SẢN_PHẨM'!$A$2:$G$500,3,FALSE),""))</x:f>
      </x:c>
      <x:c r="F154" s="39"/>
      <x:c r="G154" s="44"/>
      <x:c r="H154" s="35" t="str">
        <x:f>IF(OR(F154="",G154=""),"",F154*G154)</x:f>
      </x:c>
      <x:c r="I154" s="36" t="str">
        <x:f>IF(A154="","",SUMIFS('CHI_TIẾT_GIAO_HÀNG'!$D$2:$D$500,'CHI_TIẾT_GIAO_HÀNG'!$C$2:$C$500,A154,'CHI_TIẾT_GIAO_HÀNG'!$E$2:$E$500,"ĐÃ GIAO"))</x:f>
      </x:c>
      <x:c r="J154" s="36" t="str">
        <x:f>IF(A154="","",MAX(0,F154-I154))</x:f>
      </x:c>
      <x:c r="K154" s="35" t="str">
        <x:f>IF(A154="","",H154-(F154*IFERROR(VLOOKUP(C154,'SẢN_PHẨM'!$A$2:$G$500,5,FALSE),0)))</x:f>
      </x:c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36" t="str">
        <x:f>IF(C155="","",IFERROR(VLOOKUP(C155,'SẢN_PHẨM'!$A$2:$G$500,2,FALSE),""))</x:f>
      </x:c>
      <x:c r="E155" s="36" t="str">
        <x:f>IF(C155="","",IFERROR(VLOOKUP(C155,'SẢN_PHẨM'!$A$2:$G$500,3,FALSE),""))</x:f>
      </x:c>
      <x:c r="F155" s="39"/>
      <x:c r="G155" s="44"/>
      <x:c r="H155" s="35" t="str">
        <x:f>IF(OR(F155="",G155=""),"",F155*G155)</x:f>
      </x:c>
      <x:c r="I155" s="36" t="str">
        <x:f>IF(A155="","",SUMIFS('CHI_TIẾT_GIAO_HÀNG'!$D$2:$D$500,'CHI_TIẾT_GIAO_HÀNG'!$C$2:$C$500,A155,'CHI_TIẾT_GIAO_HÀNG'!$E$2:$E$500,"ĐÃ GIAO"))</x:f>
      </x:c>
      <x:c r="J155" s="36" t="str">
        <x:f>IF(A155="","",MAX(0,F155-I155))</x:f>
      </x:c>
      <x:c r="K155" s="35" t="str">
        <x:f>IF(A155="","",H155-(F155*IFERROR(VLOOKUP(C155,'SẢN_PHẨM'!$A$2:$G$500,5,FALSE),0)))</x:f>
      </x:c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36" t="str">
        <x:f>IF(C156="","",IFERROR(VLOOKUP(C156,'SẢN_PHẨM'!$A$2:$G$500,2,FALSE),""))</x:f>
      </x:c>
      <x:c r="E156" s="36" t="str">
        <x:f>IF(C156="","",IFERROR(VLOOKUP(C156,'SẢN_PHẨM'!$A$2:$G$500,3,FALSE),""))</x:f>
      </x:c>
      <x:c r="F156" s="39"/>
      <x:c r="G156" s="44"/>
      <x:c r="H156" s="35" t="str">
        <x:f>IF(OR(F156="",G156=""),"",F156*G156)</x:f>
      </x:c>
      <x:c r="I156" s="36" t="str">
        <x:f>IF(A156="","",SUMIFS('CHI_TIẾT_GIAO_HÀNG'!$D$2:$D$500,'CHI_TIẾT_GIAO_HÀNG'!$C$2:$C$500,A156,'CHI_TIẾT_GIAO_HÀNG'!$E$2:$E$500,"ĐÃ GIAO"))</x:f>
      </x:c>
      <x:c r="J156" s="36" t="str">
        <x:f>IF(A156="","",MAX(0,F156-I156))</x:f>
      </x:c>
      <x:c r="K156" s="35" t="str">
        <x:f>IF(A156="","",H156-(F156*IFERROR(VLOOKUP(C156,'SẢN_PHẨM'!$A$2:$G$500,5,FALSE),0)))</x:f>
      </x:c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36" t="str">
        <x:f>IF(C157="","",IFERROR(VLOOKUP(C157,'SẢN_PHẨM'!$A$2:$G$500,2,FALSE),""))</x:f>
      </x:c>
      <x:c r="E157" s="36" t="str">
        <x:f>IF(C157="","",IFERROR(VLOOKUP(C157,'SẢN_PHẨM'!$A$2:$G$500,3,FALSE),""))</x:f>
      </x:c>
      <x:c r="F157" s="39"/>
      <x:c r="G157" s="44"/>
      <x:c r="H157" s="35" t="str">
        <x:f>IF(OR(F157="",G157=""),"",F157*G157)</x:f>
      </x:c>
      <x:c r="I157" s="36" t="str">
        <x:f>IF(A157="","",SUMIFS('CHI_TIẾT_GIAO_HÀNG'!$D$2:$D$500,'CHI_TIẾT_GIAO_HÀNG'!$C$2:$C$500,A157,'CHI_TIẾT_GIAO_HÀNG'!$E$2:$E$500,"ĐÃ GIAO"))</x:f>
      </x:c>
      <x:c r="J157" s="36" t="str">
        <x:f>IF(A157="","",MAX(0,F157-I157))</x:f>
      </x:c>
      <x:c r="K157" s="35" t="str">
        <x:f>IF(A157="","",H157-(F157*IFERROR(VLOOKUP(C157,'SẢN_PHẨM'!$A$2:$G$500,5,FALSE),0)))</x:f>
      </x:c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36" t="str">
        <x:f>IF(C158="","",IFERROR(VLOOKUP(C158,'SẢN_PHẨM'!$A$2:$G$500,2,FALSE),""))</x:f>
      </x:c>
      <x:c r="E158" s="36" t="str">
        <x:f>IF(C158="","",IFERROR(VLOOKUP(C158,'SẢN_PHẨM'!$A$2:$G$500,3,FALSE),""))</x:f>
      </x:c>
      <x:c r="F158" s="39"/>
      <x:c r="G158" s="44"/>
      <x:c r="H158" s="35" t="str">
        <x:f>IF(OR(F158="",G158=""),"",F158*G158)</x:f>
      </x:c>
      <x:c r="I158" s="36" t="str">
        <x:f>IF(A158="","",SUMIFS('CHI_TIẾT_GIAO_HÀNG'!$D$2:$D$500,'CHI_TIẾT_GIAO_HÀNG'!$C$2:$C$500,A158,'CHI_TIẾT_GIAO_HÀNG'!$E$2:$E$500,"ĐÃ GIAO"))</x:f>
      </x:c>
      <x:c r="J158" s="36" t="str">
        <x:f>IF(A158="","",MAX(0,F158-I158))</x:f>
      </x:c>
      <x:c r="K158" s="35" t="str">
        <x:f>IF(A158="","",H158-(F158*IFERROR(VLOOKUP(C158,'SẢN_PHẨM'!$A$2:$G$500,5,FALSE),0)))</x:f>
      </x:c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36" t="str">
        <x:f>IF(C159="","",IFERROR(VLOOKUP(C159,'SẢN_PHẨM'!$A$2:$G$500,2,FALSE),""))</x:f>
      </x:c>
      <x:c r="E159" s="36" t="str">
        <x:f>IF(C159="","",IFERROR(VLOOKUP(C159,'SẢN_PHẨM'!$A$2:$G$500,3,FALSE),""))</x:f>
      </x:c>
      <x:c r="F159" s="39"/>
      <x:c r="G159" s="44"/>
      <x:c r="H159" s="35" t="str">
        <x:f>IF(OR(F159="",G159=""),"",F159*G159)</x:f>
      </x:c>
      <x:c r="I159" s="36" t="str">
        <x:f>IF(A159="","",SUMIFS('CHI_TIẾT_GIAO_HÀNG'!$D$2:$D$500,'CHI_TIẾT_GIAO_HÀNG'!$C$2:$C$500,A159,'CHI_TIẾT_GIAO_HÀNG'!$E$2:$E$500,"ĐÃ GIAO"))</x:f>
      </x:c>
      <x:c r="J159" s="36" t="str">
        <x:f>IF(A159="","",MAX(0,F159-I159))</x:f>
      </x:c>
      <x:c r="K159" s="35" t="str">
        <x:f>IF(A159="","",H159-(F159*IFERROR(VLOOKUP(C159,'SẢN_PHẨM'!$A$2:$G$500,5,FALSE),0)))</x:f>
      </x:c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36" t="str">
        <x:f>IF(C160="","",IFERROR(VLOOKUP(C160,'SẢN_PHẨM'!$A$2:$G$500,2,FALSE),""))</x:f>
      </x:c>
      <x:c r="E160" s="36" t="str">
        <x:f>IF(C160="","",IFERROR(VLOOKUP(C160,'SẢN_PHẨM'!$A$2:$G$500,3,FALSE),""))</x:f>
      </x:c>
      <x:c r="F160" s="39"/>
      <x:c r="G160" s="44"/>
      <x:c r="H160" s="35" t="str">
        <x:f>IF(OR(F160="",G160=""),"",F160*G160)</x:f>
      </x:c>
      <x:c r="I160" s="36" t="str">
        <x:f>IF(A160="","",SUMIFS('CHI_TIẾT_GIAO_HÀNG'!$D$2:$D$500,'CHI_TIẾT_GIAO_HÀNG'!$C$2:$C$500,A160,'CHI_TIẾT_GIAO_HÀNG'!$E$2:$E$500,"ĐÃ GIAO"))</x:f>
      </x:c>
      <x:c r="J160" s="36" t="str">
        <x:f>IF(A160="","",MAX(0,F160-I160))</x:f>
      </x:c>
      <x:c r="K160" s="35" t="str">
        <x:f>IF(A160="","",H160-(F160*IFERROR(VLOOKUP(C160,'SẢN_PHẨM'!$A$2:$G$500,5,FALSE),0)))</x:f>
      </x:c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36" t="str">
        <x:f>IF(C161="","",IFERROR(VLOOKUP(C161,'SẢN_PHẨM'!$A$2:$G$500,2,FALSE),""))</x:f>
      </x:c>
      <x:c r="E161" s="36" t="str">
        <x:f>IF(C161="","",IFERROR(VLOOKUP(C161,'SẢN_PHẨM'!$A$2:$G$500,3,FALSE),""))</x:f>
      </x:c>
      <x:c r="F161" s="39"/>
      <x:c r="G161" s="44"/>
      <x:c r="H161" s="35" t="str">
        <x:f>IF(OR(F161="",G161=""),"",F161*G161)</x:f>
      </x:c>
      <x:c r="I161" s="36" t="str">
        <x:f>IF(A161="","",SUMIFS('CHI_TIẾT_GIAO_HÀNG'!$D$2:$D$500,'CHI_TIẾT_GIAO_HÀNG'!$C$2:$C$500,A161,'CHI_TIẾT_GIAO_HÀNG'!$E$2:$E$500,"ĐÃ GIAO"))</x:f>
      </x:c>
      <x:c r="J161" s="36" t="str">
        <x:f>IF(A161="","",MAX(0,F161-I161))</x:f>
      </x:c>
      <x:c r="K161" s="35" t="str">
        <x:f>IF(A161="","",H161-(F161*IFERROR(VLOOKUP(C161,'SẢN_PHẨM'!$A$2:$G$500,5,FALSE),0)))</x:f>
      </x:c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36" t="str">
        <x:f>IF(C162="","",IFERROR(VLOOKUP(C162,'SẢN_PHẨM'!$A$2:$G$500,2,FALSE),""))</x:f>
      </x:c>
      <x:c r="E162" s="36" t="str">
        <x:f>IF(C162="","",IFERROR(VLOOKUP(C162,'SẢN_PHẨM'!$A$2:$G$500,3,FALSE),""))</x:f>
      </x:c>
      <x:c r="F162" s="39"/>
      <x:c r="G162" s="44"/>
      <x:c r="H162" s="35" t="str">
        <x:f>IF(OR(F162="",G162=""),"",F162*G162)</x:f>
      </x:c>
      <x:c r="I162" s="36" t="str">
        <x:f>IF(A162="","",SUMIFS('CHI_TIẾT_GIAO_HÀNG'!$D$2:$D$500,'CHI_TIẾT_GIAO_HÀNG'!$C$2:$C$500,A162,'CHI_TIẾT_GIAO_HÀNG'!$E$2:$E$500,"ĐÃ GIAO"))</x:f>
      </x:c>
      <x:c r="J162" s="36" t="str">
        <x:f>IF(A162="","",MAX(0,F162-I162))</x:f>
      </x:c>
      <x:c r="K162" s="35" t="str">
        <x:f>IF(A162="","",H162-(F162*IFERROR(VLOOKUP(C162,'SẢN_PHẨM'!$A$2:$G$500,5,FALSE),0)))</x:f>
      </x:c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36" t="str">
        <x:f>IF(C163="","",IFERROR(VLOOKUP(C163,'SẢN_PHẨM'!$A$2:$G$500,2,FALSE),""))</x:f>
      </x:c>
      <x:c r="E163" s="36" t="str">
        <x:f>IF(C163="","",IFERROR(VLOOKUP(C163,'SẢN_PHẨM'!$A$2:$G$500,3,FALSE),""))</x:f>
      </x:c>
      <x:c r="F163" s="39"/>
      <x:c r="G163" s="44"/>
      <x:c r="H163" s="35" t="str">
        <x:f>IF(OR(F163="",G163=""),"",F163*G163)</x:f>
      </x:c>
      <x:c r="I163" s="36" t="str">
        <x:f>IF(A163="","",SUMIFS('CHI_TIẾT_GIAO_HÀNG'!$D$2:$D$500,'CHI_TIẾT_GIAO_HÀNG'!$C$2:$C$500,A163,'CHI_TIẾT_GIAO_HÀNG'!$E$2:$E$500,"ĐÃ GIAO"))</x:f>
      </x:c>
      <x:c r="J163" s="36" t="str">
        <x:f>IF(A163="","",MAX(0,F163-I163))</x:f>
      </x:c>
      <x:c r="K163" s="35" t="str">
        <x:f>IF(A163="","",H163-(F163*IFERROR(VLOOKUP(C163,'SẢN_PHẨM'!$A$2:$G$500,5,FALSE),0)))</x:f>
      </x:c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36" t="str">
        <x:f>IF(C164="","",IFERROR(VLOOKUP(C164,'SẢN_PHẨM'!$A$2:$G$500,2,FALSE),""))</x:f>
      </x:c>
      <x:c r="E164" s="36" t="str">
        <x:f>IF(C164="","",IFERROR(VLOOKUP(C164,'SẢN_PHẨM'!$A$2:$G$500,3,FALSE),""))</x:f>
      </x:c>
      <x:c r="F164" s="39"/>
      <x:c r="G164" s="44"/>
      <x:c r="H164" s="35" t="str">
        <x:f>IF(OR(F164="",G164=""),"",F164*G164)</x:f>
      </x:c>
      <x:c r="I164" s="36" t="str">
        <x:f>IF(A164="","",SUMIFS('CHI_TIẾT_GIAO_HÀNG'!$D$2:$D$500,'CHI_TIẾT_GIAO_HÀNG'!$C$2:$C$500,A164,'CHI_TIẾT_GIAO_HÀNG'!$E$2:$E$500,"ĐÃ GIAO"))</x:f>
      </x:c>
      <x:c r="J164" s="36" t="str">
        <x:f>IF(A164="","",MAX(0,F164-I164))</x:f>
      </x:c>
      <x:c r="K164" s="35" t="str">
        <x:f>IF(A164="","",H164-(F164*IFERROR(VLOOKUP(C164,'SẢN_PHẨM'!$A$2:$G$500,5,FALSE),0)))</x:f>
      </x:c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36" t="str">
        <x:f>IF(C165="","",IFERROR(VLOOKUP(C165,'SẢN_PHẨM'!$A$2:$G$500,2,FALSE),""))</x:f>
      </x:c>
      <x:c r="E165" s="36" t="str">
        <x:f>IF(C165="","",IFERROR(VLOOKUP(C165,'SẢN_PHẨM'!$A$2:$G$500,3,FALSE),""))</x:f>
      </x:c>
      <x:c r="F165" s="39"/>
      <x:c r="G165" s="44"/>
      <x:c r="H165" s="35" t="str">
        <x:f>IF(OR(F165="",G165=""),"",F165*G165)</x:f>
      </x:c>
      <x:c r="I165" s="36" t="str">
        <x:f>IF(A165="","",SUMIFS('CHI_TIẾT_GIAO_HÀNG'!$D$2:$D$500,'CHI_TIẾT_GIAO_HÀNG'!$C$2:$C$500,A165,'CHI_TIẾT_GIAO_HÀNG'!$E$2:$E$500,"ĐÃ GIAO"))</x:f>
      </x:c>
      <x:c r="J165" s="36" t="str">
        <x:f>IF(A165="","",MAX(0,F165-I165))</x:f>
      </x:c>
      <x:c r="K165" s="35" t="str">
        <x:f>IF(A165="","",H165-(F165*IFERROR(VLOOKUP(C165,'SẢN_PHẨM'!$A$2:$G$500,5,FALSE),0)))</x:f>
      </x:c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36" t="str">
        <x:f>IF(C166="","",IFERROR(VLOOKUP(C166,'SẢN_PHẨM'!$A$2:$G$500,2,FALSE),""))</x:f>
      </x:c>
      <x:c r="E166" s="36" t="str">
        <x:f>IF(C166="","",IFERROR(VLOOKUP(C166,'SẢN_PHẨM'!$A$2:$G$500,3,FALSE),""))</x:f>
      </x:c>
      <x:c r="F166" s="39"/>
      <x:c r="G166" s="44"/>
      <x:c r="H166" s="35" t="str">
        <x:f>IF(OR(F166="",G166=""),"",F166*G166)</x:f>
      </x:c>
      <x:c r="I166" s="36" t="str">
        <x:f>IF(A166="","",SUMIFS('CHI_TIẾT_GIAO_HÀNG'!$D$2:$D$500,'CHI_TIẾT_GIAO_HÀNG'!$C$2:$C$500,A166,'CHI_TIẾT_GIAO_HÀNG'!$E$2:$E$500,"ĐÃ GIAO"))</x:f>
      </x:c>
      <x:c r="J166" s="36" t="str">
        <x:f>IF(A166="","",MAX(0,F166-I166))</x:f>
      </x:c>
      <x:c r="K166" s="35" t="str">
        <x:f>IF(A166="","",H166-(F166*IFERROR(VLOOKUP(C166,'SẢN_PHẨM'!$A$2:$G$500,5,FALSE),0)))</x:f>
      </x:c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36" t="str">
        <x:f>IF(C167="","",IFERROR(VLOOKUP(C167,'SẢN_PHẨM'!$A$2:$G$500,2,FALSE),""))</x:f>
      </x:c>
      <x:c r="E167" s="36" t="str">
        <x:f>IF(C167="","",IFERROR(VLOOKUP(C167,'SẢN_PHẨM'!$A$2:$G$500,3,FALSE),""))</x:f>
      </x:c>
      <x:c r="F167" s="39"/>
      <x:c r="G167" s="44"/>
      <x:c r="H167" s="35" t="str">
        <x:f>IF(OR(F167="",G167=""),"",F167*G167)</x:f>
      </x:c>
      <x:c r="I167" s="36" t="str">
        <x:f>IF(A167="","",SUMIFS('CHI_TIẾT_GIAO_HÀNG'!$D$2:$D$500,'CHI_TIẾT_GIAO_HÀNG'!$C$2:$C$500,A167,'CHI_TIẾT_GIAO_HÀNG'!$E$2:$E$500,"ĐÃ GIAO"))</x:f>
      </x:c>
      <x:c r="J167" s="36" t="str">
        <x:f>IF(A167="","",MAX(0,F167-I167))</x:f>
      </x:c>
      <x:c r="K167" s="35" t="str">
        <x:f>IF(A167="","",H167-(F167*IFERROR(VLOOKUP(C167,'SẢN_PHẨM'!$A$2:$G$500,5,FALSE),0)))</x:f>
      </x:c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36" t="str">
        <x:f>IF(C168="","",IFERROR(VLOOKUP(C168,'SẢN_PHẨM'!$A$2:$G$500,2,FALSE),""))</x:f>
      </x:c>
      <x:c r="E168" s="36" t="str">
        <x:f>IF(C168="","",IFERROR(VLOOKUP(C168,'SẢN_PHẨM'!$A$2:$G$500,3,FALSE),""))</x:f>
      </x:c>
      <x:c r="F168" s="39"/>
      <x:c r="G168" s="44"/>
      <x:c r="H168" s="35" t="str">
        <x:f>IF(OR(F168="",G168=""),"",F168*G168)</x:f>
      </x:c>
      <x:c r="I168" s="36" t="str">
        <x:f>IF(A168="","",SUMIFS('CHI_TIẾT_GIAO_HÀNG'!$D$2:$D$500,'CHI_TIẾT_GIAO_HÀNG'!$C$2:$C$500,A168,'CHI_TIẾT_GIAO_HÀNG'!$E$2:$E$500,"ĐÃ GIAO"))</x:f>
      </x:c>
      <x:c r="J168" s="36" t="str">
        <x:f>IF(A168="","",MAX(0,F168-I168))</x:f>
      </x:c>
      <x:c r="K168" s="35" t="str">
        <x:f>IF(A168="","",H168-(F168*IFERROR(VLOOKUP(C168,'SẢN_PHẨM'!$A$2:$G$500,5,FALSE),0)))</x:f>
      </x:c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36" t="str">
        <x:f>IF(C169="","",IFERROR(VLOOKUP(C169,'SẢN_PHẨM'!$A$2:$G$500,2,FALSE),""))</x:f>
      </x:c>
      <x:c r="E169" s="36" t="str">
        <x:f>IF(C169="","",IFERROR(VLOOKUP(C169,'SẢN_PHẨM'!$A$2:$G$500,3,FALSE),""))</x:f>
      </x:c>
      <x:c r="F169" s="39"/>
      <x:c r="G169" s="44"/>
      <x:c r="H169" s="35" t="str">
        <x:f>IF(OR(F169="",G169=""),"",F169*G169)</x:f>
      </x:c>
      <x:c r="I169" s="36" t="str">
        <x:f>IF(A169="","",SUMIFS('CHI_TIẾT_GIAO_HÀNG'!$D$2:$D$500,'CHI_TIẾT_GIAO_HÀNG'!$C$2:$C$500,A169,'CHI_TIẾT_GIAO_HÀNG'!$E$2:$E$500,"ĐÃ GIAO"))</x:f>
      </x:c>
      <x:c r="J169" s="36" t="str">
        <x:f>IF(A169="","",MAX(0,F169-I169))</x:f>
      </x:c>
      <x:c r="K169" s="35" t="str">
        <x:f>IF(A169="","",H169-(F169*IFERROR(VLOOKUP(C169,'SẢN_PHẨM'!$A$2:$G$500,5,FALSE),0)))</x:f>
      </x:c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36" t="str">
        <x:f>IF(C170="","",IFERROR(VLOOKUP(C170,'SẢN_PHẨM'!$A$2:$G$500,2,FALSE),""))</x:f>
      </x:c>
      <x:c r="E170" s="36" t="str">
        <x:f>IF(C170="","",IFERROR(VLOOKUP(C170,'SẢN_PHẨM'!$A$2:$G$500,3,FALSE),""))</x:f>
      </x:c>
      <x:c r="F170" s="39"/>
      <x:c r="G170" s="44"/>
      <x:c r="H170" s="35" t="str">
        <x:f>IF(OR(F170="",G170=""),"",F170*G170)</x:f>
      </x:c>
      <x:c r="I170" s="36" t="str">
        <x:f>IF(A170="","",SUMIFS('CHI_TIẾT_GIAO_HÀNG'!$D$2:$D$500,'CHI_TIẾT_GIAO_HÀNG'!$C$2:$C$500,A170,'CHI_TIẾT_GIAO_HÀNG'!$E$2:$E$500,"ĐÃ GIAO"))</x:f>
      </x:c>
      <x:c r="J170" s="36" t="str">
        <x:f>IF(A170="","",MAX(0,F170-I170))</x:f>
      </x:c>
      <x:c r="K170" s="35" t="str">
        <x:f>IF(A170="","",H170-(F170*IFERROR(VLOOKUP(C170,'SẢN_PHẨM'!$A$2:$G$500,5,FALSE),0)))</x:f>
      </x:c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36" t="str">
        <x:f>IF(C171="","",IFERROR(VLOOKUP(C171,'SẢN_PHẨM'!$A$2:$G$500,2,FALSE),""))</x:f>
      </x:c>
      <x:c r="E171" s="36" t="str">
        <x:f>IF(C171="","",IFERROR(VLOOKUP(C171,'SẢN_PHẨM'!$A$2:$G$500,3,FALSE),""))</x:f>
      </x:c>
      <x:c r="F171" s="39"/>
      <x:c r="G171" s="44"/>
      <x:c r="H171" s="35" t="str">
        <x:f>IF(OR(F171="",G171=""),"",F171*G171)</x:f>
      </x:c>
      <x:c r="I171" s="36" t="str">
        <x:f>IF(A171="","",SUMIFS('CHI_TIẾT_GIAO_HÀNG'!$D$2:$D$500,'CHI_TIẾT_GIAO_HÀNG'!$C$2:$C$500,A171,'CHI_TIẾT_GIAO_HÀNG'!$E$2:$E$500,"ĐÃ GIAO"))</x:f>
      </x:c>
      <x:c r="J171" s="36" t="str">
        <x:f>IF(A171="","",MAX(0,F171-I171))</x:f>
      </x:c>
      <x:c r="K171" s="35" t="str">
        <x:f>IF(A171="","",H171-(F171*IFERROR(VLOOKUP(C171,'SẢN_PHẨM'!$A$2:$G$500,5,FALSE),0)))</x:f>
      </x:c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36" t="str">
        <x:f>IF(C172="","",IFERROR(VLOOKUP(C172,'SẢN_PHẨM'!$A$2:$G$500,2,FALSE),""))</x:f>
      </x:c>
      <x:c r="E172" s="36" t="str">
        <x:f>IF(C172="","",IFERROR(VLOOKUP(C172,'SẢN_PHẨM'!$A$2:$G$500,3,FALSE),""))</x:f>
      </x:c>
      <x:c r="F172" s="39"/>
      <x:c r="G172" s="44"/>
      <x:c r="H172" s="35" t="str">
        <x:f>IF(OR(F172="",G172=""),"",F172*G172)</x:f>
      </x:c>
      <x:c r="I172" s="36" t="str">
        <x:f>IF(A172="","",SUMIFS('CHI_TIẾT_GIAO_HÀNG'!$D$2:$D$500,'CHI_TIẾT_GIAO_HÀNG'!$C$2:$C$500,A172,'CHI_TIẾT_GIAO_HÀNG'!$E$2:$E$500,"ĐÃ GIAO"))</x:f>
      </x:c>
      <x:c r="J172" s="36" t="str">
        <x:f>IF(A172="","",MAX(0,F172-I172))</x:f>
      </x:c>
      <x:c r="K172" s="35" t="str">
        <x:f>IF(A172="","",H172-(F172*IFERROR(VLOOKUP(C172,'SẢN_PHẨM'!$A$2:$G$500,5,FALSE),0)))</x:f>
      </x:c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36" t="str">
        <x:f>IF(C173="","",IFERROR(VLOOKUP(C173,'SẢN_PHẨM'!$A$2:$G$500,2,FALSE),""))</x:f>
      </x:c>
      <x:c r="E173" s="36" t="str">
        <x:f>IF(C173="","",IFERROR(VLOOKUP(C173,'SẢN_PHẨM'!$A$2:$G$500,3,FALSE),""))</x:f>
      </x:c>
      <x:c r="F173" s="39"/>
      <x:c r="G173" s="44"/>
      <x:c r="H173" s="35" t="str">
        <x:f>IF(OR(F173="",G173=""),"",F173*G173)</x:f>
      </x:c>
      <x:c r="I173" s="36" t="str">
        <x:f>IF(A173="","",SUMIFS('CHI_TIẾT_GIAO_HÀNG'!$D$2:$D$500,'CHI_TIẾT_GIAO_HÀNG'!$C$2:$C$500,A173,'CHI_TIẾT_GIAO_HÀNG'!$E$2:$E$500,"ĐÃ GIAO"))</x:f>
      </x:c>
      <x:c r="J173" s="36" t="str">
        <x:f>IF(A173="","",MAX(0,F173-I173))</x:f>
      </x:c>
      <x:c r="K173" s="35" t="str">
        <x:f>IF(A173="","",H173-(F173*IFERROR(VLOOKUP(C173,'SẢN_PHẨM'!$A$2:$G$500,5,FALSE),0)))</x:f>
      </x:c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36" t="str">
        <x:f>IF(C174="","",IFERROR(VLOOKUP(C174,'SẢN_PHẨM'!$A$2:$G$500,2,FALSE),""))</x:f>
      </x:c>
      <x:c r="E174" s="36" t="str">
        <x:f>IF(C174="","",IFERROR(VLOOKUP(C174,'SẢN_PHẨM'!$A$2:$G$500,3,FALSE),""))</x:f>
      </x:c>
      <x:c r="F174" s="39"/>
      <x:c r="G174" s="44"/>
      <x:c r="H174" s="35" t="str">
        <x:f>IF(OR(F174="",G174=""),"",F174*G174)</x:f>
      </x:c>
      <x:c r="I174" s="36" t="str">
        <x:f>IF(A174="","",SUMIFS('CHI_TIẾT_GIAO_HÀNG'!$D$2:$D$500,'CHI_TIẾT_GIAO_HÀNG'!$C$2:$C$500,A174,'CHI_TIẾT_GIAO_HÀNG'!$E$2:$E$500,"ĐÃ GIAO"))</x:f>
      </x:c>
      <x:c r="J174" s="36" t="str">
        <x:f>IF(A174="","",MAX(0,F174-I174))</x:f>
      </x:c>
      <x:c r="K174" s="35" t="str">
        <x:f>IF(A174="","",H174-(F174*IFERROR(VLOOKUP(C174,'SẢN_PHẨM'!$A$2:$G$500,5,FALSE),0)))</x:f>
      </x:c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36" t="str">
        <x:f>IF(C175="","",IFERROR(VLOOKUP(C175,'SẢN_PHẨM'!$A$2:$G$500,2,FALSE),""))</x:f>
      </x:c>
      <x:c r="E175" s="36" t="str">
        <x:f>IF(C175="","",IFERROR(VLOOKUP(C175,'SẢN_PHẨM'!$A$2:$G$500,3,FALSE),""))</x:f>
      </x:c>
      <x:c r="F175" s="39"/>
      <x:c r="G175" s="44"/>
      <x:c r="H175" s="35" t="str">
        <x:f>IF(OR(F175="",G175=""),"",F175*G175)</x:f>
      </x:c>
      <x:c r="I175" s="36" t="str">
        <x:f>IF(A175="","",SUMIFS('CHI_TIẾT_GIAO_HÀNG'!$D$2:$D$500,'CHI_TIẾT_GIAO_HÀNG'!$C$2:$C$500,A175,'CHI_TIẾT_GIAO_HÀNG'!$E$2:$E$500,"ĐÃ GIAO"))</x:f>
      </x:c>
      <x:c r="J175" s="36" t="str">
        <x:f>IF(A175="","",MAX(0,F175-I175))</x:f>
      </x:c>
      <x:c r="K175" s="35" t="str">
        <x:f>IF(A175="","",H175-(F175*IFERROR(VLOOKUP(C175,'SẢN_PHẨM'!$A$2:$G$500,5,FALSE),0)))</x:f>
      </x:c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36" t="str">
        <x:f>IF(C176="","",IFERROR(VLOOKUP(C176,'SẢN_PHẨM'!$A$2:$G$500,2,FALSE),""))</x:f>
      </x:c>
      <x:c r="E176" s="36" t="str">
        <x:f>IF(C176="","",IFERROR(VLOOKUP(C176,'SẢN_PHẨM'!$A$2:$G$500,3,FALSE),""))</x:f>
      </x:c>
      <x:c r="F176" s="39"/>
      <x:c r="G176" s="44"/>
      <x:c r="H176" s="35" t="str">
        <x:f>IF(OR(F176="",G176=""),"",F176*G176)</x:f>
      </x:c>
      <x:c r="I176" s="36" t="str">
        <x:f>IF(A176="","",SUMIFS('CHI_TIẾT_GIAO_HÀNG'!$D$2:$D$500,'CHI_TIẾT_GIAO_HÀNG'!$C$2:$C$500,A176,'CHI_TIẾT_GIAO_HÀNG'!$E$2:$E$500,"ĐÃ GIAO"))</x:f>
      </x:c>
      <x:c r="J176" s="36" t="str">
        <x:f>IF(A176="","",MAX(0,F176-I176))</x:f>
      </x:c>
      <x:c r="K176" s="35" t="str">
        <x:f>IF(A176="","",H176-(F176*IFERROR(VLOOKUP(C176,'SẢN_PHẨM'!$A$2:$G$500,5,FALSE),0)))</x:f>
      </x:c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36" t="str">
        <x:f>IF(C177="","",IFERROR(VLOOKUP(C177,'SẢN_PHẨM'!$A$2:$G$500,2,FALSE),""))</x:f>
      </x:c>
      <x:c r="E177" s="36" t="str">
        <x:f>IF(C177="","",IFERROR(VLOOKUP(C177,'SẢN_PHẨM'!$A$2:$G$500,3,FALSE),""))</x:f>
      </x:c>
      <x:c r="F177" s="39"/>
      <x:c r="G177" s="44"/>
      <x:c r="H177" s="35" t="str">
        <x:f>IF(OR(F177="",G177=""),"",F177*G177)</x:f>
      </x:c>
      <x:c r="I177" s="36" t="str">
        <x:f>IF(A177="","",SUMIFS('CHI_TIẾT_GIAO_HÀNG'!$D$2:$D$500,'CHI_TIẾT_GIAO_HÀNG'!$C$2:$C$500,A177,'CHI_TIẾT_GIAO_HÀNG'!$E$2:$E$500,"ĐÃ GIAO"))</x:f>
      </x:c>
      <x:c r="J177" s="36" t="str">
        <x:f>IF(A177="","",MAX(0,F177-I177))</x:f>
      </x:c>
      <x:c r="K177" s="35" t="str">
        <x:f>IF(A177="","",H177-(F177*IFERROR(VLOOKUP(C177,'SẢN_PHẨM'!$A$2:$G$500,5,FALSE),0)))</x:f>
      </x:c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36" t="str">
        <x:f>IF(C178="","",IFERROR(VLOOKUP(C178,'SẢN_PHẨM'!$A$2:$G$500,2,FALSE),""))</x:f>
      </x:c>
      <x:c r="E178" s="36" t="str">
        <x:f>IF(C178="","",IFERROR(VLOOKUP(C178,'SẢN_PHẨM'!$A$2:$G$500,3,FALSE),""))</x:f>
      </x:c>
      <x:c r="F178" s="39"/>
      <x:c r="G178" s="44"/>
      <x:c r="H178" s="35" t="str">
        <x:f>IF(OR(F178="",G178=""),"",F178*G178)</x:f>
      </x:c>
      <x:c r="I178" s="36" t="str">
        <x:f>IF(A178="","",SUMIFS('CHI_TIẾT_GIAO_HÀNG'!$D$2:$D$500,'CHI_TIẾT_GIAO_HÀNG'!$C$2:$C$500,A178,'CHI_TIẾT_GIAO_HÀNG'!$E$2:$E$500,"ĐÃ GIAO"))</x:f>
      </x:c>
      <x:c r="J178" s="36" t="str">
        <x:f>IF(A178="","",MAX(0,F178-I178))</x:f>
      </x:c>
      <x:c r="K178" s="35" t="str">
        <x:f>IF(A178="","",H178-(F178*IFERROR(VLOOKUP(C178,'SẢN_PHẨM'!$A$2:$G$500,5,FALSE),0)))</x:f>
      </x:c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36" t="str">
        <x:f>IF(C179="","",IFERROR(VLOOKUP(C179,'SẢN_PHẨM'!$A$2:$G$500,2,FALSE),""))</x:f>
      </x:c>
      <x:c r="E179" s="36" t="str">
        <x:f>IF(C179="","",IFERROR(VLOOKUP(C179,'SẢN_PHẨM'!$A$2:$G$500,3,FALSE),""))</x:f>
      </x:c>
      <x:c r="F179" s="39"/>
      <x:c r="G179" s="44"/>
      <x:c r="H179" s="35" t="str">
        <x:f>IF(OR(F179="",G179=""),"",F179*G179)</x:f>
      </x:c>
      <x:c r="I179" s="36" t="str">
        <x:f>IF(A179="","",SUMIFS('CHI_TIẾT_GIAO_HÀNG'!$D$2:$D$500,'CHI_TIẾT_GIAO_HÀNG'!$C$2:$C$500,A179,'CHI_TIẾT_GIAO_HÀNG'!$E$2:$E$500,"ĐÃ GIAO"))</x:f>
      </x:c>
      <x:c r="J179" s="36" t="str">
        <x:f>IF(A179="","",MAX(0,F179-I179))</x:f>
      </x:c>
      <x:c r="K179" s="35" t="str">
        <x:f>IF(A179="","",H179-(F179*IFERROR(VLOOKUP(C179,'SẢN_PHẨM'!$A$2:$G$500,5,FALSE),0)))</x:f>
      </x:c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36" t="str">
        <x:f>IF(C180="","",IFERROR(VLOOKUP(C180,'SẢN_PHẨM'!$A$2:$G$500,2,FALSE),""))</x:f>
      </x:c>
      <x:c r="E180" s="36" t="str">
        <x:f>IF(C180="","",IFERROR(VLOOKUP(C180,'SẢN_PHẨM'!$A$2:$G$500,3,FALSE),""))</x:f>
      </x:c>
      <x:c r="F180" s="39"/>
      <x:c r="G180" s="44"/>
      <x:c r="H180" s="35" t="str">
        <x:f>IF(OR(F180="",G180=""),"",F180*G180)</x:f>
      </x:c>
      <x:c r="I180" s="36" t="str">
        <x:f>IF(A180="","",SUMIFS('CHI_TIẾT_GIAO_HÀNG'!$D$2:$D$500,'CHI_TIẾT_GIAO_HÀNG'!$C$2:$C$500,A180,'CHI_TIẾT_GIAO_HÀNG'!$E$2:$E$500,"ĐÃ GIAO"))</x:f>
      </x:c>
      <x:c r="J180" s="36" t="str">
        <x:f>IF(A180="","",MAX(0,F180-I180))</x:f>
      </x:c>
      <x:c r="K180" s="35" t="str">
        <x:f>IF(A180="","",H180-(F180*IFERROR(VLOOKUP(C180,'SẢN_PHẨM'!$A$2:$G$500,5,FALSE),0)))</x:f>
      </x:c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36" t="str">
        <x:f>IF(C181="","",IFERROR(VLOOKUP(C181,'SẢN_PHẨM'!$A$2:$G$500,2,FALSE),""))</x:f>
      </x:c>
      <x:c r="E181" s="36" t="str">
        <x:f>IF(C181="","",IFERROR(VLOOKUP(C181,'SẢN_PHẨM'!$A$2:$G$500,3,FALSE),""))</x:f>
      </x:c>
      <x:c r="F181" s="39"/>
      <x:c r="G181" s="44"/>
      <x:c r="H181" s="35" t="str">
        <x:f>IF(OR(F181="",G181=""),"",F181*G181)</x:f>
      </x:c>
      <x:c r="I181" s="36" t="str">
        <x:f>IF(A181="","",SUMIFS('CHI_TIẾT_GIAO_HÀNG'!$D$2:$D$500,'CHI_TIẾT_GIAO_HÀNG'!$C$2:$C$500,A181,'CHI_TIẾT_GIAO_HÀNG'!$E$2:$E$500,"ĐÃ GIAO"))</x:f>
      </x:c>
      <x:c r="J181" s="36" t="str">
        <x:f>IF(A181="","",MAX(0,F181-I181))</x:f>
      </x:c>
      <x:c r="K181" s="35" t="str">
        <x:f>IF(A181="","",H181-(F181*IFERROR(VLOOKUP(C181,'SẢN_PHẨM'!$A$2:$G$500,5,FALSE),0)))</x:f>
      </x:c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36" t="str">
        <x:f>IF(C182="","",IFERROR(VLOOKUP(C182,'SẢN_PHẨM'!$A$2:$G$500,2,FALSE),""))</x:f>
      </x:c>
      <x:c r="E182" s="36" t="str">
        <x:f>IF(C182="","",IFERROR(VLOOKUP(C182,'SẢN_PHẨM'!$A$2:$G$500,3,FALSE),""))</x:f>
      </x:c>
      <x:c r="F182" s="39"/>
      <x:c r="G182" s="44"/>
      <x:c r="H182" s="35" t="str">
        <x:f>IF(OR(F182="",G182=""),"",F182*G182)</x:f>
      </x:c>
      <x:c r="I182" s="36" t="str">
        <x:f>IF(A182="","",SUMIFS('CHI_TIẾT_GIAO_HÀNG'!$D$2:$D$500,'CHI_TIẾT_GIAO_HÀNG'!$C$2:$C$500,A182,'CHI_TIẾT_GIAO_HÀNG'!$E$2:$E$500,"ĐÃ GIAO"))</x:f>
      </x:c>
      <x:c r="J182" s="36" t="str">
        <x:f>IF(A182="","",MAX(0,F182-I182))</x:f>
      </x:c>
      <x:c r="K182" s="35" t="str">
        <x:f>IF(A182="","",H182-(F182*IFERROR(VLOOKUP(C182,'SẢN_PHẨM'!$A$2:$G$500,5,FALSE),0)))</x:f>
      </x:c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36" t="str">
        <x:f>IF(C183="","",IFERROR(VLOOKUP(C183,'SẢN_PHẨM'!$A$2:$G$500,2,FALSE),""))</x:f>
      </x:c>
      <x:c r="E183" s="36" t="str">
        <x:f>IF(C183="","",IFERROR(VLOOKUP(C183,'SẢN_PHẨM'!$A$2:$G$500,3,FALSE),""))</x:f>
      </x:c>
      <x:c r="F183" s="39"/>
      <x:c r="G183" s="44"/>
      <x:c r="H183" s="35" t="str">
        <x:f>IF(OR(F183="",G183=""),"",F183*G183)</x:f>
      </x:c>
      <x:c r="I183" s="36" t="str">
        <x:f>IF(A183="","",SUMIFS('CHI_TIẾT_GIAO_HÀNG'!$D$2:$D$500,'CHI_TIẾT_GIAO_HÀNG'!$C$2:$C$500,A183,'CHI_TIẾT_GIAO_HÀNG'!$E$2:$E$500,"ĐÃ GIAO"))</x:f>
      </x:c>
      <x:c r="J183" s="36" t="str">
        <x:f>IF(A183="","",MAX(0,F183-I183))</x:f>
      </x:c>
      <x:c r="K183" s="35" t="str">
        <x:f>IF(A183="","",H183-(F183*IFERROR(VLOOKUP(C183,'SẢN_PHẨM'!$A$2:$G$500,5,FALSE),0)))</x:f>
      </x:c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36" t="str">
        <x:f>IF(C184="","",IFERROR(VLOOKUP(C184,'SẢN_PHẨM'!$A$2:$G$500,2,FALSE),""))</x:f>
      </x:c>
      <x:c r="E184" s="36" t="str">
        <x:f>IF(C184="","",IFERROR(VLOOKUP(C184,'SẢN_PHẨM'!$A$2:$G$500,3,FALSE),""))</x:f>
      </x:c>
      <x:c r="F184" s="39"/>
      <x:c r="G184" s="44"/>
      <x:c r="H184" s="35" t="str">
        <x:f>IF(OR(F184="",G184=""),"",F184*G184)</x:f>
      </x:c>
      <x:c r="I184" s="36" t="str">
        <x:f>IF(A184="","",SUMIFS('CHI_TIẾT_GIAO_HÀNG'!$D$2:$D$500,'CHI_TIẾT_GIAO_HÀNG'!$C$2:$C$500,A184,'CHI_TIẾT_GIAO_HÀNG'!$E$2:$E$500,"ĐÃ GIAO"))</x:f>
      </x:c>
      <x:c r="J184" s="36" t="str">
        <x:f>IF(A184="","",MAX(0,F184-I184))</x:f>
      </x:c>
      <x:c r="K184" s="35" t="str">
        <x:f>IF(A184="","",H184-(F184*IFERROR(VLOOKUP(C184,'SẢN_PHẨM'!$A$2:$G$500,5,FALSE),0)))</x:f>
      </x:c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36" t="str">
        <x:f>IF(C185="","",IFERROR(VLOOKUP(C185,'SẢN_PHẨM'!$A$2:$G$500,2,FALSE),""))</x:f>
      </x:c>
      <x:c r="E185" s="36" t="str">
        <x:f>IF(C185="","",IFERROR(VLOOKUP(C185,'SẢN_PHẨM'!$A$2:$G$500,3,FALSE),""))</x:f>
      </x:c>
      <x:c r="F185" s="39"/>
      <x:c r="G185" s="44"/>
      <x:c r="H185" s="35" t="str">
        <x:f>IF(OR(F185="",G185=""),"",F185*G185)</x:f>
      </x:c>
      <x:c r="I185" s="36" t="str">
        <x:f>IF(A185="","",SUMIFS('CHI_TIẾT_GIAO_HÀNG'!$D$2:$D$500,'CHI_TIẾT_GIAO_HÀNG'!$C$2:$C$500,A185,'CHI_TIẾT_GIAO_HÀNG'!$E$2:$E$500,"ĐÃ GIAO"))</x:f>
      </x:c>
      <x:c r="J185" s="36" t="str">
        <x:f>IF(A185="","",MAX(0,F185-I185))</x:f>
      </x:c>
      <x:c r="K185" s="35" t="str">
        <x:f>IF(A185="","",H185-(F185*IFERROR(VLOOKUP(C185,'SẢN_PHẨM'!$A$2:$G$500,5,FALSE),0)))</x:f>
      </x:c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36" t="str">
        <x:f>IF(C186="","",IFERROR(VLOOKUP(C186,'SẢN_PHẨM'!$A$2:$G$500,2,FALSE),""))</x:f>
      </x:c>
      <x:c r="E186" s="36" t="str">
        <x:f>IF(C186="","",IFERROR(VLOOKUP(C186,'SẢN_PHẨM'!$A$2:$G$500,3,FALSE),""))</x:f>
      </x:c>
      <x:c r="F186" s="39"/>
      <x:c r="G186" s="44"/>
      <x:c r="H186" s="35" t="str">
        <x:f>IF(OR(F186="",G186=""),"",F186*G186)</x:f>
      </x:c>
      <x:c r="I186" s="36" t="str">
        <x:f>IF(A186="","",SUMIFS('CHI_TIẾT_GIAO_HÀNG'!$D$2:$D$500,'CHI_TIẾT_GIAO_HÀNG'!$C$2:$C$500,A186,'CHI_TIẾT_GIAO_HÀNG'!$E$2:$E$500,"ĐÃ GIAO"))</x:f>
      </x:c>
      <x:c r="J186" s="36" t="str">
        <x:f>IF(A186="","",MAX(0,F186-I186))</x:f>
      </x:c>
      <x:c r="K186" s="35" t="str">
        <x:f>IF(A186="","",H186-(F186*IFERROR(VLOOKUP(C186,'SẢN_PHẨM'!$A$2:$G$500,5,FALSE),0)))</x:f>
      </x:c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36" t="str">
        <x:f>IF(C187="","",IFERROR(VLOOKUP(C187,'SẢN_PHẨM'!$A$2:$G$500,2,FALSE),""))</x:f>
      </x:c>
      <x:c r="E187" s="36" t="str">
        <x:f>IF(C187="","",IFERROR(VLOOKUP(C187,'SẢN_PHẨM'!$A$2:$G$500,3,FALSE),""))</x:f>
      </x:c>
      <x:c r="F187" s="39"/>
      <x:c r="G187" s="44"/>
      <x:c r="H187" s="35" t="str">
        <x:f>IF(OR(F187="",G187=""),"",F187*G187)</x:f>
      </x:c>
      <x:c r="I187" s="36" t="str">
        <x:f>IF(A187="","",SUMIFS('CHI_TIẾT_GIAO_HÀNG'!$D$2:$D$500,'CHI_TIẾT_GIAO_HÀNG'!$C$2:$C$500,A187,'CHI_TIẾT_GIAO_HÀNG'!$E$2:$E$500,"ĐÃ GIAO"))</x:f>
      </x:c>
      <x:c r="J187" s="36" t="str">
        <x:f>IF(A187="","",MAX(0,F187-I187))</x:f>
      </x:c>
      <x:c r="K187" s="35" t="str">
        <x:f>IF(A187="","",H187-(F187*IFERROR(VLOOKUP(C187,'SẢN_PHẨM'!$A$2:$G$500,5,FALSE),0)))</x:f>
      </x:c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36" t="str">
        <x:f>IF(C188="","",IFERROR(VLOOKUP(C188,'SẢN_PHẨM'!$A$2:$G$500,2,FALSE),""))</x:f>
      </x:c>
      <x:c r="E188" s="36" t="str">
        <x:f>IF(C188="","",IFERROR(VLOOKUP(C188,'SẢN_PHẨM'!$A$2:$G$500,3,FALSE),""))</x:f>
      </x:c>
      <x:c r="F188" s="39"/>
      <x:c r="G188" s="44"/>
      <x:c r="H188" s="35" t="str">
        <x:f>IF(OR(F188="",G188=""),"",F188*G188)</x:f>
      </x:c>
      <x:c r="I188" s="36" t="str">
        <x:f>IF(A188="","",SUMIFS('CHI_TIẾT_GIAO_HÀNG'!$D$2:$D$500,'CHI_TIẾT_GIAO_HÀNG'!$C$2:$C$500,A188,'CHI_TIẾT_GIAO_HÀNG'!$E$2:$E$500,"ĐÃ GIAO"))</x:f>
      </x:c>
      <x:c r="J188" s="36" t="str">
        <x:f>IF(A188="","",MAX(0,F188-I188))</x:f>
      </x:c>
      <x:c r="K188" s="35" t="str">
        <x:f>IF(A188="","",H188-(F188*IFERROR(VLOOKUP(C188,'SẢN_PHẨM'!$A$2:$G$500,5,FALSE),0)))</x:f>
      </x:c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36" t="str">
        <x:f>IF(C189="","",IFERROR(VLOOKUP(C189,'SẢN_PHẨM'!$A$2:$G$500,2,FALSE),""))</x:f>
      </x:c>
      <x:c r="E189" s="36" t="str">
        <x:f>IF(C189="","",IFERROR(VLOOKUP(C189,'SẢN_PHẨM'!$A$2:$G$500,3,FALSE),""))</x:f>
      </x:c>
      <x:c r="F189" s="39"/>
      <x:c r="G189" s="44"/>
      <x:c r="H189" s="35" t="str">
        <x:f>IF(OR(F189="",G189=""),"",F189*G189)</x:f>
      </x:c>
      <x:c r="I189" s="36" t="str">
        <x:f>IF(A189="","",SUMIFS('CHI_TIẾT_GIAO_HÀNG'!$D$2:$D$500,'CHI_TIẾT_GIAO_HÀNG'!$C$2:$C$500,A189,'CHI_TIẾT_GIAO_HÀNG'!$E$2:$E$500,"ĐÃ GIAO"))</x:f>
      </x:c>
      <x:c r="J189" s="36" t="str">
        <x:f>IF(A189="","",MAX(0,F189-I189))</x:f>
      </x:c>
      <x:c r="K189" s="35" t="str">
        <x:f>IF(A189="","",H189-(F189*IFERROR(VLOOKUP(C189,'SẢN_PHẨM'!$A$2:$G$500,5,FALSE),0)))</x:f>
      </x:c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36" t="str">
        <x:f>IF(C190="","",IFERROR(VLOOKUP(C190,'SẢN_PHẨM'!$A$2:$G$500,2,FALSE),""))</x:f>
      </x:c>
      <x:c r="E190" s="36" t="str">
        <x:f>IF(C190="","",IFERROR(VLOOKUP(C190,'SẢN_PHẨM'!$A$2:$G$500,3,FALSE),""))</x:f>
      </x:c>
      <x:c r="F190" s="39"/>
      <x:c r="G190" s="44"/>
      <x:c r="H190" s="35" t="str">
        <x:f>IF(OR(F190="",G190=""),"",F190*G190)</x:f>
      </x:c>
      <x:c r="I190" s="36" t="str">
        <x:f>IF(A190="","",SUMIFS('CHI_TIẾT_GIAO_HÀNG'!$D$2:$D$500,'CHI_TIẾT_GIAO_HÀNG'!$C$2:$C$500,A190,'CHI_TIẾT_GIAO_HÀNG'!$E$2:$E$500,"ĐÃ GIAO"))</x:f>
      </x:c>
      <x:c r="J190" s="36" t="str">
        <x:f>IF(A190="","",MAX(0,F190-I190))</x:f>
      </x:c>
      <x:c r="K190" s="35" t="str">
        <x:f>IF(A190="","",H190-(F190*IFERROR(VLOOKUP(C190,'SẢN_PHẨM'!$A$2:$G$500,5,FALSE),0)))</x:f>
      </x:c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36" t="str">
        <x:f>IF(C191="","",IFERROR(VLOOKUP(C191,'SẢN_PHẨM'!$A$2:$G$500,2,FALSE),""))</x:f>
      </x:c>
      <x:c r="E191" s="36" t="str">
        <x:f>IF(C191="","",IFERROR(VLOOKUP(C191,'SẢN_PHẨM'!$A$2:$G$500,3,FALSE),""))</x:f>
      </x:c>
      <x:c r="F191" s="39"/>
      <x:c r="G191" s="44"/>
      <x:c r="H191" s="35" t="str">
        <x:f>IF(OR(F191="",G191=""),"",F191*G191)</x:f>
      </x:c>
      <x:c r="I191" s="36" t="str">
        <x:f>IF(A191="","",SUMIFS('CHI_TIẾT_GIAO_HÀNG'!$D$2:$D$500,'CHI_TIẾT_GIAO_HÀNG'!$C$2:$C$500,A191,'CHI_TIẾT_GIAO_HÀNG'!$E$2:$E$500,"ĐÃ GIAO"))</x:f>
      </x:c>
      <x:c r="J191" s="36" t="str">
        <x:f>IF(A191="","",MAX(0,F191-I191))</x:f>
      </x:c>
      <x:c r="K191" s="35" t="str">
        <x:f>IF(A191="","",H191-(F191*IFERROR(VLOOKUP(C191,'SẢN_PHẨM'!$A$2:$G$500,5,FALSE),0)))</x:f>
      </x:c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36" t="str">
        <x:f>IF(C192="","",IFERROR(VLOOKUP(C192,'SẢN_PHẨM'!$A$2:$G$500,2,FALSE),""))</x:f>
      </x:c>
      <x:c r="E192" s="36" t="str">
        <x:f>IF(C192="","",IFERROR(VLOOKUP(C192,'SẢN_PHẨM'!$A$2:$G$500,3,FALSE),""))</x:f>
      </x:c>
      <x:c r="F192" s="39"/>
      <x:c r="G192" s="44"/>
      <x:c r="H192" s="35" t="str">
        <x:f>IF(OR(F192="",G192=""),"",F192*G192)</x:f>
      </x:c>
      <x:c r="I192" s="36" t="str">
        <x:f>IF(A192="","",SUMIFS('CHI_TIẾT_GIAO_HÀNG'!$D$2:$D$500,'CHI_TIẾT_GIAO_HÀNG'!$C$2:$C$500,A192,'CHI_TIẾT_GIAO_HÀNG'!$E$2:$E$500,"ĐÃ GIAO"))</x:f>
      </x:c>
      <x:c r="J192" s="36" t="str">
        <x:f>IF(A192="","",MAX(0,F192-I192))</x:f>
      </x:c>
      <x:c r="K192" s="35" t="str">
        <x:f>IF(A192="","",H192-(F192*IFERROR(VLOOKUP(C192,'SẢN_PHẨM'!$A$2:$G$500,5,FALSE),0)))</x:f>
      </x:c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36" t="str">
        <x:f>IF(C193="","",IFERROR(VLOOKUP(C193,'SẢN_PHẨM'!$A$2:$G$500,2,FALSE),""))</x:f>
      </x:c>
      <x:c r="E193" s="36" t="str">
        <x:f>IF(C193="","",IFERROR(VLOOKUP(C193,'SẢN_PHẨM'!$A$2:$G$500,3,FALSE),""))</x:f>
      </x:c>
      <x:c r="F193" s="39"/>
      <x:c r="G193" s="44"/>
      <x:c r="H193" s="35" t="str">
        <x:f>IF(OR(F193="",G193=""),"",F193*G193)</x:f>
      </x:c>
      <x:c r="I193" s="36" t="str">
        <x:f>IF(A193="","",SUMIFS('CHI_TIẾT_GIAO_HÀNG'!$D$2:$D$500,'CHI_TIẾT_GIAO_HÀNG'!$C$2:$C$500,A193,'CHI_TIẾT_GIAO_HÀNG'!$E$2:$E$500,"ĐÃ GIAO"))</x:f>
      </x:c>
      <x:c r="J193" s="36" t="str">
        <x:f>IF(A193="","",MAX(0,F193-I193))</x:f>
      </x:c>
      <x:c r="K193" s="35" t="str">
        <x:f>IF(A193="","",H193-(F193*IFERROR(VLOOKUP(C193,'SẢN_PHẨM'!$A$2:$G$500,5,FALSE),0)))</x:f>
      </x:c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36" t="str">
        <x:f>IF(C194="","",IFERROR(VLOOKUP(C194,'SẢN_PHẨM'!$A$2:$G$500,2,FALSE),""))</x:f>
      </x:c>
      <x:c r="E194" s="36" t="str">
        <x:f>IF(C194="","",IFERROR(VLOOKUP(C194,'SẢN_PHẨM'!$A$2:$G$500,3,FALSE),""))</x:f>
      </x:c>
      <x:c r="F194" s="39"/>
      <x:c r="G194" s="44"/>
      <x:c r="H194" s="35" t="str">
        <x:f>IF(OR(F194="",G194=""),"",F194*G194)</x:f>
      </x:c>
      <x:c r="I194" s="36" t="str">
        <x:f>IF(A194="","",SUMIFS('CHI_TIẾT_GIAO_HÀNG'!$D$2:$D$500,'CHI_TIẾT_GIAO_HÀNG'!$C$2:$C$500,A194,'CHI_TIẾT_GIAO_HÀNG'!$E$2:$E$500,"ĐÃ GIAO"))</x:f>
      </x:c>
      <x:c r="J194" s="36" t="str">
        <x:f>IF(A194="","",MAX(0,F194-I194))</x:f>
      </x:c>
      <x:c r="K194" s="35" t="str">
        <x:f>IF(A194="","",H194-(F194*IFERROR(VLOOKUP(C194,'SẢN_PHẨM'!$A$2:$G$500,5,FALSE),0)))</x:f>
      </x:c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36" t="str">
        <x:f>IF(C195="","",IFERROR(VLOOKUP(C195,'SẢN_PHẨM'!$A$2:$G$500,2,FALSE),""))</x:f>
      </x:c>
      <x:c r="E195" s="36" t="str">
        <x:f>IF(C195="","",IFERROR(VLOOKUP(C195,'SẢN_PHẨM'!$A$2:$G$500,3,FALSE),""))</x:f>
      </x:c>
      <x:c r="F195" s="39"/>
      <x:c r="G195" s="44"/>
      <x:c r="H195" s="35" t="str">
        <x:f>IF(OR(F195="",G195=""),"",F195*G195)</x:f>
      </x:c>
      <x:c r="I195" s="36" t="str">
        <x:f>IF(A195="","",SUMIFS('CHI_TIẾT_GIAO_HÀNG'!$D$2:$D$500,'CHI_TIẾT_GIAO_HÀNG'!$C$2:$C$500,A195,'CHI_TIẾT_GIAO_HÀNG'!$E$2:$E$500,"ĐÃ GIAO"))</x:f>
      </x:c>
      <x:c r="J195" s="36" t="str">
        <x:f>IF(A195="","",MAX(0,F195-I195))</x:f>
      </x:c>
      <x:c r="K195" s="35" t="str">
        <x:f>IF(A195="","",H195-(F195*IFERROR(VLOOKUP(C195,'SẢN_PHẨM'!$A$2:$G$500,5,FALSE),0)))</x:f>
      </x:c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36" t="str">
        <x:f>IF(C196="","",IFERROR(VLOOKUP(C196,'SẢN_PHẨM'!$A$2:$G$500,2,FALSE),""))</x:f>
      </x:c>
      <x:c r="E196" s="36" t="str">
        <x:f>IF(C196="","",IFERROR(VLOOKUP(C196,'SẢN_PHẨM'!$A$2:$G$500,3,FALSE),""))</x:f>
      </x:c>
      <x:c r="F196" s="39"/>
      <x:c r="G196" s="44"/>
      <x:c r="H196" s="35" t="str">
        <x:f>IF(OR(F196="",G196=""),"",F196*G196)</x:f>
      </x:c>
      <x:c r="I196" s="36" t="str">
        <x:f>IF(A196="","",SUMIFS('CHI_TIẾT_GIAO_HÀNG'!$D$2:$D$500,'CHI_TIẾT_GIAO_HÀNG'!$C$2:$C$500,A196,'CHI_TIẾT_GIAO_HÀNG'!$E$2:$E$500,"ĐÃ GIAO"))</x:f>
      </x:c>
      <x:c r="J196" s="36" t="str">
        <x:f>IF(A196="","",MAX(0,F196-I196))</x:f>
      </x:c>
      <x:c r="K196" s="35" t="str">
        <x:f>IF(A196="","",H196-(F196*IFERROR(VLOOKUP(C196,'SẢN_PHẨM'!$A$2:$G$500,5,FALSE),0)))</x:f>
      </x:c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36" t="str">
        <x:f>IF(C197="","",IFERROR(VLOOKUP(C197,'SẢN_PHẨM'!$A$2:$G$500,2,FALSE),""))</x:f>
      </x:c>
      <x:c r="E197" s="36" t="str">
        <x:f>IF(C197="","",IFERROR(VLOOKUP(C197,'SẢN_PHẨM'!$A$2:$G$500,3,FALSE),""))</x:f>
      </x:c>
      <x:c r="F197" s="39"/>
      <x:c r="G197" s="44"/>
      <x:c r="H197" s="35" t="str">
        <x:f>IF(OR(F197="",G197=""),"",F197*G197)</x:f>
      </x:c>
      <x:c r="I197" s="36" t="str">
        <x:f>IF(A197="","",SUMIFS('CHI_TIẾT_GIAO_HÀNG'!$D$2:$D$500,'CHI_TIẾT_GIAO_HÀNG'!$C$2:$C$500,A197,'CHI_TIẾT_GIAO_HÀNG'!$E$2:$E$500,"ĐÃ GIAO"))</x:f>
      </x:c>
      <x:c r="J197" s="36" t="str">
        <x:f>IF(A197="","",MAX(0,F197-I197))</x:f>
      </x:c>
      <x:c r="K197" s="35" t="str">
        <x:f>IF(A197="","",H197-(F197*IFERROR(VLOOKUP(C197,'SẢN_PHẨM'!$A$2:$G$500,5,FALSE),0)))</x:f>
      </x:c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36" t="str">
        <x:f>IF(C198="","",IFERROR(VLOOKUP(C198,'SẢN_PHẨM'!$A$2:$G$500,2,FALSE),""))</x:f>
      </x:c>
      <x:c r="E198" s="36" t="str">
        <x:f>IF(C198="","",IFERROR(VLOOKUP(C198,'SẢN_PHẨM'!$A$2:$G$500,3,FALSE),""))</x:f>
      </x:c>
      <x:c r="F198" s="39"/>
      <x:c r="G198" s="44"/>
      <x:c r="H198" s="35" t="str">
        <x:f>IF(OR(F198="",G198=""),"",F198*G198)</x:f>
      </x:c>
      <x:c r="I198" s="36" t="str">
        <x:f>IF(A198="","",SUMIFS('CHI_TIẾT_GIAO_HÀNG'!$D$2:$D$500,'CHI_TIẾT_GIAO_HÀNG'!$C$2:$C$500,A198,'CHI_TIẾT_GIAO_HÀNG'!$E$2:$E$500,"ĐÃ GIAO"))</x:f>
      </x:c>
      <x:c r="J198" s="36" t="str">
        <x:f>IF(A198="","",MAX(0,F198-I198))</x:f>
      </x:c>
      <x:c r="K198" s="35" t="str">
        <x:f>IF(A198="","",H198-(F198*IFERROR(VLOOKUP(C198,'SẢN_PHẨM'!$A$2:$G$500,5,FALSE),0)))</x:f>
      </x:c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36" t="str">
        <x:f>IF(C199="","",IFERROR(VLOOKUP(C199,'SẢN_PHẨM'!$A$2:$G$500,2,FALSE),""))</x:f>
      </x:c>
      <x:c r="E199" s="36" t="str">
        <x:f>IF(C199="","",IFERROR(VLOOKUP(C199,'SẢN_PHẨM'!$A$2:$G$500,3,FALSE),""))</x:f>
      </x:c>
      <x:c r="F199" s="39"/>
      <x:c r="G199" s="44"/>
      <x:c r="H199" s="35" t="str">
        <x:f>IF(OR(F199="",G199=""),"",F199*G199)</x:f>
      </x:c>
      <x:c r="I199" s="36" t="str">
        <x:f>IF(A199="","",SUMIFS('CHI_TIẾT_GIAO_HÀNG'!$D$2:$D$500,'CHI_TIẾT_GIAO_HÀNG'!$C$2:$C$500,A199,'CHI_TIẾT_GIAO_HÀNG'!$E$2:$E$500,"ĐÃ GIAO"))</x:f>
      </x:c>
      <x:c r="J199" s="36" t="str">
        <x:f>IF(A199="","",MAX(0,F199-I199))</x:f>
      </x:c>
      <x:c r="K199" s="35" t="str">
        <x:f>IF(A199="","",H199-(F199*IFERROR(VLOOKUP(C199,'SẢN_PHẨM'!$A$2:$G$500,5,FALSE),0)))</x:f>
      </x:c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36" t="str">
        <x:f>IF(C200="","",IFERROR(VLOOKUP(C200,'SẢN_PHẨM'!$A$2:$G$500,2,FALSE),""))</x:f>
      </x:c>
      <x:c r="E200" s="36" t="str">
        <x:f>IF(C200="","",IFERROR(VLOOKUP(C200,'SẢN_PHẨM'!$A$2:$G$500,3,FALSE),""))</x:f>
      </x:c>
      <x:c r="F200" s="39"/>
      <x:c r="G200" s="44"/>
      <x:c r="H200" s="35" t="str">
        <x:f>IF(OR(F200="",G200=""),"",F200*G200)</x:f>
      </x:c>
      <x:c r="I200" s="36" t="str">
        <x:f>IF(A200="","",SUMIFS('CHI_TIẾT_GIAO_HÀNG'!$D$2:$D$500,'CHI_TIẾT_GIAO_HÀNG'!$C$2:$C$500,A200,'CHI_TIẾT_GIAO_HÀNG'!$E$2:$E$500,"ĐÃ GIAO"))</x:f>
      </x:c>
      <x:c r="J200" s="36" t="str">
        <x:f>IF(A200="","",MAX(0,F200-I200))</x:f>
      </x:c>
      <x:c r="K200" s="35" t="str">
        <x:f>IF(A200="","",H200-(F200*IFERROR(VLOOKUP(C200,'SẢN_PHẨM'!$A$2:$G$500,5,FALSE),0)))</x:f>
      </x:c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36" t="str">
        <x:f>IF(C201="","",IFERROR(VLOOKUP(C201,'SẢN_PHẨM'!$A$2:$G$500,2,FALSE),""))</x:f>
      </x:c>
      <x:c r="E201" s="36" t="str">
        <x:f>IF(C201="","",IFERROR(VLOOKUP(C201,'SẢN_PHẨM'!$A$2:$G$500,3,FALSE),""))</x:f>
      </x:c>
      <x:c r="F201" s="39"/>
      <x:c r="G201" s="44"/>
      <x:c r="H201" s="35" t="str">
        <x:f>IF(OR(F201="",G201=""),"",F201*G201)</x:f>
      </x:c>
      <x:c r="I201" s="36" t="str">
        <x:f>IF(A201="","",SUMIFS('CHI_TIẾT_GIAO_HÀNG'!$D$2:$D$500,'CHI_TIẾT_GIAO_HÀNG'!$C$2:$C$500,A201,'CHI_TIẾT_GIAO_HÀNG'!$E$2:$E$500,"ĐÃ GIAO"))</x:f>
      </x:c>
      <x:c r="J201" s="36" t="str">
        <x:f>IF(A201="","",MAX(0,F201-I201))</x:f>
      </x:c>
      <x:c r="K201" s="35" t="str">
        <x:f>IF(A201="","",H201-(F201*IFERROR(VLOOKUP(C201,'SẢN_PHẨM'!$A$2:$G$500,5,FALSE),0)))</x:f>
      </x:c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36" t="str">
        <x:f>IF(C202="","",IFERROR(VLOOKUP(C202,'SẢN_PHẨM'!$A$2:$G$500,2,FALSE),""))</x:f>
      </x:c>
      <x:c r="E202" s="36" t="str">
        <x:f>IF(C202="","",IFERROR(VLOOKUP(C202,'SẢN_PHẨM'!$A$2:$G$500,3,FALSE),""))</x:f>
      </x:c>
      <x:c r="F202" s="39"/>
      <x:c r="G202" s="44"/>
      <x:c r="H202" s="35" t="str">
        <x:f>IF(OR(F202="",G202=""),"",F202*G202)</x:f>
      </x:c>
      <x:c r="I202" s="36" t="str">
        <x:f>IF(A202="","",SUMIFS('CHI_TIẾT_GIAO_HÀNG'!$D$2:$D$500,'CHI_TIẾT_GIAO_HÀNG'!$C$2:$C$500,A202,'CHI_TIẾT_GIAO_HÀNG'!$E$2:$E$500,"ĐÃ GIAO"))</x:f>
      </x:c>
      <x:c r="J202" s="36" t="str">
        <x:f>IF(A202="","",MAX(0,F202-I202))</x:f>
      </x:c>
      <x:c r="K202" s="35" t="str">
        <x:f>IF(A202="","",H202-(F202*IFERROR(VLOOKUP(C202,'SẢN_PHẨM'!$A$2:$G$500,5,FALSE),0)))</x:f>
      </x:c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36" t="str">
        <x:f>IF(C203="","",IFERROR(VLOOKUP(C203,'SẢN_PHẨM'!$A$2:$G$500,2,FALSE),""))</x:f>
      </x:c>
      <x:c r="E203" s="36" t="str">
        <x:f>IF(C203="","",IFERROR(VLOOKUP(C203,'SẢN_PHẨM'!$A$2:$G$500,3,FALSE),""))</x:f>
      </x:c>
      <x:c r="F203" s="39"/>
      <x:c r="G203" s="44"/>
      <x:c r="H203" s="35" t="str">
        <x:f>IF(OR(F203="",G203=""),"",F203*G203)</x:f>
      </x:c>
      <x:c r="I203" s="36" t="str">
        <x:f>IF(A203="","",SUMIFS('CHI_TIẾT_GIAO_HÀNG'!$D$2:$D$500,'CHI_TIẾT_GIAO_HÀNG'!$C$2:$C$500,A203,'CHI_TIẾT_GIAO_HÀNG'!$E$2:$E$500,"ĐÃ GIAO"))</x:f>
      </x:c>
      <x:c r="J203" s="36" t="str">
        <x:f>IF(A203="","",MAX(0,F203-I203))</x:f>
      </x:c>
      <x:c r="K203" s="35" t="str">
        <x:f>IF(A203="","",H203-(F203*IFERROR(VLOOKUP(C203,'SẢN_PHẨM'!$A$2:$G$500,5,FALSE),0)))</x:f>
      </x:c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36" t="str">
        <x:f>IF(C204="","",IFERROR(VLOOKUP(C204,'SẢN_PHẨM'!$A$2:$G$500,2,FALSE),""))</x:f>
      </x:c>
      <x:c r="E204" s="36" t="str">
        <x:f>IF(C204="","",IFERROR(VLOOKUP(C204,'SẢN_PHẨM'!$A$2:$G$500,3,FALSE),""))</x:f>
      </x:c>
      <x:c r="F204" s="39"/>
      <x:c r="G204" s="44"/>
      <x:c r="H204" s="35" t="str">
        <x:f>IF(OR(F204="",G204=""),"",F204*G204)</x:f>
      </x:c>
      <x:c r="I204" s="36" t="str">
        <x:f>IF(A204="","",SUMIFS('CHI_TIẾT_GIAO_HÀNG'!$D$2:$D$500,'CHI_TIẾT_GIAO_HÀNG'!$C$2:$C$500,A204,'CHI_TIẾT_GIAO_HÀNG'!$E$2:$E$500,"ĐÃ GIAO"))</x:f>
      </x:c>
      <x:c r="J204" s="36" t="str">
        <x:f>IF(A204="","",MAX(0,F204-I204))</x:f>
      </x:c>
      <x:c r="K204" s="35" t="str">
        <x:f>IF(A204="","",H204-(F204*IFERROR(VLOOKUP(C204,'SẢN_PHẨM'!$A$2:$G$500,5,FALSE),0)))</x:f>
      </x:c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36" t="str">
        <x:f>IF(C205="","",IFERROR(VLOOKUP(C205,'SẢN_PHẨM'!$A$2:$G$500,2,FALSE),""))</x:f>
      </x:c>
      <x:c r="E205" s="36" t="str">
        <x:f>IF(C205="","",IFERROR(VLOOKUP(C205,'SẢN_PHẨM'!$A$2:$G$500,3,FALSE),""))</x:f>
      </x:c>
      <x:c r="F205" s="39"/>
      <x:c r="G205" s="44"/>
      <x:c r="H205" s="35" t="str">
        <x:f>IF(OR(F205="",G205=""),"",F205*G205)</x:f>
      </x:c>
      <x:c r="I205" s="36" t="str">
        <x:f>IF(A205="","",SUMIFS('CHI_TIẾT_GIAO_HÀNG'!$D$2:$D$500,'CHI_TIẾT_GIAO_HÀNG'!$C$2:$C$500,A205,'CHI_TIẾT_GIAO_HÀNG'!$E$2:$E$500,"ĐÃ GIAO"))</x:f>
      </x:c>
      <x:c r="J205" s="36" t="str">
        <x:f>IF(A205="","",MAX(0,F205-I205))</x:f>
      </x:c>
      <x:c r="K205" s="35" t="str">
        <x:f>IF(A205="","",H205-(F205*IFERROR(VLOOKUP(C205,'SẢN_PHẨM'!$A$2:$G$500,5,FALSE),0)))</x:f>
      </x:c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36" t="str">
        <x:f>IF(C206="","",IFERROR(VLOOKUP(C206,'SẢN_PHẨM'!$A$2:$G$500,2,FALSE),""))</x:f>
      </x:c>
      <x:c r="E206" s="36" t="str">
        <x:f>IF(C206="","",IFERROR(VLOOKUP(C206,'SẢN_PHẨM'!$A$2:$G$500,3,FALSE),""))</x:f>
      </x:c>
      <x:c r="F206" s="39"/>
      <x:c r="G206" s="44"/>
      <x:c r="H206" s="35" t="str">
        <x:f>IF(OR(F206="",G206=""),"",F206*G206)</x:f>
      </x:c>
      <x:c r="I206" s="36" t="str">
        <x:f>IF(A206="","",SUMIFS('CHI_TIẾT_GIAO_HÀNG'!$D$2:$D$500,'CHI_TIẾT_GIAO_HÀNG'!$C$2:$C$500,A206,'CHI_TIẾT_GIAO_HÀNG'!$E$2:$E$500,"ĐÃ GIAO"))</x:f>
      </x:c>
      <x:c r="J206" s="36" t="str">
        <x:f>IF(A206="","",MAX(0,F206-I206))</x:f>
      </x:c>
      <x:c r="K206" s="35" t="str">
        <x:f>IF(A206="","",H206-(F206*IFERROR(VLOOKUP(C206,'SẢN_PHẨM'!$A$2:$G$500,5,FALSE),0)))</x:f>
      </x:c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36" t="str">
        <x:f>IF(C207="","",IFERROR(VLOOKUP(C207,'SẢN_PHẨM'!$A$2:$G$500,2,FALSE),""))</x:f>
      </x:c>
      <x:c r="E207" s="36" t="str">
        <x:f>IF(C207="","",IFERROR(VLOOKUP(C207,'SẢN_PHẨM'!$A$2:$G$500,3,FALSE),""))</x:f>
      </x:c>
      <x:c r="F207" s="39"/>
      <x:c r="G207" s="44"/>
      <x:c r="H207" s="35" t="str">
        <x:f>IF(OR(F207="",G207=""),"",F207*G207)</x:f>
      </x:c>
      <x:c r="I207" s="36" t="str">
        <x:f>IF(A207="","",SUMIFS('CHI_TIẾT_GIAO_HÀNG'!$D$2:$D$500,'CHI_TIẾT_GIAO_HÀNG'!$C$2:$C$500,A207,'CHI_TIẾT_GIAO_HÀNG'!$E$2:$E$500,"ĐÃ GIAO"))</x:f>
      </x:c>
      <x:c r="J207" s="36" t="str">
        <x:f>IF(A207="","",MAX(0,F207-I207))</x:f>
      </x:c>
      <x:c r="K207" s="35" t="str">
        <x:f>IF(A207="","",H207-(F207*IFERROR(VLOOKUP(C207,'SẢN_PHẨM'!$A$2:$G$500,5,FALSE),0)))</x:f>
      </x:c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36" t="str">
        <x:f>IF(C208="","",IFERROR(VLOOKUP(C208,'SẢN_PHẨM'!$A$2:$G$500,2,FALSE),""))</x:f>
      </x:c>
      <x:c r="E208" s="36" t="str">
        <x:f>IF(C208="","",IFERROR(VLOOKUP(C208,'SẢN_PHẨM'!$A$2:$G$500,3,FALSE),""))</x:f>
      </x:c>
      <x:c r="F208" s="39"/>
      <x:c r="G208" s="44"/>
      <x:c r="H208" s="35" t="str">
        <x:f>IF(OR(F208="",G208=""),"",F208*G208)</x:f>
      </x:c>
      <x:c r="I208" s="36" t="str">
        <x:f>IF(A208="","",SUMIFS('CHI_TIẾT_GIAO_HÀNG'!$D$2:$D$500,'CHI_TIẾT_GIAO_HÀNG'!$C$2:$C$500,A208,'CHI_TIẾT_GIAO_HÀNG'!$E$2:$E$500,"ĐÃ GIAO"))</x:f>
      </x:c>
      <x:c r="J208" s="36" t="str">
        <x:f>IF(A208="","",MAX(0,F208-I208))</x:f>
      </x:c>
      <x:c r="K208" s="35" t="str">
        <x:f>IF(A208="","",H208-(F208*IFERROR(VLOOKUP(C208,'SẢN_PHẨM'!$A$2:$G$500,5,FALSE),0)))</x:f>
      </x:c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36" t="str">
        <x:f>IF(C209="","",IFERROR(VLOOKUP(C209,'SẢN_PHẨM'!$A$2:$G$500,2,FALSE),""))</x:f>
      </x:c>
      <x:c r="E209" s="36" t="str">
        <x:f>IF(C209="","",IFERROR(VLOOKUP(C209,'SẢN_PHẨM'!$A$2:$G$500,3,FALSE),""))</x:f>
      </x:c>
      <x:c r="F209" s="39"/>
      <x:c r="G209" s="44"/>
      <x:c r="H209" s="35" t="str">
        <x:f>IF(OR(F209="",G209=""),"",F209*G209)</x:f>
      </x:c>
      <x:c r="I209" s="36" t="str">
        <x:f>IF(A209="","",SUMIFS('CHI_TIẾT_GIAO_HÀNG'!$D$2:$D$500,'CHI_TIẾT_GIAO_HÀNG'!$C$2:$C$500,A209,'CHI_TIẾT_GIAO_HÀNG'!$E$2:$E$500,"ĐÃ GIAO"))</x:f>
      </x:c>
      <x:c r="J209" s="36" t="str">
        <x:f>IF(A209="","",MAX(0,F209-I209))</x:f>
      </x:c>
      <x:c r="K209" s="35" t="str">
        <x:f>IF(A209="","",H209-(F209*IFERROR(VLOOKUP(C209,'SẢN_PHẨM'!$A$2:$G$500,5,FALSE),0)))</x:f>
      </x:c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36" t="str">
        <x:f>IF(C210="","",IFERROR(VLOOKUP(C210,'SẢN_PHẨM'!$A$2:$G$500,2,FALSE),""))</x:f>
      </x:c>
      <x:c r="E210" s="36" t="str">
        <x:f>IF(C210="","",IFERROR(VLOOKUP(C210,'SẢN_PHẨM'!$A$2:$G$500,3,FALSE),""))</x:f>
      </x:c>
      <x:c r="F210" s="39"/>
      <x:c r="G210" s="44"/>
      <x:c r="H210" s="35" t="str">
        <x:f>IF(OR(F210="",G210=""),"",F210*G210)</x:f>
      </x:c>
      <x:c r="I210" s="36" t="str">
        <x:f>IF(A210="","",SUMIFS('CHI_TIẾT_GIAO_HÀNG'!$D$2:$D$500,'CHI_TIẾT_GIAO_HÀNG'!$C$2:$C$500,A210,'CHI_TIẾT_GIAO_HÀNG'!$E$2:$E$500,"ĐÃ GIAO"))</x:f>
      </x:c>
      <x:c r="J210" s="36" t="str">
        <x:f>IF(A210="","",MAX(0,F210-I210))</x:f>
      </x:c>
      <x:c r="K210" s="35" t="str">
        <x:f>IF(A210="","",H210-(F210*IFERROR(VLOOKUP(C210,'SẢN_PHẨM'!$A$2:$G$500,5,FALSE),0)))</x:f>
      </x:c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36" t="str">
        <x:f>IF(C211="","",IFERROR(VLOOKUP(C211,'SẢN_PHẨM'!$A$2:$G$500,2,FALSE),""))</x:f>
      </x:c>
      <x:c r="E211" s="36" t="str">
        <x:f>IF(C211="","",IFERROR(VLOOKUP(C211,'SẢN_PHẨM'!$A$2:$G$500,3,FALSE),""))</x:f>
      </x:c>
      <x:c r="F211" s="39"/>
      <x:c r="G211" s="44"/>
      <x:c r="H211" s="35" t="str">
        <x:f>IF(OR(F211="",G211=""),"",F211*G211)</x:f>
      </x:c>
      <x:c r="I211" s="36" t="str">
        <x:f>IF(A211="","",SUMIFS('CHI_TIẾT_GIAO_HÀNG'!$D$2:$D$500,'CHI_TIẾT_GIAO_HÀNG'!$C$2:$C$500,A211,'CHI_TIẾT_GIAO_HÀNG'!$E$2:$E$500,"ĐÃ GIAO"))</x:f>
      </x:c>
      <x:c r="J211" s="36" t="str">
        <x:f>IF(A211="","",MAX(0,F211-I211))</x:f>
      </x:c>
      <x:c r="K211" s="35" t="str">
        <x:f>IF(A211="","",H211-(F211*IFERROR(VLOOKUP(C211,'SẢN_PHẨM'!$A$2:$G$500,5,FALSE),0)))</x:f>
      </x:c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36" t="str">
        <x:f>IF(C212="","",IFERROR(VLOOKUP(C212,'SẢN_PHẨM'!$A$2:$G$500,2,FALSE),""))</x:f>
      </x:c>
      <x:c r="E212" s="36" t="str">
        <x:f>IF(C212="","",IFERROR(VLOOKUP(C212,'SẢN_PHẨM'!$A$2:$G$500,3,FALSE),""))</x:f>
      </x:c>
      <x:c r="F212" s="39"/>
      <x:c r="G212" s="44"/>
      <x:c r="H212" s="35" t="str">
        <x:f>IF(OR(F212="",G212=""),"",F212*G212)</x:f>
      </x:c>
      <x:c r="I212" s="36" t="str">
        <x:f>IF(A212="","",SUMIFS('CHI_TIẾT_GIAO_HÀNG'!$D$2:$D$500,'CHI_TIẾT_GIAO_HÀNG'!$C$2:$C$500,A212,'CHI_TIẾT_GIAO_HÀNG'!$E$2:$E$500,"ĐÃ GIAO"))</x:f>
      </x:c>
      <x:c r="J212" s="36" t="str">
        <x:f>IF(A212="","",MAX(0,F212-I212))</x:f>
      </x:c>
      <x:c r="K212" s="35" t="str">
        <x:f>IF(A212="","",H212-(F212*IFERROR(VLOOKUP(C212,'SẢN_PHẨM'!$A$2:$G$500,5,FALSE),0)))</x:f>
      </x:c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36" t="str">
        <x:f>IF(C213="","",IFERROR(VLOOKUP(C213,'SẢN_PHẨM'!$A$2:$G$500,2,FALSE),""))</x:f>
      </x:c>
      <x:c r="E213" s="36" t="str">
        <x:f>IF(C213="","",IFERROR(VLOOKUP(C213,'SẢN_PHẨM'!$A$2:$G$500,3,FALSE),""))</x:f>
      </x:c>
      <x:c r="F213" s="39"/>
      <x:c r="G213" s="44"/>
      <x:c r="H213" s="35" t="str">
        <x:f>IF(OR(F213="",G213=""),"",F213*G213)</x:f>
      </x:c>
      <x:c r="I213" s="36" t="str">
        <x:f>IF(A213="","",SUMIFS('CHI_TIẾT_GIAO_HÀNG'!$D$2:$D$500,'CHI_TIẾT_GIAO_HÀNG'!$C$2:$C$500,A213,'CHI_TIẾT_GIAO_HÀNG'!$E$2:$E$500,"ĐÃ GIAO"))</x:f>
      </x:c>
      <x:c r="J213" s="36" t="str">
        <x:f>IF(A213="","",MAX(0,F213-I213))</x:f>
      </x:c>
      <x:c r="K213" s="35" t="str">
        <x:f>IF(A213="","",H213-(F213*IFERROR(VLOOKUP(C213,'SẢN_PHẨM'!$A$2:$G$500,5,FALSE),0)))</x:f>
      </x:c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36" t="str">
        <x:f>IF(C214="","",IFERROR(VLOOKUP(C214,'SẢN_PHẨM'!$A$2:$G$500,2,FALSE),""))</x:f>
      </x:c>
      <x:c r="E214" s="36" t="str">
        <x:f>IF(C214="","",IFERROR(VLOOKUP(C214,'SẢN_PHẨM'!$A$2:$G$500,3,FALSE),""))</x:f>
      </x:c>
      <x:c r="F214" s="39"/>
      <x:c r="G214" s="44"/>
      <x:c r="H214" s="35" t="str">
        <x:f>IF(OR(F214="",G214=""),"",F214*G214)</x:f>
      </x:c>
      <x:c r="I214" s="36" t="str">
        <x:f>IF(A214="","",SUMIFS('CHI_TIẾT_GIAO_HÀNG'!$D$2:$D$500,'CHI_TIẾT_GIAO_HÀNG'!$C$2:$C$500,A214,'CHI_TIẾT_GIAO_HÀNG'!$E$2:$E$500,"ĐÃ GIAO"))</x:f>
      </x:c>
      <x:c r="J214" s="36" t="str">
        <x:f>IF(A214="","",MAX(0,F214-I214))</x:f>
      </x:c>
      <x:c r="K214" s="35" t="str">
        <x:f>IF(A214="","",H214-(F214*IFERROR(VLOOKUP(C214,'SẢN_PHẨM'!$A$2:$G$500,5,FALSE),0)))</x:f>
      </x:c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36" t="str">
        <x:f>IF(C215="","",IFERROR(VLOOKUP(C215,'SẢN_PHẨM'!$A$2:$G$500,2,FALSE),""))</x:f>
      </x:c>
      <x:c r="E215" s="36" t="str">
        <x:f>IF(C215="","",IFERROR(VLOOKUP(C215,'SẢN_PHẨM'!$A$2:$G$500,3,FALSE),""))</x:f>
      </x:c>
      <x:c r="F215" s="39"/>
      <x:c r="G215" s="44"/>
      <x:c r="H215" s="35" t="str">
        <x:f>IF(OR(F215="",G215=""),"",F215*G215)</x:f>
      </x:c>
      <x:c r="I215" s="36" t="str">
        <x:f>IF(A215="","",SUMIFS('CHI_TIẾT_GIAO_HÀNG'!$D$2:$D$500,'CHI_TIẾT_GIAO_HÀNG'!$C$2:$C$500,A215,'CHI_TIẾT_GIAO_HÀNG'!$E$2:$E$500,"ĐÃ GIAO"))</x:f>
      </x:c>
      <x:c r="J215" s="36" t="str">
        <x:f>IF(A215="","",MAX(0,F215-I215))</x:f>
      </x:c>
      <x:c r="K215" s="35" t="str">
        <x:f>IF(A215="","",H215-(F215*IFERROR(VLOOKUP(C215,'SẢN_PHẨM'!$A$2:$G$500,5,FALSE),0)))</x:f>
      </x:c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36" t="str">
        <x:f>IF(C216="","",IFERROR(VLOOKUP(C216,'SẢN_PHẨM'!$A$2:$G$500,2,FALSE),""))</x:f>
      </x:c>
      <x:c r="E216" s="36" t="str">
        <x:f>IF(C216="","",IFERROR(VLOOKUP(C216,'SẢN_PHẨM'!$A$2:$G$500,3,FALSE),""))</x:f>
      </x:c>
      <x:c r="F216" s="39"/>
      <x:c r="G216" s="44"/>
      <x:c r="H216" s="35" t="str">
        <x:f>IF(OR(F216="",G216=""),"",F216*G216)</x:f>
      </x:c>
      <x:c r="I216" s="36" t="str">
        <x:f>IF(A216="","",SUMIFS('CHI_TIẾT_GIAO_HÀNG'!$D$2:$D$500,'CHI_TIẾT_GIAO_HÀNG'!$C$2:$C$500,A216,'CHI_TIẾT_GIAO_HÀNG'!$E$2:$E$500,"ĐÃ GIAO"))</x:f>
      </x:c>
      <x:c r="J216" s="36" t="str">
        <x:f>IF(A216="","",MAX(0,F216-I216))</x:f>
      </x:c>
      <x:c r="K216" s="35" t="str">
        <x:f>IF(A216="","",H216-(F216*IFERROR(VLOOKUP(C216,'SẢN_PHẨM'!$A$2:$G$500,5,FALSE),0)))</x:f>
      </x:c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36" t="str">
        <x:f>IF(C217="","",IFERROR(VLOOKUP(C217,'SẢN_PHẨM'!$A$2:$G$500,2,FALSE),""))</x:f>
      </x:c>
      <x:c r="E217" s="36" t="str">
        <x:f>IF(C217="","",IFERROR(VLOOKUP(C217,'SẢN_PHẨM'!$A$2:$G$500,3,FALSE),""))</x:f>
      </x:c>
      <x:c r="F217" s="39"/>
      <x:c r="G217" s="44"/>
      <x:c r="H217" s="35" t="str">
        <x:f>IF(OR(F217="",G217=""),"",F217*G217)</x:f>
      </x:c>
      <x:c r="I217" s="36" t="str">
        <x:f>IF(A217="","",SUMIFS('CHI_TIẾT_GIAO_HÀNG'!$D$2:$D$500,'CHI_TIẾT_GIAO_HÀNG'!$C$2:$C$500,A217,'CHI_TIẾT_GIAO_HÀNG'!$E$2:$E$500,"ĐÃ GIAO"))</x:f>
      </x:c>
      <x:c r="J217" s="36" t="str">
        <x:f>IF(A217="","",MAX(0,F217-I217))</x:f>
      </x:c>
      <x:c r="K217" s="35" t="str">
        <x:f>IF(A217="","",H217-(F217*IFERROR(VLOOKUP(C217,'SẢN_PHẨM'!$A$2:$G$500,5,FALSE),0)))</x:f>
      </x:c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36" t="str">
        <x:f>IF(C218="","",IFERROR(VLOOKUP(C218,'SẢN_PHẨM'!$A$2:$G$500,2,FALSE),""))</x:f>
      </x:c>
      <x:c r="E218" s="36" t="str">
        <x:f>IF(C218="","",IFERROR(VLOOKUP(C218,'SẢN_PHẨM'!$A$2:$G$500,3,FALSE),""))</x:f>
      </x:c>
      <x:c r="F218" s="39"/>
      <x:c r="G218" s="44"/>
      <x:c r="H218" s="35" t="str">
        <x:f>IF(OR(F218="",G218=""),"",F218*G218)</x:f>
      </x:c>
      <x:c r="I218" s="36" t="str">
        <x:f>IF(A218="","",SUMIFS('CHI_TIẾT_GIAO_HÀNG'!$D$2:$D$500,'CHI_TIẾT_GIAO_HÀNG'!$C$2:$C$500,A218,'CHI_TIẾT_GIAO_HÀNG'!$E$2:$E$500,"ĐÃ GIAO"))</x:f>
      </x:c>
      <x:c r="J218" s="36" t="str">
        <x:f>IF(A218="","",MAX(0,F218-I218))</x:f>
      </x:c>
      <x:c r="K218" s="35" t="str">
        <x:f>IF(A218="","",H218-(F218*IFERROR(VLOOKUP(C218,'SẢN_PHẨM'!$A$2:$G$500,5,FALSE),0)))</x:f>
      </x:c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36" t="str">
        <x:f>IF(C219="","",IFERROR(VLOOKUP(C219,'SẢN_PHẨM'!$A$2:$G$500,2,FALSE),""))</x:f>
      </x:c>
      <x:c r="E219" s="36" t="str">
        <x:f>IF(C219="","",IFERROR(VLOOKUP(C219,'SẢN_PHẨM'!$A$2:$G$500,3,FALSE),""))</x:f>
      </x:c>
      <x:c r="F219" s="39"/>
      <x:c r="G219" s="44"/>
      <x:c r="H219" s="35" t="str">
        <x:f>IF(OR(F219="",G219=""),"",F219*G219)</x:f>
      </x:c>
      <x:c r="I219" s="36" t="str">
        <x:f>IF(A219="","",SUMIFS('CHI_TIẾT_GIAO_HÀNG'!$D$2:$D$500,'CHI_TIẾT_GIAO_HÀNG'!$C$2:$C$500,A219,'CHI_TIẾT_GIAO_HÀNG'!$E$2:$E$500,"ĐÃ GIAO"))</x:f>
      </x:c>
      <x:c r="J219" s="36" t="str">
        <x:f>IF(A219="","",MAX(0,F219-I219))</x:f>
      </x:c>
      <x:c r="K219" s="35" t="str">
        <x:f>IF(A219="","",H219-(F219*IFERROR(VLOOKUP(C219,'SẢN_PHẨM'!$A$2:$G$500,5,FALSE),0)))</x:f>
      </x:c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36" t="str">
        <x:f>IF(C220="","",IFERROR(VLOOKUP(C220,'SẢN_PHẨM'!$A$2:$G$500,2,FALSE),""))</x:f>
      </x:c>
      <x:c r="E220" s="36" t="str">
        <x:f>IF(C220="","",IFERROR(VLOOKUP(C220,'SẢN_PHẨM'!$A$2:$G$500,3,FALSE),""))</x:f>
      </x:c>
      <x:c r="F220" s="39"/>
      <x:c r="G220" s="44"/>
      <x:c r="H220" s="35" t="str">
        <x:f>IF(OR(F220="",G220=""),"",F220*G220)</x:f>
      </x:c>
      <x:c r="I220" s="36" t="str">
        <x:f>IF(A220="","",SUMIFS('CHI_TIẾT_GIAO_HÀNG'!$D$2:$D$500,'CHI_TIẾT_GIAO_HÀNG'!$C$2:$C$500,A220,'CHI_TIẾT_GIAO_HÀNG'!$E$2:$E$500,"ĐÃ GIAO"))</x:f>
      </x:c>
      <x:c r="J220" s="36" t="str">
        <x:f>IF(A220="","",MAX(0,F220-I220))</x:f>
      </x:c>
      <x:c r="K220" s="35" t="str">
        <x:f>IF(A220="","",H220-(F220*IFERROR(VLOOKUP(C220,'SẢN_PHẨM'!$A$2:$G$500,5,FALSE),0)))</x:f>
      </x:c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36" t="str">
        <x:f>IF(C221="","",IFERROR(VLOOKUP(C221,'SẢN_PHẨM'!$A$2:$G$500,2,FALSE),""))</x:f>
      </x:c>
      <x:c r="E221" s="36" t="str">
        <x:f>IF(C221="","",IFERROR(VLOOKUP(C221,'SẢN_PHẨM'!$A$2:$G$500,3,FALSE),""))</x:f>
      </x:c>
      <x:c r="F221" s="39"/>
      <x:c r="G221" s="44"/>
      <x:c r="H221" s="35" t="str">
        <x:f>IF(OR(F221="",G221=""),"",F221*G221)</x:f>
      </x:c>
      <x:c r="I221" s="36" t="str">
        <x:f>IF(A221="","",SUMIFS('CHI_TIẾT_GIAO_HÀNG'!$D$2:$D$500,'CHI_TIẾT_GIAO_HÀNG'!$C$2:$C$500,A221,'CHI_TIẾT_GIAO_HÀNG'!$E$2:$E$500,"ĐÃ GIAO"))</x:f>
      </x:c>
      <x:c r="J221" s="36" t="str">
        <x:f>IF(A221="","",MAX(0,F221-I221))</x:f>
      </x:c>
      <x:c r="K221" s="35" t="str">
        <x:f>IF(A221="","",H221-(F221*IFERROR(VLOOKUP(C221,'SẢN_PHẨM'!$A$2:$G$500,5,FALSE),0)))</x:f>
      </x:c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36" t="str">
        <x:f>IF(C222="","",IFERROR(VLOOKUP(C222,'SẢN_PHẨM'!$A$2:$G$500,2,FALSE),""))</x:f>
      </x:c>
      <x:c r="E222" s="36" t="str">
        <x:f>IF(C222="","",IFERROR(VLOOKUP(C222,'SẢN_PHẨM'!$A$2:$G$500,3,FALSE),""))</x:f>
      </x:c>
      <x:c r="F222" s="39"/>
      <x:c r="G222" s="44"/>
      <x:c r="H222" s="35" t="str">
        <x:f>IF(OR(F222="",G222=""),"",F222*G222)</x:f>
      </x:c>
      <x:c r="I222" s="36" t="str">
        <x:f>IF(A222="","",SUMIFS('CHI_TIẾT_GIAO_HÀNG'!$D$2:$D$500,'CHI_TIẾT_GIAO_HÀNG'!$C$2:$C$500,A222,'CHI_TIẾT_GIAO_HÀNG'!$E$2:$E$500,"ĐÃ GIAO"))</x:f>
      </x:c>
      <x:c r="J222" s="36" t="str">
        <x:f>IF(A222="","",MAX(0,F222-I222))</x:f>
      </x:c>
      <x:c r="K222" s="35" t="str">
        <x:f>IF(A222="","",H222-(F222*IFERROR(VLOOKUP(C222,'SẢN_PHẨM'!$A$2:$G$500,5,FALSE),0)))</x:f>
      </x:c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36" t="str">
        <x:f>IF(C223="","",IFERROR(VLOOKUP(C223,'SẢN_PHẨM'!$A$2:$G$500,2,FALSE),""))</x:f>
      </x:c>
      <x:c r="E223" s="36" t="str">
        <x:f>IF(C223="","",IFERROR(VLOOKUP(C223,'SẢN_PHẨM'!$A$2:$G$500,3,FALSE),""))</x:f>
      </x:c>
      <x:c r="F223" s="39"/>
      <x:c r="G223" s="44"/>
      <x:c r="H223" s="35" t="str">
        <x:f>IF(OR(F223="",G223=""),"",F223*G223)</x:f>
      </x:c>
      <x:c r="I223" s="36" t="str">
        <x:f>IF(A223="","",SUMIFS('CHI_TIẾT_GIAO_HÀNG'!$D$2:$D$500,'CHI_TIẾT_GIAO_HÀNG'!$C$2:$C$500,A223,'CHI_TIẾT_GIAO_HÀNG'!$E$2:$E$500,"ĐÃ GIAO"))</x:f>
      </x:c>
      <x:c r="J223" s="36" t="str">
        <x:f>IF(A223="","",MAX(0,F223-I223))</x:f>
      </x:c>
      <x:c r="K223" s="35" t="str">
        <x:f>IF(A223="","",H223-(F223*IFERROR(VLOOKUP(C223,'SẢN_PHẨM'!$A$2:$G$500,5,FALSE),0)))</x:f>
      </x:c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36" t="str">
        <x:f>IF(C224="","",IFERROR(VLOOKUP(C224,'SẢN_PHẨM'!$A$2:$G$500,2,FALSE),""))</x:f>
      </x:c>
      <x:c r="E224" s="36" t="str">
        <x:f>IF(C224="","",IFERROR(VLOOKUP(C224,'SẢN_PHẨM'!$A$2:$G$500,3,FALSE),""))</x:f>
      </x:c>
      <x:c r="F224" s="39"/>
      <x:c r="G224" s="44"/>
      <x:c r="H224" s="35" t="str">
        <x:f>IF(OR(F224="",G224=""),"",F224*G224)</x:f>
      </x:c>
      <x:c r="I224" s="36" t="str">
        <x:f>IF(A224="","",SUMIFS('CHI_TIẾT_GIAO_HÀNG'!$D$2:$D$500,'CHI_TIẾT_GIAO_HÀNG'!$C$2:$C$500,A224,'CHI_TIẾT_GIAO_HÀNG'!$E$2:$E$500,"ĐÃ GIAO"))</x:f>
      </x:c>
      <x:c r="J224" s="36" t="str">
        <x:f>IF(A224="","",MAX(0,F224-I224))</x:f>
      </x:c>
      <x:c r="K224" s="35" t="str">
        <x:f>IF(A224="","",H224-(F224*IFERROR(VLOOKUP(C224,'SẢN_PHẨM'!$A$2:$G$500,5,FALSE),0)))</x:f>
      </x:c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36" t="str">
        <x:f>IF(C225="","",IFERROR(VLOOKUP(C225,'SẢN_PHẨM'!$A$2:$G$500,2,FALSE),""))</x:f>
      </x:c>
      <x:c r="E225" s="36" t="str">
        <x:f>IF(C225="","",IFERROR(VLOOKUP(C225,'SẢN_PHẨM'!$A$2:$G$500,3,FALSE),""))</x:f>
      </x:c>
      <x:c r="F225" s="39"/>
      <x:c r="G225" s="44"/>
      <x:c r="H225" s="35" t="str">
        <x:f>IF(OR(F225="",G225=""),"",F225*G225)</x:f>
      </x:c>
      <x:c r="I225" s="36" t="str">
        <x:f>IF(A225="","",SUMIFS('CHI_TIẾT_GIAO_HÀNG'!$D$2:$D$500,'CHI_TIẾT_GIAO_HÀNG'!$C$2:$C$500,A225,'CHI_TIẾT_GIAO_HÀNG'!$E$2:$E$500,"ĐÃ GIAO"))</x:f>
      </x:c>
      <x:c r="J225" s="36" t="str">
        <x:f>IF(A225="","",MAX(0,F225-I225))</x:f>
      </x:c>
      <x:c r="K225" s="35" t="str">
        <x:f>IF(A225="","",H225-(F225*IFERROR(VLOOKUP(C225,'SẢN_PHẨM'!$A$2:$G$500,5,FALSE),0)))</x:f>
      </x:c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36" t="str">
        <x:f>IF(C226="","",IFERROR(VLOOKUP(C226,'SẢN_PHẨM'!$A$2:$G$500,2,FALSE),""))</x:f>
      </x:c>
      <x:c r="E226" s="36" t="str">
        <x:f>IF(C226="","",IFERROR(VLOOKUP(C226,'SẢN_PHẨM'!$A$2:$G$500,3,FALSE),""))</x:f>
      </x:c>
      <x:c r="F226" s="39"/>
      <x:c r="G226" s="44"/>
      <x:c r="H226" s="35" t="str">
        <x:f>IF(OR(F226="",G226=""),"",F226*G226)</x:f>
      </x:c>
      <x:c r="I226" s="36" t="str">
        <x:f>IF(A226="","",SUMIFS('CHI_TIẾT_GIAO_HÀNG'!$D$2:$D$500,'CHI_TIẾT_GIAO_HÀNG'!$C$2:$C$500,A226,'CHI_TIẾT_GIAO_HÀNG'!$E$2:$E$500,"ĐÃ GIAO"))</x:f>
      </x:c>
      <x:c r="J226" s="36" t="str">
        <x:f>IF(A226="","",MAX(0,F226-I226))</x:f>
      </x:c>
      <x:c r="K226" s="35" t="str">
        <x:f>IF(A226="","",H226-(F226*IFERROR(VLOOKUP(C226,'SẢN_PHẨM'!$A$2:$G$500,5,FALSE),0)))</x:f>
      </x:c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36" t="str">
        <x:f>IF(C227="","",IFERROR(VLOOKUP(C227,'SẢN_PHẨM'!$A$2:$G$500,2,FALSE),""))</x:f>
      </x:c>
      <x:c r="E227" s="36" t="str">
        <x:f>IF(C227="","",IFERROR(VLOOKUP(C227,'SẢN_PHẨM'!$A$2:$G$500,3,FALSE),""))</x:f>
      </x:c>
      <x:c r="F227" s="39"/>
      <x:c r="G227" s="44"/>
      <x:c r="H227" s="35" t="str">
        <x:f>IF(OR(F227="",G227=""),"",F227*G227)</x:f>
      </x:c>
      <x:c r="I227" s="36" t="str">
        <x:f>IF(A227="","",SUMIFS('CHI_TIẾT_GIAO_HÀNG'!$D$2:$D$500,'CHI_TIẾT_GIAO_HÀNG'!$C$2:$C$500,A227,'CHI_TIẾT_GIAO_HÀNG'!$E$2:$E$500,"ĐÃ GIAO"))</x:f>
      </x:c>
      <x:c r="J227" s="36" t="str">
        <x:f>IF(A227="","",MAX(0,F227-I227))</x:f>
      </x:c>
      <x:c r="K227" s="35" t="str">
        <x:f>IF(A227="","",H227-(F227*IFERROR(VLOOKUP(C227,'SẢN_PHẨM'!$A$2:$G$500,5,FALSE),0)))</x:f>
      </x:c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36" t="str">
        <x:f>IF(C228="","",IFERROR(VLOOKUP(C228,'SẢN_PHẨM'!$A$2:$G$500,2,FALSE),""))</x:f>
      </x:c>
      <x:c r="E228" s="36" t="str">
        <x:f>IF(C228="","",IFERROR(VLOOKUP(C228,'SẢN_PHẨM'!$A$2:$G$500,3,FALSE),""))</x:f>
      </x:c>
      <x:c r="F228" s="39"/>
      <x:c r="G228" s="44"/>
      <x:c r="H228" s="35" t="str">
        <x:f>IF(OR(F228="",G228=""),"",F228*G228)</x:f>
      </x:c>
      <x:c r="I228" s="36" t="str">
        <x:f>IF(A228="","",SUMIFS('CHI_TIẾT_GIAO_HÀNG'!$D$2:$D$500,'CHI_TIẾT_GIAO_HÀNG'!$C$2:$C$500,A228,'CHI_TIẾT_GIAO_HÀNG'!$E$2:$E$500,"ĐÃ GIAO"))</x:f>
      </x:c>
      <x:c r="J228" s="36" t="str">
        <x:f>IF(A228="","",MAX(0,F228-I228))</x:f>
      </x:c>
      <x:c r="K228" s="35" t="str">
        <x:f>IF(A228="","",H228-(F228*IFERROR(VLOOKUP(C228,'SẢN_PHẨM'!$A$2:$G$500,5,FALSE),0)))</x:f>
      </x:c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36" t="str">
        <x:f>IF(C229="","",IFERROR(VLOOKUP(C229,'SẢN_PHẨM'!$A$2:$G$500,2,FALSE),""))</x:f>
      </x:c>
      <x:c r="E229" s="36" t="str">
        <x:f>IF(C229="","",IFERROR(VLOOKUP(C229,'SẢN_PHẨM'!$A$2:$G$500,3,FALSE),""))</x:f>
      </x:c>
      <x:c r="F229" s="39"/>
      <x:c r="G229" s="44"/>
      <x:c r="H229" s="35" t="str">
        <x:f>IF(OR(F229="",G229=""),"",F229*G229)</x:f>
      </x:c>
      <x:c r="I229" s="36" t="str">
        <x:f>IF(A229="","",SUMIFS('CHI_TIẾT_GIAO_HÀNG'!$D$2:$D$500,'CHI_TIẾT_GIAO_HÀNG'!$C$2:$C$500,A229,'CHI_TIẾT_GIAO_HÀNG'!$E$2:$E$500,"ĐÃ GIAO"))</x:f>
      </x:c>
      <x:c r="J229" s="36" t="str">
        <x:f>IF(A229="","",MAX(0,F229-I229))</x:f>
      </x:c>
      <x:c r="K229" s="35" t="str">
        <x:f>IF(A229="","",H229-(F229*IFERROR(VLOOKUP(C229,'SẢN_PHẨM'!$A$2:$G$500,5,FALSE),0)))</x:f>
      </x:c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36" t="str">
        <x:f>IF(C230="","",IFERROR(VLOOKUP(C230,'SẢN_PHẨM'!$A$2:$G$500,2,FALSE),""))</x:f>
      </x:c>
      <x:c r="E230" s="36" t="str">
        <x:f>IF(C230="","",IFERROR(VLOOKUP(C230,'SẢN_PHẨM'!$A$2:$G$500,3,FALSE),""))</x:f>
      </x:c>
      <x:c r="F230" s="39"/>
      <x:c r="G230" s="44"/>
      <x:c r="H230" s="35" t="str">
        <x:f>IF(OR(F230="",G230=""),"",F230*G230)</x:f>
      </x:c>
      <x:c r="I230" s="36" t="str">
        <x:f>IF(A230="","",SUMIFS('CHI_TIẾT_GIAO_HÀNG'!$D$2:$D$500,'CHI_TIẾT_GIAO_HÀNG'!$C$2:$C$500,A230,'CHI_TIẾT_GIAO_HÀNG'!$E$2:$E$500,"ĐÃ GIAO"))</x:f>
      </x:c>
      <x:c r="J230" s="36" t="str">
        <x:f>IF(A230="","",MAX(0,F230-I230))</x:f>
      </x:c>
      <x:c r="K230" s="35" t="str">
        <x:f>IF(A230="","",H230-(F230*IFERROR(VLOOKUP(C230,'SẢN_PHẨM'!$A$2:$G$500,5,FALSE),0)))</x:f>
      </x:c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36" t="str">
        <x:f>IF(C231="","",IFERROR(VLOOKUP(C231,'SẢN_PHẨM'!$A$2:$G$500,2,FALSE),""))</x:f>
      </x:c>
      <x:c r="E231" s="36" t="str">
        <x:f>IF(C231="","",IFERROR(VLOOKUP(C231,'SẢN_PHẨM'!$A$2:$G$500,3,FALSE),""))</x:f>
      </x:c>
      <x:c r="F231" s="39"/>
      <x:c r="G231" s="44"/>
      <x:c r="H231" s="35" t="str">
        <x:f>IF(OR(F231="",G231=""),"",F231*G231)</x:f>
      </x:c>
      <x:c r="I231" s="36" t="str">
        <x:f>IF(A231="","",SUMIFS('CHI_TIẾT_GIAO_HÀNG'!$D$2:$D$500,'CHI_TIẾT_GIAO_HÀNG'!$C$2:$C$500,A231,'CHI_TIẾT_GIAO_HÀNG'!$E$2:$E$500,"ĐÃ GIAO"))</x:f>
      </x:c>
      <x:c r="J231" s="36" t="str">
        <x:f>IF(A231="","",MAX(0,F231-I231))</x:f>
      </x:c>
      <x:c r="K231" s="35" t="str">
        <x:f>IF(A231="","",H231-(F231*IFERROR(VLOOKUP(C231,'SẢN_PHẨM'!$A$2:$G$500,5,FALSE),0)))</x:f>
      </x:c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36" t="str">
        <x:f>IF(C232="","",IFERROR(VLOOKUP(C232,'SẢN_PHẨM'!$A$2:$G$500,2,FALSE),""))</x:f>
      </x:c>
      <x:c r="E232" s="36" t="str">
        <x:f>IF(C232="","",IFERROR(VLOOKUP(C232,'SẢN_PHẨM'!$A$2:$G$500,3,FALSE),""))</x:f>
      </x:c>
      <x:c r="F232" s="39"/>
      <x:c r="G232" s="44"/>
      <x:c r="H232" s="35" t="str">
        <x:f>IF(OR(F232="",G232=""),"",F232*G232)</x:f>
      </x:c>
      <x:c r="I232" s="36" t="str">
        <x:f>IF(A232="","",SUMIFS('CHI_TIẾT_GIAO_HÀNG'!$D$2:$D$500,'CHI_TIẾT_GIAO_HÀNG'!$C$2:$C$500,A232,'CHI_TIẾT_GIAO_HÀNG'!$E$2:$E$500,"ĐÃ GIAO"))</x:f>
      </x:c>
      <x:c r="J232" s="36" t="str">
        <x:f>IF(A232="","",MAX(0,F232-I232))</x:f>
      </x:c>
      <x:c r="K232" s="35" t="str">
        <x:f>IF(A232="","",H232-(F232*IFERROR(VLOOKUP(C232,'SẢN_PHẨM'!$A$2:$G$500,5,FALSE),0)))</x:f>
      </x:c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36" t="str">
        <x:f>IF(C233="","",IFERROR(VLOOKUP(C233,'SẢN_PHẨM'!$A$2:$G$500,2,FALSE),""))</x:f>
      </x:c>
      <x:c r="E233" s="36" t="str">
        <x:f>IF(C233="","",IFERROR(VLOOKUP(C233,'SẢN_PHẨM'!$A$2:$G$500,3,FALSE),""))</x:f>
      </x:c>
      <x:c r="F233" s="39"/>
      <x:c r="G233" s="44"/>
      <x:c r="H233" s="35" t="str">
        <x:f>IF(OR(F233="",G233=""),"",F233*G233)</x:f>
      </x:c>
      <x:c r="I233" s="36" t="str">
        <x:f>IF(A233="","",SUMIFS('CHI_TIẾT_GIAO_HÀNG'!$D$2:$D$500,'CHI_TIẾT_GIAO_HÀNG'!$C$2:$C$500,A233,'CHI_TIẾT_GIAO_HÀNG'!$E$2:$E$500,"ĐÃ GIAO"))</x:f>
      </x:c>
      <x:c r="J233" s="36" t="str">
        <x:f>IF(A233="","",MAX(0,F233-I233))</x:f>
      </x:c>
      <x:c r="K233" s="35" t="str">
        <x:f>IF(A233="","",H233-(F233*IFERROR(VLOOKUP(C233,'SẢN_PHẨM'!$A$2:$G$500,5,FALSE),0)))</x:f>
      </x:c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36" t="str">
        <x:f>IF(C234="","",IFERROR(VLOOKUP(C234,'SẢN_PHẨM'!$A$2:$G$500,2,FALSE),""))</x:f>
      </x:c>
      <x:c r="E234" s="36" t="str">
        <x:f>IF(C234="","",IFERROR(VLOOKUP(C234,'SẢN_PHẨM'!$A$2:$G$500,3,FALSE),""))</x:f>
      </x:c>
      <x:c r="F234" s="39"/>
      <x:c r="G234" s="44"/>
      <x:c r="H234" s="35" t="str">
        <x:f>IF(OR(F234="",G234=""),"",F234*G234)</x:f>
      </x:c>
      <x:c r="I234" s="36" t="str">
        <x:f>IF(A234="","",SUMIFS('CHI_TIẾT_GIAO_HÀNG'!$D$2:$D$500,'CHI_TIẾT_GIAO_HÀNG'!$C$2:$C$500,A234,'CHI_TIẾT_GIAO_HÀNG'!$E$2:$E$500,"ĐÃ GIAO"))</x:f>
      </x:c>
      <x:c r="J234" s="36" t="str">
        <x:f>IF(A234="","",MAX(0,F234-I234))</x:f>
      </x:c>
      <x:c r="K234" s="35" t="str">
        <x:f>IF(A234="","",H234-(F234*IFERROR(VLOOKUP(C234,'SẢN_PHẨM'!$A$2:$G$500,5,FALSE),0)))</x:f>
      </x:c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36" t="str">
        <x:f>IF(C235="","",IFERROR(VLOOKUP(C235,'SẢN_PHẨM'!$A$2:$G$500,2,FALSE),""))</x:f>
      </x:c>
      <x:c r="E235" s="36" t="str">
        <x:f>IF(C235="","",IFERROR(VLOOKUP(C235,'SẢN_PHẨM'!$A$2:$G$500,3,FALSE),""))</x:f>
      </x:c>
      <x:c r="F235" s="39"/>
      <x:c r="G235" s="44"/>
      <x:c r="H235" s="35" t="str">
        <x:f>IF(OR(F235="",G235=""),"",F235*G235)</x:f>
      </x:c>
      <x:c r="I235" s="36" t="str">
        <x:f>IF(A235="","",SUMIFS('CHI_TIẾT_GIAO_HÀNG'!$D$2:$D$500,'CHI_TIẾT_GIAO_HÀNG'!$C$2:$C$500,A235,'CHI_TIẾT_GIAO_HÀNG'!$E$2:$E$500,"ĐÃ GIAO"))</x:f>
      </x:c>
      <x:c r="J235" s="36" t="str">
        <x:f>IF(A235="","",MAX(0,F235-I235))</x:f>
      </x:c>
      <x:c r="K235" s="35" t="str">
        <x:f>IF(A235="","",H235-(F235*IFERROR(VLOOKUP(C235,'SẢN_PHẨM'!$A$2:$G$500,5,FALSE),0)))</x:f>
      </x:c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36" t="str">
        <x:f>IF(C236="","",IFERROR(VLOOKUP(C236,'SẢN_PHẨM'!$A$2:$G$500,2,FALSE),""))</x:f>
      </x:c>
      <x:c r="E236" s="36" t="str">
        <x:f>IF(C236="","",IFERROR(VLOOKUP(C236,'SẢN_PHẨM'!$A$2:$G$500,3,FALSE),""))</x:f>
      </x:c>
      <x:c r="F236" s="39"/>
      <x:c r="G236" s="44"/>
      <x:c r="H236" s="35" t="str">
        <x:f>IF(OR(F236="",G236=""),"",F236*G236)</x:f>
      </x:c>
      <x:c r="I236" s="36" t="str">
        <x:f>IF(A236="","",SUMIFS('CHI_TIẾT_GIAO_HÀNG'!$D$2:$D$500,'CHI_TIẾT_GIAO_HÀNG'!$C$2:$C$500,A236,'CHI_TIẾT_GIAO_HÀNG'!$E$2:$E$500,"ĐÃ GIAO"))</x:f>
      </x:c>
      <x:c r="J236" s="36" t="str">
        <x:f>IF(A236="","",MAX(0,F236-I236))</x:f>
      </x:c>
      <x:c r="K236" s="35" t="str">
        <x:f>IF(A236="","",H236-(F236*IFERROR(VLOOKUP(C236,'SẢN_PHẨM'!$A$2:$G$500,5,FALSE),0)))</x:f>
      </x:c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36" t="str">
        <x:f>IF(C237="","",IFERROR(VLOOKUP(C237,'SẢN_PHẨM'!$A$2:$G$500,2,FALSE),""))</x:f>
      </x:c>
      <x:c r="E237" s="36" t="str">
        <x:f>IF(C237="","",IFERROR(VLOOKUP(C237,'SẢN_PHẨM'!$A$2:$G$500,3,FALSE),""))</x:f>
      </x:c>
      <x:c r="F237" s="39"/>
      <x:c r="G237" s="44"/>
      <x:c r="H237" s="35" t="str">
        <x:f>IF(OR(F237="",G237=""),"",F237*G237)</x:f>
      </x:c>
      <x:c r="I237" s="36" t="str">
        <x:f>IF(A237="","",SUMIFS('CHI_TIẾT_GIAO_HÀNG'!$D$2:$D$500,'CHI_TIẾT_GIAO_HÀNG'!$C$2:$C$500,A237,'CHI_TIẾT_GIAO_HÀNG'!$E$2:$E$500,"ĐÃ GIAO"))</x:f>
      </x:c>
      <x:c r="J237" s="36" t="str">
        <x:f>IF(A237="","",MAX(0,F237-I237))</x:f>
      </x:c>
      <x:c r="K237" s="35" t="str">
        <x:f>IF(A237="","",H237-(F237*IFERROR(VLOOKUP(C237,'SẢN_PHẨM'!$A$2:$G$500,5,FALSE),0)))</x:f>
      </x:c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36" t="str">
        <x:f>IF(C238="","",IFERROR(VLOOKUP(C238,'SẢN_PHẨM'!$A$2:$G$500,2,FALSE),""))</x:f>
      </x:c>
      <x:c r="E238" s="36" t="str">
        <x:f>IF(C238="","",IFERROR(VLOOKUP(C238,'SẢN_PHẨM'!$A$2:$G$500,3,FALSE),""))</x:f>
      </x:c>
      <x:c r="F238" s="39"/>
      <x:c r="G238" s="44"/>
      <x:c r="H238" s="35" t="str">
        <x:f>IF(OR(F238="",G238=""),"",F238*G238)</x:f>
      </x:c>
      <x:c r="I238" s="36" t="str">
        <x:f>IF(A238="","",SUMIFS('CHI_TIẾT_GIAO_HÀNG'!$D$2:$D$500,'CHI_TIẾT_GIAO_HÀNG'!$C$2:$C$500,A238,'CHI_TIẾT_GIAO_HÀNG'!$E$2:$E$500,"ĐÃ GIAO"))</x:f>
      </x:c>
      <x:c r="J238" s="36" t="str">
        <x:f>IF(A238="","",MAX(0,F238-I238))</x:f>
      </x:c>
      <x:c r="K238" s="35" t="str">
        <x:f>IF(A238="","",H238-(F238*IFERROR(VLOOKUP(C238,'SẢN_PHẨM'!$A$2:$G$500,5,FALSE),0)))</x:f>
      </x:c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36" t="str">
        <x:f>IF(C239="","",IFERROR(VLOOKUP(C239,'SẢN_PHẨM'!$A$2:$G$500,2,FALSE),""))</x:f>
      </x:c>
      <x:c r="E239" s="36" t="str">
        <x:f>IF(C239="","",IFERROR(VLOOKUP(C239,'SẢN_PHẨM'!$A$2:$G$500,3,FALSE),""))</x:f>
      </x:c>
      <x:c r="F239" s="39"/>
      <x:c r="G239" s="44"/>
      <x:c r="H239" s="35" t="str">
        <x:f>IF(OR(F239="",G239=""),"",F239*G239)</x:f>
      </x:c>
      <x:c r="I239" s="36" t="str">
        <x:f>IF(A239="","",SUMIFS('CHI_TIẾT_GIAO_HÀNG'!$D$2:$D$500,'CHI_TIẾT_GIAO_HÀNG'!$C$2:$C$500,A239,'CHI_TIẾT_GIAO_HÀNG'!$E$2:$E$500,"ĐÃ GIAO"))</x:f>
      </x:c>
      <x:c r="J239" s="36" t="str">
        <x:f>IF(A239="","",MAX(0,F239-I239))</x:f>
      </x:c>
      <x:c r="K239" s="35" t="str">
        <x:f>IF(A239="","",H239-(F239*IFERROR(VLOOKUP(C239,'SẢN_PHẨM'!$A$2:$G$500,5,FALSE),0)))</x:f>
      </x:c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36" t="str">
        <x:f>IF(C240="","",IFERROR(VLOOKUP(C240,'SẢN_PHẨM'!$A$2:$G$500,2,FALSE),""))</x:f>
      </x:c>
      <x:c r="E240" s="36" t="str">
        <x:f>IF(C240="","",IFERROR(VLOOKUP(C240,'SẢN_PHẨM'!$A$2:$G$500,3,FALSE),""))</x:f>
      </x:c>
      <x:c r="F240" s="39"/>
      <x:c r="G240" s="44"/>
      <x:c r="H240" s="35" t="str">
        <x:f>IF(OR(F240="",G240=""),"",F240*G240)</x:f>
      </x:c>
      <x:c r="I240" s="36" t="str">
        <x:f>IF(A240="","",SUMIFS('CHI_TIẾT_GIAO_HÀNG'!$D$2:$D$500,'CHI_TIẾT_GIAO_HÀNG'!$C$2:$C$500,A240,'CHI_TIẾT_GIAO_HÀNG'!$E$2:$E$500,"ĐÃ GIAO"))</x:f>
      </x:c>
      <x:c r="J240" s="36" t="str">
        <x:f>IF(A240="","",MAX(0,F240-I240))</x:f>
      </x:c>
      <x:c r="K240" s="35" t="str">
        <x:f>IF(A240="","",H240-(F240*IFERROR(VLOOKUP(C240,'SẢN_PHẨM'!$A$2:$G$500,5,FALSE),0)))</x:f>
      </x:c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36" t="str">
        <x:f>IF(C241="","",IFERROR(VLOOKUP(C241,'SẢN_PHẨM'!$A$2:$G$500,2,FALSE),""))</x:f>
      </x:c>
      <x:c r="E241" s="36" t="str">
        <x:f>IF(C241="","",IFERROR(VLOOKUP(C241,'SẢN_PHẨM'!$A$2:$G$500,3,FALSE),""))</x:f>
      </x:c>
      <x:c r="F241" s="39"/>
      <x:c r="G241" s="44"/>
      <x:c r="H241" s="35" t="str">
        <x:f>IF(OR(F241="",G241=""),"",F241*G241)</x:f>
      </x:c>
      <x:c r="I241" s="36" t="str">
        <x:f>IF(A241="","",SUMIFS('CHI_TIẾT_GIAO_HÀNG'!$D$2:$D$500,'CHI_TIẾT_GIAO_HÀNG'!$C$2:$C$500,A241,'CHI_TIẾT_GIAO_HÀNG'!$E$2:$E$500,"ĐÃ GIAO"))</x:f>
      </x:c>
      <x:c r="J241" s="36" t="str">
        <x:f>IF(A241="","",MAX(0,F241-I241))</x:f>
      </x:c>
      <x:c r="K241" s="35" t="str">
        <x:f>IF(A241="","",H241-(F241*IFERROR(VLOOKUP(C241,'SẢN_PHẨM'!$A$2:$G$500,5,FALSE),0)))</x:f>
      </x:c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36" t="str">
        <x:f>IF(C242="","",IFERROR(VLOOKUP(C242,'SẢN_PHẨM'!$A$2:$G$500,2,FALSE),""))</x:f>
      </x:c>
      <x:c r="E242" s="36" t="str">
        <x:f>IF(C242="","",IFERROR(VLOOKUP(C242,'SẢN_PHẨM'!$A$2:$G$500,3,FALSE),""))</x:f>
      </x:c>
      <x:c r="F242" s="39"/>
      <x:c r="G242" s="44"/>
      <x:c r="H242" s="35" t="str">
        <x:f>IF(OR(F242="",G242=""),"",F242*G242)</x:f>
      </x:c>
      <x:c r="I242" s="36" t="str">
        <x:f>IF(A242="","",SUMIFS('CHI_TIẾT_GIAO_HÀNG'!$D$2:$D$500,'CHI_TIẾT_GIAO_HÀNG'!$C$2:$C$500,A242,'CHI_TIẾT_GIAO_HÀNG'!$E$2:$E$500,"ĐÃ GIAO"))</x:f>
      </x:c>
      <x:c r="J242" s="36" t="str">
        <x:f>IF(A242="","",MAX(0,F242-I242))</x:f>
      </x:c>
      <x:c r="K242" s="35" t="str">
        <x:f>IF(A242="","",H242-(F242*IFERROR(VLOOKUP(C242,'SẢN_PHẨM'!$A$2:$G$500,5,FALSE),0)))</x:f>
      </x:c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36" t="str">
        <x:f>IF(C243="","",IFERROR(VLOOKUP(C243,'SẢN_PHẨM'!$A$2:$G$500,2,FALSE),""))</x:f>
      </x:c>
      <x:c r="E243" s="36" t="str">
        <x:f>IF(C243="","",IFERROR(VLOOKUP(C243,'SẢN_PHẨM'!$A$2:$G$500,3,FALSE),""))</x:f>
      </x:c>
      <x:c r="F243" s="39"/>
      <x:c r="G243" s="44"/>
      <x:c r="H243" s="35" t="str">
        <x:f>IF(OR(F243="",G243=""),"",F243*G243)</x:f>
      </x:c>
      <x:c r="I243" s="36" t="str">
        <x:f>IF(A243="","",SUMIFS('CHI_TIẾT_GIAO_HÀNG'!$D$2:$D$500,'CHI_TIẾT_GIAO_HÀNG'!$C$2:$C$500,A243,'CHI_TIẾT_GIAO_HÀNG'!$E$2:$E$500,"ĐÃ GIAO"))</x:f>
      </x:c>
      <x:c r="J243" s="36" t="str">
        <x:f>IF(A243="","",MAX(0,F243-I243))</x:f>
      </x:c>
      <x:c r="K243" s="35" t="str">
        <x:f>IF(A243="","",H243-(F243*IFERROR(VLOOKUP(C243,'SẢN_PHẨM'!$A$2:$G$500,5,FALSE),0)))</x:f>
      </x:c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36" t="str">
        <x:f>IF(C244="","",IFERROR(VLOOKUP(C244,'SẢN_PHẨM'!$A$2:$G$500,2,FALSE),""))</x:f>
      </x:c>
      <x:c r="E244" s="36" t="str">
        <x:f>IF(C244="","",IFERROR(VLOOKUP(C244,'SẢN_PHẨM'!$A$2:$G$500,3,FALSE),""))</x:f>
      </x:c>
      <x:c r="F244" s="39"/>
      <x:c r="G244" s="44"/>
      <x:c r="H244" s="35" t="str">
        <x:f>IF(OR(F244="",G244=""),"",F244*G244)</x:f>
      </x:c>
      <x:c r="I244" s="36" t="str">
        <x:f>IF(A244="","",SUMIFS('CHI_TIẾT_GIAO_HÀNG'!$D$2:$D$500,'CHI_TIẾT_GIAO_HÀNG'!$C$2:$C$500,A244,'CHI_TIẾT_GIAO_HÀNG'!$E$2:$E$500,"ĐÃ GIAO"))</x:f>
      </x:c>
      <x:c r="J244" s="36" t="str">
        <x:f>IF(A244="","",MAX(0,F244-I244))</x:f>
      </x:c>
      <x:c r="K244" s="35" t="str">
        <x:f>IF(A244="","",H244-(F244*IFERROR(VLOOKUP(C244,'SẢN_PHẨM'!$A$2:$G$500,5,FALSE),0)))</x:f>
      </x:c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36" t="str">
        <x:f>IF(C245="","",IFERROR(VLOOKUP(C245,'SẢN_PHẨM'!$A$2:$G$500,2,FALSE),""))</x:f>
      </x:c>
      <x:c r="E245" s="36" t="str">
        <x:f>IF(C245="","",IFERROR(VLOOKUP(C245,'SẢN_PHẨM'!$A$2:$G$500,3,FALSE),""))</x:f>
      </x:c>
      <x:c r="F245" s="39"/>
      <x:c r="G245" s="44"/>
      <x:c r="H245" s="35" t="str">
        <x:f>IF(OR(F245="",G245=""),"",F245*G245)</x:f>
      </x:c>
      <x:c r="I245" s="36" t="str">
        <x:f>IF(A245="","",SUMIFS('CHI_TIẾT_GIAO_HÀNG'!$D$2:$D$500,'CHI_TIẾT_GIAO_HÀNG'!$C$2:$C$500,A245,'CHI_TIẾT_GIAO_HÀNG'!$E$2:$E$500,"ĐÃ GIAO"))</x:f>
      </x:c>
      <x:c r="J245" s="36" t="str">
        <x:f>IF(A245="","",MAX(0,F245-I245))</x:f>
      </x:c>
      <x:c r="K245" s="35" t="str">
        <x:f>IF(A245="","",H245-(F245*IFERROR(VLOOKUP(C245,'SẢN_PHẨM'!$A$2:$G$500,5,FALSE),0)))</x:f>
      </x:c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36" t="str">
        <x:f>IF(C246="","",IFERROR(VLOOKUP(C246,'SẢN_PHẨM'!$A$2:$G$500,2,FALSE),""))</x:f>
      </x:c>
      <x:c r="E246" s="36" t="str">
        <x:f>IF(C246="","",IFERROR(VLOOKUP(C246,'SẢN_PHẨM'!$A$2:$G$500,3,FALSE),""))</x:f>
      </x:c>
      <x:c r="F246" s="39"/>
      <x:c r="G246" s="44"/>
      <x:c r="H246" s="35" t="str">
        <x:f>IF(OR(F246="",G246=""),"",F246*G246)</x:f>
      </x:c>
      <x:c r="I246" s="36" t="str">
        <x:f>IF(A246="","",SUMIFS('CHI_TIẾT_GIAO_HÀNG'!$D$2:$D$500,'CHI_TIẾT_GIAO_HÀNG'!$C$2:$C$500,A246,'CHI_TIẾT_GIAO_HÀNG'!$E$2:$E$500,"ĐÃ GIAO"))</x:f>
      </x:c>
      <x:c r="J246" s="36" t="str">
        <x:f>IF(A246="","",MAX(0,F246-I246))</x:f>
      </x:c>
      <x:c r="K246" s="35" t="str">
        <x:f>IF(A246="","",H246-(F246*IFERROR(VLOOKUP(C246,'SẢN_PHẨM'!$A$2:$G$500,5,FALSE),0)))</x:f>
      </x:c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36" t="str">
        <x:f>IF(C247="","",IFERROR(VLOOKUP(C247,'SẢN_PHẨM'!$A$2:$G$500,2,FALSE),""))</x:f>
      </x:c>
      <x:c r="E247" s="36" t="str">
        <x:f>IF(C247="","",IFERROR(VLOOKUP(C247,'SẢN_PHẨM'!$A$2:$G$500,3,FALSE),""))</x:f>
      </x:c>
      <x:c r="F247" s="39"/>
      <x:c r="G247" s="44"/>
      <x:c r="H247" s="35" t="str">
        <x:f>IF(OR(F247="",G247=""),"",F247*G247)</x:f>
      </x:c>
      <x:c r="I247" s="36" t="str">
        <x:f>IF(A247="","",SUMIFS('CHI_TIẾT_GIAO_HÀNG'!$D$2:$D$500,'CHI_TIẾT_GIAO_HÀNG'!$C$2:$C$500,A247,'CHI_TIẾT_GIAO_HÀNG'!$E$2:$E$500,"ĐÃ GIAO"))</x:f>
      </x:c>
      <x:c r="J247" s="36" t="str">
        <x:f>IF(A247="","",MAX(0,F247-I247))</x:f>
      </x:c>
      <x:c r="K247" s="35" t="str">
        <x:f>IF(A247="","",H247-(F247*IFERROR(VLOOKUP(C247,'SẢN_PHẨM'!$A$2:$G$500,5,FALSE),0)))</x:f>
      </x:c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36" t="str">
        <x:f>IF(C248="","",IFERROR(VLOOKUP(C248,'SẢN_PHẨM'!$A$2:$G$500,2,FALSE),""))</x:f>
      </x:c>
      <x:c r="E248" s="36" t="str">
        <x:f>IF(C248="","",IFERROR(VLOOKUP(C248,'SẢN_PHẨM'!$A$2:$G$500,3,FALSE),""))</x:f>
      </x:c>
      <x:c r="F248" s="39"/>
      <x:c r="G248" s="44"/>
      <x:c r="H248" s="35" t="str">
        <x:f>IF(OR(F248="",G248=""),"",F248*G248)</x:f>
      </x:c>
      <x:c r="I248" s="36" t="str">
        <x:f>IF(A248="","",SUMIFS('CHI_TIẾT_GIAO_HÀNG'!$D$2:$D$500,'CHI_TIẾT_GIAO_HÀNG'!$C$2:$C$500,A248,'CHI_TIẾT_GIAO_HÀNG'!$E$2:$E$500,"ĐÃ GIAO"))</x:f>
      </x:c>
      <x:c r="J248" s="36" t="str">
        <x:f>IF(A248="","",MAX(0,F248-I248))</x:f>
      </x:c>
      <x:c r="K248" s="35" t="str">
        <x:f>IF(A248="","",H248-(F248*IFERROR(VLOOKUP(C248,'SẢN_PHẨM'!$A$2:$G$500,5,FALSE),0)))</x:f>
      </x:c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36" t="str">
        <x:f>IF(C249="","",IFERROR(VLOOKUP(C249,'SẢN_PHẨM'!$A$2:$G$500,2,FALSE),""))</x:f>
      </x:c>
      <x:c r="E249" s="36" t="str">
        <x:f>IF(C249="","",IFERROR(VLOOKUP(C249,'SẢN_PHẨM'!$A$2:$G$500,3,FALSE),""))</x:f>
      </x:c>
      <x:c r="F249" s="39"/>
      <x:c r="G249" s="44"/>
      <x:c r="H249" s="35" t="str">
        <x:f>IF(OR(F249="",G249=""),"",F249*G249)</x:f>
      </x:c>
      <x:c r="I249" s="36" t="str">
        <x:f>IF(A249="","",SUMIFS('CHI_TIẾT_GIAO_HÀNG'!$D$2:$D$500,'CHI_TIẾT_GIAO_HÀNG'!$C$2:$C$500,A249,'CHI_TIẾT_GIAO_HÀNG'!$E$2:$E$500,"ĐÃ GIAO"))</x:f>
      </x:c>
      <x:c r="J249" s="36" t="str">
        <x:f>IF(A249="","",MAX(0,F249-I249))</x:f>
      </x:c>
      <x:c r="K249" s="35" t="str">
        <x:f>IF(A249="","",H249-(F249*IFERROR(VLOOKUP(C249,'SẢN_PHẨM'!$A$2:$G$500,5,FALSE),0)))</x:f>
      </x:c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36" t="str">
        <x:f>IF(C250="","",IFERROR(VLOOKUP(C250,'SẢN_PHẨM'!$A$2:$G$500,2,FALSE),""))</x:f>
      </x:c>
      <x:c r="E250" s="36" t="str">
        <x:f>IF(C250="","",IFERROR(VLOOKUP(C250,'SẢN_PHẨM'!$A$2:$G$500,3,FALSE),""))</x:f>
      </x:c>
      <x:c r="F250" s="39"/>
      <x:c r="G250" s="44"/>
      <x:c r="H250" s="35" t="str">
        <x:f>IF(OR(F250="",G250=""),"",F250*G250)</x:f>
      </x:c>
      <x:c r="I250" s="36" t="str">
        <x:f>IF(A250="","",SUMIFS('CHI_TIẾT_GIAO_HÀNG'!$D$2:$D$500,'CHI_TIẾT_GIAO_HÀNG'!$C$2:$C$500,A250,'CHI_TIẾT_GIAO_HÀNG'!$E$2:$E$500,"ĐÃ GIAO"))</x:f>
      </x:c>
      <x:c r="J250" s="36" t="str">
        <x:f>IF(A250="","",MAX(0,F250-I250))</x:f>
      </x:c>
      <x:c r="K250" s="35" t="str">
        <x:f>IF(A250="","",H250-(F250*IFERROR(VLOOKUP(C250,'SẢN_PHẨM'!$A$2:$G$500,5,FALSE),0)))</x:f>
      </x:c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36" t="str">
        <x:f>IF(C251="","",IFERROR(VLOOKUP(C251,'SẢN_PHẨM'!$A$2:$G$500,2,FALSE),""))</x:f>
      </x:c>
      <x:c r="E251" s="36" t="str">
        <x:f>IF(C251="","",IFERROR(VLOOKUP(C251,'SẢN_PHẨM'!$A$2:$G$500,3,FALSE),""))</x:f>
      </x:c>
      <x:c r="F251" s="39"/>
      <x:c r="G251" s="44"/>
      <x:c r="H251" s="35" t="str">
        <x:f>IF(OR(F251="",G251=""),"",F251*G251)</x:f>
      </x:c>
      <x:c r="I251" s="36" t="str">
        <x:f>IF(A251="","",SUMIFS('CHI_TIẾT_GIAO_HÀNG'!$D$2:$D$500,'CHI_TIẾT_GIAO_HÀNG'!$C$2:$C$500,A251,'CHI_TIẾT_GIAO_HÀNG'!$E$2:$E$500,"ĐÃ GIAO"))</x:f>
      </x:c>
      <x:c r="J251" s="36" t="str">
        <x:f>IF(A251="","",MAX(0,F251-I251))</x:f>
      </x:c>
      <x:c r="K251" s="35" t="str">
        <x:f>IF(A251="","",H251-(F251*IFERROR(VLOOKUP(C251,'SẢN_PHẨM'!$A$2:$G$500,5,FALSE),0)))</x:f>
      </x:c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36" t="str">
        <x:f>IF(C252="","",IFERROR(VLOOKUP(C252,'SẢN_PHẨM'!$A$2:$G$500,2,FALSE),""))</x:f>
      </x:c>
      <x:c r="E252" s="36" t="str">
        <x:f>IF(C252="","",IFERROR(VLOOKUP(C252,'SẢN_PHẨM'!$A$2:$G$500,3,FALSE),""))</x:f>
      </x:c>
      <x:c r="F252" s="39"/>
      <x:c r="G252" s="44"/>
      <x:c r="H252" s="35" t="str">
        <x:f>IF(OR(F252="",G252=""),"",F252*G252)</x:f>
      </x:c>
      <x:c r="I252" s="36" t="str">
        <x:f>IF(A252="","",SUMIFS('CHI_TIẾT_GIAO_HÀNG'!$D$2:$D$500,'CHI_TIẾT_GIAO_HÀNG'!$C$2:$C$500,A252,'CHI_TIẾT_GIAO_HÀNG'!$E$2:$E$500,"ĐÃ GIAO"))</x:f>
      </x:c>
      <x:c r="J252" s="36" t="str">
        <x:f>IF(A252="","",MAX(0,F252-I252))</x:f>
      </x:c>
      <x:c r="K252" s="35" t="str">
        <x:f>IF(A252="","",H252-(F252*IFERROR(VLOOKUP(C252,'SẢN_PHẨM'!$A$2:$G$500,5,FALSE),0)))</x:f>
      </x:c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36" t="str">
        <x:f>IF(C253="","",IFERROR(VLOOKUP(C253,'SẢN_PHẨM'!$A$2:$G$500,2,FALSE),""))</x:f>
      </x:c>
      <x:c r="E253" s="36" t="str">
        <x:f>IF(C253="","",IFERROR(VLOOKUP(C253,'SẢN_PHẨM'!$A$2:$G$500,3,FALSE),""))</x:f>
      </x:c>
      <x:c r="F253" s="39"/>
      <x:c r="G253" s="44"/>
      <x:c r="H253" s="35" t="str">
        <x:f>IF(OR(F253="",G253=""),"",F253*G253)</x:f>
      </x:c>
      <x:c r="I253" s="36" t="str">
        <x:f>IF(A253="","",SUMIFS('CHI_TIẾT_GIAO_HÀNG'!$D$2:$D$500,'CHI_TIẾT_GIAO_HÀNG'!$C$2:$C$500,A253,'CHI_TIẾT_GIAO_HÀNG'!$E$2:$E$500,"ĐÃ GIAO"))</x:f>
      </x:c>
      <x:c r="J253" s="36" t="str">
        <x:f>IF(A253="","",MAX(0,F253-I253))</x:f>
      </x:c>
      <x:c r="K253" s="35" t="str">
        <x:f>IF(A253="","",H253-(F253*IFERROR(VLOOKUP(C253,'SẢN_PHẨM'!$A$2:$G$500,5,FALSE),0)))</x:f>
      </x:c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36" t="str">
        <x:f>IF(C254="","",IFERROR(VLOOKUP(C254,'SẢN_PHẨM'!$A$2:$G$500,2,FALSE),""))</x:f>
      </x:c>
      <x:c r="E254" s="36" t="str">
        <x:f>IF(C254="","",IFERROR(VLOOKUP(C254,'SẢN_PHẨM'!$A$2:$G$500,3,FALSE),""))</x:f>
      </x:c>
      <x:c r="F254" s="39"/>
      <x:c r="G254" s="44"/>
      <x:c r="H254" s="35" t="str">
        <x:f>IF(OR(F254="",G254=""),"",F254*G254)</x:f>
      </x:c>
      <x:c r="I254" s="36" t="str">
        <x:f>IF(A254="","",SUMIFS('CHI_TIẾT_GIAO_HÀNG'!$D$2:$D$500,'CHI_TIẾT_GIAO_HÀNG'!$C$2:$C$500,A254,'CHI_TIẾT_GIAO_HÀNG'!$E$2:$E$500,"ĐÃ GIAO"))</x:f>
      </x:c>
      <x:c r="J254" s="36" t="str">
        <x:f>IF(A254="","",MAX(0,F254-I254))</x:f>
      </x:c>
      <x:c r="K254" s="35" t="str">
        <x:f>IF(A254="","",H254-(F254*IFERROR(VLOOKUP(C254,'SẢN_PHẨM'!$A$2:$G$500,5,FALSE),0)))</x:f>
      </x:c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36" t="str">
        <x:f>IF(C255="","",IFERROR(VLOOKUP(C255,'SẢN_PHẨM'!$A$2:$G$500,2,FALSE),""))</x:f>
      </x:c>
      <x:c r="E255" s="36" t="str">
        <x:f>IF(C255="","",IFERROR(VLOOKUP(C255,'SẢN_PHẨM'!$A$2:$G$500,3,FALSE),""))</x:f>
      </x:c>
      <x:c r="F255" s="39"/>
      <x:c r="G255" s="44"/>
      <x:c r="H255" s="35" t="str">
        <x:f>IF(OR(F255="",G255=""),"",F255*G255)</x:f>
      </x:c>
      <x:c r="I255" s="36" t="str">
        <x:f>IF(A255="","",SUMIFS('CHI_TIẾT_GIAO_HÀNG'!$D$2:$D$500,'CHI_TIẾT_GIAO_HÀNG'!$C$2:$C$500,A255,'CHI_TIẾT_GIAO_HÀNG'!$E$2:$E$500,"ĐÃ GIAO"))</x:f>
      </x:c>
      <x:c r="J255" s="36" t="str">
        <x:f>IF(A255="","",MAX(0,F255-I255))</x:f>
      </x:c>
      <x:c r="K255" s="35" t="str">
        <x:f>IF(A255="","",H255-(F255*IFERROR(VLOOKUP(C255,'SẢN_PHẨM'!$A$2:$G$500,5,FALSE),0)))</x:f>
      </x:c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36" t="str">
        <x:f>IF(C256="","",IFERROR(VLOOKUP(C256,'SẢN_PHẨM'!$A$2:$G$500,2,FALSE),""))</x:f>
      </x:c>
      <x:c r="E256" s="36" t="str">
        <x:f>IF(C256="","",IFERROR(VLOOKUP(C256,'SẢN_PHẨM'!$A$2:$G$500,3,FALSE),""))</x:f>
      </x:c>
      <x:c r="F256" s="39"/>
      <x:c r="G256" s="44"/>
      <x:c r="H256" s="35" t="str">
        <x:f>IF(OR(F256="",G256=""),"",F256*G256)</x:f>
      </x:c>
      <x:c r="I256" s="36" t="str">
        <x:f>IF(A256="","",SUMIFS('CHI_TIẾT_GIAO_HÀNG'!$D$2:$D$500,'CHI_TIẾT_GIAO_HÀNG'!$C$2:$C$500,A256,'CHI_TIẾT_GIAO_HÀNG'!$E$2:$E$500,"ĐÃ GIAO"))</x:f>
      </x:c>
      <x:c r="J256" s="36" t="str">
        <x:f>IF(A256="","",MAX(0,F256-I256))</x:f>
      </x:c>
      <x:c r="K256" s="35" t="str">
        <x:f>IF(A256="","",H256-(F256*IFERROR(VLOOKUP(C256,'SẢN_PHẨM'!$A$2:$G$500,5,FALSE),0)))</x:f>
      </x:c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36" t="str">
        <x:f>IF(C257="","",IFERROR(VLOOKUP(C257,'SẢN_PHẨM'!$A$2:$G$500,2,FALSE),""))</x:f>
      </x:c>
      <x:c r="E257" s="36" t="str">
        <x:f>IF(C257="","",IFERROR(VLOOKUP(C257,'SẢN_PHẨM'!$A$2:$G$500,3,FALSE),""))</x:f>
      </x:c>
      <x:c r="F257" s="39"/>
      <x:c r="G257" s="44"/>
      <x:c r="H257" s="35" t="str">
        <x:f>IF(OR(F257="",G257=""),"",F257*G257)</x:f>
      </x:c>
      <x:c r="I257" s="36" t="str">
        <x:f>IF(A257="","",SUMIFS('CHI_TIẾT_GIAO_HÀNG'!$D$2:$D$500,'CHI_TIẾT_GIAO_HÀNG'!$C$2:$C$500,A257,'CHI_TIẾT_GIAO_HÀNG'!$E$2:$E$500,"ĐÃ GIAO"))</x:f>
      </x:c>
      <x:c r="J257" s="36" t="str">
        <x:f>IF(A257="","",MAX(0,F257-I257))</x:f>
      </x:c>
      <x:c r="K257" s="35" t="str">
        <x:f>IF(A257="","",H257-(F257*IFERROR(VLOOKUP(C257,'SẢN_PHẨM'!$A$2:$G$500,5,FALSE),0)))</x:f>
      </x:c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36" t="str">
        <x:f>IF(C258="","",IFERROR(VLOOKUP(C258,'SẢN_PHẨM'!$A$2:$G$500,2,FALSE),""))</x:f>
      </x:c>
      <x:c r="E258" s="36" t="str">
        <x:f>IF(C258="","",IFERROR(VLOOKUP(C258,'SẢN_PHẨM'!$A$2:$G$500,3,FALSE),""))</x:f>
      </x:c>
      <x:c r="F258" s="39"/>
      <x:c r="G258" s="44"/>
      <x:c r="H258" s="35" t="str">
        <x:f>IF(OR(F258="",G258=""),"",F258*G258)</x:f>
      </x:c>
      <x:c r="I258" s="36" t="str">
        <x:f>IF(A258="","",SUMIFS('CHI_TIẾT_GIAO_HÀNG'!$D$2:$D$500,'CHI_TIẾT_GIAO_HÀNG'!$C$2:$C$500,A258,'CHI_TIẾT_GIAO_HÀNG'!$E$2:$E$500,"ĐÃ GIAO"))</x:f>
      </x:c>
      <x:c r="J258" s="36" t="str">
        <x:f>IF(A258="","",MAX(0,F258-I258))</x:f>
      </x:c>
      <x:c r="K258" s="35" t="str">
        <x:f>IF(A258="","",H258-(F258*IFERROR(VLOOKUP(C258,'SẢN_PHẨM'!$A$2:$G$500,5,FALSE),0)))</x:f>
      </x:c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36" t="str">
        <x:f>IF(C259="","",IFERROR(VLOOKUP(C259,'SẢN_PHẨM'!$A$2:$G$500,2,FALSE),""))</x:f>
      </x:c>
      <x:c r="E259" s="36" t="str">
        <x:f>IF(C259="","",IFERROR(VLOOKUP(C259,'SẢN_PHẨM'!$A$2:$G$500,3,FALSE),""))</x:f>
      </x:c>
      <x:c r="F259" s="39"/>
      <x:c r="G259" s="44"/>
      <x:c r="H259" s="35" t="str">
        <x:f>IF(OR(F259="",G259=""),"",F259*G259)</x:f>
      </x:c>
      <x:c r="I259" s="36" t="str">
        <x:f>IF(A259="","",SUMIFS('CHI_TIẾT_GIAO_HÀNG'!$D$2:$D$500,'CHI_TIẾT_GIAO_HÀNG'!$C$2:$C$500,A259,'CHI_TIẾT_GIAO_HÀNG'!$E$2:$E$500,"ĐÃ GIAO"))</x:f>
      </x:c>
      <x:c r="J259" s="36" t="str">
        <x:f>IF(A259="","",MAX(0,F259-I259))</x:f>
      </x:c>
      <x:c r="K259" s="35" t="str">
        <x:f>IF(A259="","",H259-(F259*IFERROR(VLOOKUP(C259,'SẢN_PHẨM'!$A$2:$G$500,5,FALSE),0)))</x:f>
      </x:c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36" t="str">
        <x:f>IF(C260="","",IFERROR(VLOOKUP(C260,'SẢN_PHẨM'!$A$2:$G$500,2,FALSE),""))</x:f>
      </x:c>
      <x:c r="E260" s="36" t="str">
        <x:f>IF(C260="","",IFERROR(VLOOKUP(C260,'SẢN_PHẨM'!$A$2:$G$500,3,FALSE),""))</x:f>
      </x:c>
      <x:c r="F260" s="39"/>
      <x:c r="G260" s="44"/>
      <x:c r="H260" s="35" t="str">
        <x:f>IF(OR(F260="",G260=""),"",F260*G260)</x:f>
      </x:c>
      <x:c r="I260" s="36" t="str">
        <x:f>IF(A260="","",SUMIFS('CHI_TIẾT_GIAO_HÀNG'!$D$2:$D$500,'CHI_TIẾT_GIAO_HÀNG'!$C$2:$C$500,A260,'CHI_TIẾT_GIAO_HÀNG'!$E$2:$E$500,"ĐÃ GIAO"))</x:f>
      </x:c>
      <x:c r="J260" s="36" t="str">
        <x:f>IF(A260="","",MAX(0,F260-I260))</x:f>
      </x:c>
      <x:c r="K260" s="35" t="str">
        <x:f>IF(A260="","",H260-(F260*IFERROR(VLOOKUP(C260,'SẢN_PHẨM'!$A$2:$G$500,5,FALSE),0)))</x:f>
      </x:c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36" t="str">
        <x:f>IF(C261="","",IFERROR(VLOOKUP(C261,'SẢN_PHẨM'!$A$2:$G$500,2,FALSE),""))</x:f>
      </x:c>
      <x:c r="E261" s="36" t="str">
        <x:f>IF(C261="","",IFERROR(VLOOKUP(C261,'SẢN_PHẨM'!$A$2:$G$500,3,FALSE),""))</x:f>
      </x:c>
      <x:c r="F261" s="39"/>
      <x:c r="G261" s="44"/>
      <x:c r="H261" s="35" t="str">
        <x:f>IF(OR(F261="",G261=""),"",F261*G261)</x:f>
      </x:c>
      <x:c r="I261" s="36" t="str">
        <x:f>IF(A261="","",SUMIFS('CHI_TIẾT_GIAO_HÀNG'!$D$2:$D$500,'CHI_TIẾT_GIAO_HÀNG'!$C$2:$C$500,A261,'CHI_TIẾT_GIAO_HÀNG'!$E$2:$E$500,"ĐÃ GIAO"))</x:f>
      </x:c>
      <x:c r="J261" s="36" t="str">
        <x:f>IF(A261="","",MAX(0,F261-I261))</x:f>
      </x:c>
      <x:c r="K261" s="35" t="str">
        <x:f>IF(A261="","",H261-(F261*IFERROR(VLOOKUP(C261,'SẢN_PHẨM'!$A$2:$G$500,5,FALSE),0)))</x:f>
      </x:c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36" t="str">
        <x:f>IF(C262="","",IFERROR(VLOOKUP(C262,'SẢN_PHẨM'!$A$2:$G$500,2,FALSE),""))</x:f>
      </x:c>
      <x:c r="E262" s="36" t="str">
        <x:f>IF(C262="","",IFERROR(VLOOKUP(C262,'SẢN_PHẨM'!$A$2:$G$500,3,FALSE),""))</x:f>
      </x:c>
      <x:c r="F262" s="39"/>
      <x:c r="G262" s="44"/>
      <x:c r="H262" s="35" t="str">
        <x:f>IF(OR(F262="",G262=""),"",F262*G262)</x:f>
      </x:c>
      <x:c r="I262" s="36" t="str">
        <x:f>IF(A262="","",SUMIFS('CHI_TIẾT_GIAO_HÀNG'!$D$2:$D$500,'CHI_TIẾT_GIAO_HÀNG'!$C$2:$C$500,A262,'CHI_TIẾT_GIAO_HÀNG'!$E$2:$E$500,"ĐÃ GIAO"))</x:f>
      </x:c>
      <x:c r="J262" s="36" t="str">
        <x:f>IF(A262="","",MAX(0,F262-I262))</x:f>
      </x:c>
      <x:c r="K262" s="35" t="str">
        <x:f>IF(A262="","",H262-(F262*IFERROR(VLOOKUP(C262,'SẢN_PHẨM'!$A$2:$G$500,5,FALSE),0)))</x:f>
      </x:c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36" t="str">
        <x:f>IF(C263="","",IFERROR(VLOOKUP(C263,'SẢN_PHẨM'!$A$2:$G$500,2,FALSE),""))</x:f>
      </x:c>
      <x:c r="E263" s="36" t="str">
        <x:f>IF(C263="","",IFERROR(VLOOKUP(C263,'SẢN_PHẨM'!$A$2:$G$500,3,FALSE),""))</x:f>
      </x:c>
      <x:c r="F263" s="39"/>
      <x:c r="G263" s="44"/>
      <x:c r="H263" s="35" t="str">
        <x:f>IF(OR(F263="",G263=""),"",F263*G263)</x:f>
      </x:c>
      <x:c r="I263" s="36" t="str">
        <x:f>IF(A263="","",SUMIFS('CHI_TIẾT_GIAO_HÀNG'!$D$2:$D$500,'CHI_TIẾT_GIAO_HÀNG'!$C$2:$C$500,A263,'CHI_TIẾT_GIAO_HÀNG'!$E$2:$E$500,"ĐÃ GIAO"))</x:f>
      </x:c>
      <x:c r="J263" s="36" t="str">
        <x:f>IF(A263="","",MAX(0,F263-I263))</x:f>
      </x:c>
      <x:c r="K263" s="35" t="str">
        <x:f>IF(A263="","",H263-(F263*IFERROR(VLOOKUP(C263,'SẢN_PHẨM'!$A$2:$G$500,5,FALSE),0)))</x:f>
      </x:c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36" t="str">
        <x:f>IF(C264="","",IFERROR(VLOOKUP(C264,'SẢN_PHẨM'!$A$2:$G$500,2,FALSE),""))</x:f>
      </x:c>
      <x:c r="E264" s="36" t="str">
        <x:f>IF(C264="","",IFERROR(VLOOKUP(C264,'SẢN_PHẨM'!$A$2:$G$500,3,FALSE),""))</x:f>
      </x:c>
      <x:c r="F264" s="39"/>
      <x:c r="G264" s="44"/>
      <x:c r="H264" s="35" t="str">
        <x:f>IF(OR(F264="",G264=""),"",F264*G264)</x:f>
      </x:c>
      <x:c r="I264" s="36" t="str">
        <x:f>IF(A264="","",SUMIFS('CHI_TIẾT_GIAO_HÀNG'!$D$2:$D$500,'CHI_TIẾT_GIAO_HÀNG'!$C$2:$C$500,A264,'CHI_TIẾT_GIAO_HÀNG'!$E$2:$E$500,"ĐÃ GIAO"))</x:f>
      </x:c>
      <x:c r="J264" s="36" t="str">
        <x:f>IF(A264="","",MAX(0,F264-I264))</x:f>
      </x:c>
      <x:c r="K264" s="35" t="str">
        <x:f>IF(A264="","",H264-(F264*IFERROR(VLOOKUP(C264,'SẢN_PHẨM'!$A$2:$G$500,5,FALSE),0)))</x:f>
      </x:c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36" t="str">
        <x:f>IF(C265="","",IFERROR(VLOOKUP(C265,'SẢN_PHẨM'!$A$2:$G$500,2,FALSE),""))</x:f>
      </x:c>
      <x:c r="E265" s="36" t="str">
        <x:f>IF(C265="","",IFERROR(VLOOKUP(C265,'SẢN_PHẨM'!$A$2:$G$500,3,FALSE),""))</x:f>
      </x:c>
      <x:c r="F265" s="39"/>
      <x:c r="G265" s="44"/>
      <x:c r="H265" s="35" t="str">
        <x:f>IF(OR(F265="",G265=""),"",F265*G265)</x:f>
      </x:c>
      <x:c r="I265" s="36" t="str">
        <x:f>IF(A265="","",SUMIFS('CHI_TIẾT_GIAO_HÀNG'!$D$2:$D$500,'CHI_TIẾT_GIAO_HÀNG'!$C$2:$C$500,A265,'CHI_TIẾT_GIAO_HÀNG'!$E$2:$E$500,"ĐÃ GIAO"))</x:f>
      </x:c>
      <x:c r="J265" s="36" t="str">
        <x:f>IF(A265="","",MAX(0,F265-I265))</x:f>
      </x:c>
      <x:c r="K265" s="35" t="str">
        <x:f>IF(A265="","",H265-(F265*IFERROR(VLOOKUP(C265,'SẢN_PHẨM'!$A$2:$G$500,5,FALSE),0)))</x:f>
      </x:c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36" t="str">
        <x:f>IF(C266="","",IFERROR(VLOOKUP(C266,'SẢN_PHẨM'!$A$2:$G$500,2,FALSE),""))</x:f>
      </x:c>
      <x:c r="E266" s="36" t="str">
        <x:f>IF(C266="","",IFERROR(VLOOKUP(C266,'SẢN_PHẨM'!$A$2:$G$500,3,FALSE),""))</x:f>
      </x:c>
      <x:c r="F266" s="39"/>
      <x:c r="G266" s="44"/>
      <x:c r="H266" s="35" t="str">
        <x:f>IF(OR(F266="",G266=""),"",F266*G266)</x:f>
      </x:c>
      <x:c r="I266" s="36" t="str">
        <x:f>IF(A266="","",SUMIFS('CHI_TIẾT_GIAO_HÀNG'!$D$2:$D$500,'CHI_TIẾT_GIAO_HÀNG'!$C$2:$C$500,A266,'CHI_TIẾT_GIAO_HÀNG'!$E$2:$E$500,"ĐÃ GIAO"))</x:f>
      </x:c>
      <x:c r="J266" s="36" t="str">
        <x:f>IF(A266="","",MAX(0,F266-I266))</x:f>
      </x:c>
      <x:c r="K266" s="35" t="str">
        <x:f>IF(A266="","",H266-(F266*IFERROR(VLOOKUP(C266,'SẢN_PHẨM'!$A$2:$G$500,5,FALSE),0)))</x:f>
      </x:c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36" t="str">
        <x:f>IF(C267="","",IFERROR(VLOOKUP(C267,'SẢN_PHẨM'!$A$2:$G$500,2,FALSE),""))</x:f>
      </x:c>
      <x:c r="E267" s="36" t="str">
        <x:f>IF(C267="","",IFERROR(VLOOKUP(C267,'SẢN_PHẨM'!$A$2:$G$500,3,FALSE),""))</x:f>
      </x:c>
      <x:c r="F267" s="39"/>
      <x:c r="G267" s="44"/>
      <x:c r="H267" s="35" t="str">
        <x:f>IF(OR(F267="",G267=""),"",F267*G267)</x:f>
      </x:c>
      <x:c r="I267" s="36" t="str">
        <x:f>IF(A267="","",SUMIFS('CHI_TIẾT_GIAO_HÀNG'!$D$2:$D$500,'CHI_TIẾT_GIAO_HÀNG'!$C$2:$C$500,A267,'CHI_TIẾT_GIAO_HÀNG'!$E$2:$E$500,"ĐÃ GIAO"))</x:f>
      </x:c>
      <x:c r="J267" s="36" t="str">
        <x:f>IF(A267="","",MAX(0,F267-I267))</x:f>
      </x:c>
      <x:c r="K267" s="35" t="str">
        <x:f>IF(A267="","",H267-(F267*IFERROR(VLOOKUP(C267,'SẢN_PHẨM'!$A$2:$G$500,5,FALSE),0)))</x:f>
      </x:c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36" t="str">
        <x:f>IF(C268="","",IFERROR(VLOOKUP(C268,'SẢN_PHẨM'!$A$2:$G$500,2,FALSE),""))</x:f>
      </x:c>
      <x:c r="E268" s="36" t="str">
        <x:f>IF(C268="","",IFERROR(VLOOKUP(C268,'SẢN_PHẨM'!$A$2:$G$500,3,FALSE),""))</x:f>
      </x:c>
      <x:c r="F268" s="39"/>
      <x:c r="G268" s="44"/>
      <x:c r="H268" s="35" t="str">
        <x:f>IF(OR(F268="",G268=""),"",F268*G268)</x:f>
      </x:c>
      <x:c r="I268" s="36" t="str">
        <x:f>IF(A268="","",SUMIFS('CHI_TIẾT_GIAO_HÀNG'!$D$2:$D$500,'CHI_TIẾT_GIAO_HÀNG'!$C$2:$C$500,A268,'CHI_TIẾT_GIAO_HÀNG'!$E$2:$E$500,"ĐÃ GIAO"))</x:f>
      </x:c>
      <x:c r="J268" s="36" t="str">
        <x:f>IF(A268="","",MAX(0,F268-I268))</x:f>
      </x:c>
      <x:c r="K268" s="35" t="str">
        <x:f>IF(A268="","",H268-(F268*IFERROR(VLOOKUP(C268,'SẢN_PHẨM'!$A$2:$G$500,5,FALSE),0)))</x:f>
      </x:c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36" t="str">
        <x:f>IF(C269="","",IFERROR(VLOOKUP(C269,'SẢN_PHẨM'!$A$2:$G$500,2,FALSE),""))</x:f>
      </x:c>
      <x:c r="E269" s="36" t="str">
        <x:f>IF(C269="","",IFERROR(VLOOKUP(C269,'SẢN_PHẨM'!$A$2:$G$500,3,FALSE),""))</x:f>
      </x:c>
      <x:c r="F269" s="39"/>
      <x:c r="G269" s="44"/>
      <x:c r="H269" s="35" t="str">
        <x:f>IF(OR(F269="",G269=""),"",F269*G269)</x:f>
      </x:c>
      <x:c r="I269" s="36" t="str">
        <x:f>IF(A269="","",SUMIFS('CHI_TIẾT_GIAO_HÀNG'!$D$2:$D$500,'CHI_TIẾT_GIAO_HÀNG'!$C$2:$C$500,A269,'CHI_TIẾT_GIAO_HÀNG'!$E$2:$E$500,"ĐÃ GIAO"))</x:f>
      </x:c>
      <x:c r="J269" s="36" t="str">
        <x:f>IF(A269="","",MAX(0,F269-I269))</x:f>
      </x:c>
      <x:c r="K269" s="35" t="str">
        <x:f>IF(A269="","",H269-(F269*IFERROR(VLOOKUP(C269,'SẢN_PHẨM'!$A$2:$G$500,5,FALSE),0)))</x:f>
      </x:c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36" t="str">
        <x:f>IF(C270="","",IFERROR(VLOOKUP(C270,'SẢN_PHẨM'!$A$2:$G$500,2,FALSE),""))</x:f>
      </x:c>
      <x:c r="E270" s="36" t="str">
        <x:f>IF(C270="","",IFERROR(VLOOKUP(C270,'SẢN_PHẨM'!$A$2:$G$500,3,FALSE),""))</x:f>
      </x:c>
      <x:c r="F270" s="39"/>
      <x:c r="G270" s="44"/>
      <x:c r="H270" s="35" t="str">
        <x:f>IF(OR(F270="",G270=""),"",F270*G270)</x:f>
      </x:c>
      <x:c r="I270" s="36" t="str">
        <x:f>IF(A270="","",SUMIFS('CHI_TIẾT_GIAO_HÀNG'!$D$2:$D$500,'CHI_TIẾT_GIAO_HÀNG'!$C$2:$C$500,A270,'CHI_TIẾT_GIAO_HÀNG'!$E$2:$E$500,"ĐÃ GIAO"))</x:f>
      </x:c>
      <x:c r="J270" s="36" t="str">
        <x:f>IF(A270="","",MAX(0,F270-I270))</x:f>
      </x:c>
      <x:c r="K270" s="35" t="str">
        <x:f>IF(A270="","",H270-(F270*IFERROR(VLOOKUP(C270,'SẢN_PHẨM'!$A$2:$G$500,5,FALSE),0)))</x:f>
      </x:c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36" t="str">
        <x:f>IF(C271="","",IFERROR(VLOOKUP(C271,'SẢN_PHẨM'!$A$2:$G$500,2,FALSE),""))</x:f>
      </x:c>
      <x:c r="E271" s="36" t="str">
        <x:f>IF(C271="","",IFERROR(VLOOKUP(C271,'SẢN_PHẨM'!$A$2:$G$500,3,FALSE),""))</x:f>
      </x:c>
      <x:c r="F271" s="39"/>
      <x:c r="G271" s="44"/>
      <x:c r="H271" s="35" t="str">
        <x:f>IF(OR(F271="",G271=""),"",F271*G271)</x:f>
      </x:c>
      <x:c r="I271" s="36" t="str">
        <x:f>IF(A271="","",SUMIFS('CHI_TIẾT_GIAO_HÀNG'!$D$2:$D$500,'CHI_TIẾT_GIAO_HÀNG'!$C$2:$C$500,A271,'CHI_TIẾT_GIAO_HÀNG'!$E$2:$E$500,"ĐÃ GIAO"))</x:f>
      </x:c>
      <x:c r="J271" s="36" t="str">
        <x:f>IF(A271="","",MAX(0,F271-I271))</x:f>
      </x:c>
      <x:c r="K271" s="35" t="str">
        <x:f>IF(A271="","",H271-(F271*IFERROR(VLOOKUP(C271,'SẢN_PHẨM'!$A$2:$G$500,5,FALSE),0)))</x:f>
      </x:c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36" t="str">
        <x:f>IF(C272="","",IFERROR(VLOOKUP(C272,'SẢN_PHẨM'!$A$2:$G$500,2,FALSE),""))</x:f>
      </x:c>
      <x:c r="E272" s="36" t="str">
        <x:f>IF(C272="","",IFERROR(VLOOKUP(C272,'SẢN_PHẨM'!$A$2:$G$500,3,FALSE),""))</x:f>
      </x:c>
      <x:c r="F272" s="39"/>
      <x:c r="G272" s="44"/>
      <x:c r="H272" s="35" t="str">
        <x:f>IF(OR(F272="",G272=""),"",F272*G272)</x:f>
      </x:c>
      <x:c r="I272" s="36" t="str">
        <x:f>IF(A272="","",SUMIFS('CHI_TIẾT_GIAO_HÀNG'!$D$2:$D$500,'CHI_TIẾT_GIAO_HÀNG'!$C$2:$C$500,A272,'CHI_TIẾT_GIAO_HÀNG'!$E$2:$E$500,"ĐÃ GIAO"))</x:f>
      </x:c>
      <x:c r="J272" s="36" t="str">
        <x:f>IF(A272="","",MAX(0,F272-I272))</x:f>
      </x:c>
      <x:c r="K272" s="35" t="str">
        <x:f>IF(A272="","",H272-(F272*IFERROR(VLOOKUP(C272,'SẢN_PHẨM'!$A$2:$G$500,5,FALSE),0)))</x:f>
      </x:c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36" t="str">
        <x:f>IF(C273="","",IFERROR(VLOOKUP(C273,'SẢN_PHẨM'!$A$2:$G$500,2,FALSE),""))</x:f>
      </x:c>
      <x:c r="E273" s="36" t="str">
        <x:f>IF(C273="","",IFERROR(VLOOKUP(C273,'SẢN_PHẨM'!$A$2:$G$500,3,FALSE),""))</x:f>
      </x:c>
      <x:c r="F273" s="39"/>
      <x:c r="G273" s="44"/>
      <x:c r="H273" s="35" t="str">
        <x:f>IF(OR(F273="",G273=""),"",F273*G273)</x:f>
      </x:c>
      <x:c r="I273" s="36" t="str">
        <x:f>IF(A273="","",SUMIFS('CHI_TIẾT_GIAO_HÀNG'!$D$2:$D$500,'CHI_TIẾT_GIAO_HÀNG'!$C$2:$C$500,A273,'CHI_TIẾT_GIAO_HÀNG'!$E$2:$E$500,"ĐÃ GIAO"))</x:f>
      </x:c>
      <x:c r="J273" s="36" t="str">
        <x:f>IF(A273="","",MAX(0,F273-I273))</x:f>
      </x:c>
      <x:c r="K273" s="35" t="str">
        <x:f>IF(A273="","",H273-(F273*IFERROR(VLOOKUP(C273,'SẢN_PHẨM'!$A$2:$G$500,5,FALSE),0)))</x:f>
      </x:c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36" t="str">
        <x:f>IF(C274="","",IFERROR(VLOOKUP(C274,'SẢN_PHẨM'!$A$2:$G$500,2,FALSE),""))</x:f>
      </x:c>
      <x:c r="E274" s="36" t="str">
        <x:f>IF(C274="","",IFERROR(VLOOKUP(C274,'SẢN_PHẨM'!$A$2:$G$500,3,FALSE),""))</x:f>
      </x:c>
      <x:c r="F274" s="39"/>
      <x:c r="G274" s="44"/>
      <x:c r="H274" s="35" t="str">
        <x:f>IF(OR(F274="",G274=""),"",F274*G274)</x:f>
      </x:c>
      <x:c r="I274" s="36" t="str">
        <x:f>IF(A274="","",SUMIFS('CHI_TIẾT_GIAO_HÀNG'!$D$2:$D$500,'CHI_TIẾT_GIAO_HÀNG'!$C$2:$C$500,A274,'CHI_TIẾT_GIAO_HÀNG'!$E$2:$E$500,"ĐÃ GIAO"))</x:f>
      </x:c>
      <x:c r="J274" s="36" t="str">
        <x:f>IF(A274="","",MAX(0,F274-I274))</x:f>
      </x:c>
      <x:c r="K274" s="35" t="str">
        <x:f>IF(A274="","",H274-(F274*IFERROR(VLOOKUP(C274,'SẢN_PHẨM'!$A$2:$G$500,5,FALSE),0)))</x:f>
      </x:c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36" t="str">
        <x:f>IF(C275="","",IFERROR(VLOOKUP(C275,'SẢN_PHẨM'!$A$2:$G$500,2,FALSE),""))</x:f>
      </x:c>
      <x:c r="E275" s="36" t="str">
        <x:f>IF(C275="","",IFERROR(VLOOKUP(C275,'SẢN_PHẨM'!$A$2:$G$500,3,FALSE),""))</x:f>
      </x:c>
      <x:c r="F275" s="39"/>
      <x:c r="G275" s="44"/>
      <x:c r="H275" s="35" t="str">
        <x:f>IF(OR(F275="",G275=""),"",F275*G275)</x:f>
      </x:c>
      <x:c r="I275" s="36" t="str">
        <x:f>IF(A275="","",SUMIFS('CHI_TIẾT_GIAO_HÀNG'!$D$2:$D$500,'CHI_TIẾT_GIAO_HÀNG'!$C$2:$C$500,A275,'CHI_TIẾT_GIAO_HÀNG'!$E$2:$E$500,"ĐÃ GIAO"))</x:f>
      </x:c>
      <x:c r="J275" s="36" t="str">
        <x:f>IF(A275="","",MAX(0,F275-I275))</x:f>
      </x:c>
      <x:c r="K275" s="35" t="str">
        <x:f>IF(A275="","",H275-(F275*IFERROR(VLOOKUP(C275,'SẢN_PHẨM'!$A$2:$G$500,5,FALSE),0)))</x:f>
      </x:c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36" t="str">
        <x:f>IF(C276="","",IFERROR(VLOOKUP(C276,'SẢN_PHẨM'!$A$2:$G$500,2,FALSE),""))</x:f>
      </x:c>
      <x:c r="E276" s="36" t="str">
        <x:f>IF(C276="","",IFERROR(VLOOKUP(C276,'SẢN_PHẨM'!$A$2:$G$500,3,FALSE),""))</x:f>
      </x:c>
      <x:c r="F276" s="39"/>
      <x:c r="G276" s="44"/>
      <x:c r="H276" s="35" t="str">
        <x:f>IF(OR(F276="",G276=""),"",F276*G276)</x:f>
      </x:c>
      <x:c r="I276" s="36" t="str">
        <x:f>IF(A276="","",SUMIFS('CHI_TIẾT_GIAO_HÀNG'!$D$2:$D$500,'CHI_TIẾT_GIAO_HÀNG'!$C$2:$C$500,A276,'CHI_TIẾT_GIAO_HÀNG'!$E$2:$E$500,"ĐÃ GIAO"))</x:f>
      </x:c>
      <x:c r="J276" s="36" t="str">
        <x:f>IF(A276="","",MAX(0,F276-I276))</x:f>
      </x:c>
      <x:c r="K276" s="35" t="str">
        <x:f>IF(A276="","",H276-(F276*IFERROR(VLOOKUP(C276,'SẢN_PHẨM'!$A$2:$G$500,5,FALSE),0)))</x:f>
      </x:c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36" t="str">
        <x:f>IF(C277="","",IFERROR(VLOOKUP(C277,'SẢN_PHẨM'!$A$2:$G$500,2,FALSE),""))</x:f>
      </x:c>
      <x:c r="E277" s="36" t="str">
        <x:f>IF(C277="","",IFERROR(VLOOKUP(C277,'SẢN_PHẨM'!$A$2:$G$500,3,FALSE),""))</x:f>
      </x:c>
      <x:c r="F277" s="39"/>
      <x:c r="G277" s="44"/>
      <x:c r="H277" s="35" t="str">
        <x:f>IF(OR(F277="",G277=""),"",F277*G277)</x:f>
      </x:c>
      <x:c r="I277" s="36" t="str">
        <x:f>IF(A277="","",SUMIFS('CHI_TIẾT_GIAO_HÀNG'!$D$2:$D$500,'CHI_TIẾT_GIAO_HÀNG'!$C$2:$C$500,A277,'CHI_TIẾT_GIAO_HÀNG'!$E$2:$E$500,"ĐÃ GIAO"))</x:f>
      </x:c>
      <x:c r="J277" s="36" t="str">
        <x:f>IF(A277="","",MAX(0,F277-I277))</x:f>
      </x:c>
      <x:c r="K277" s="35" t="str">
        <x:f>IF(A277="","",H277-(F277*IFERROR(VLOOKUP(C277,'SẢN_PHẨM'!$A$2:$G$500,5,FALSE),0)))</x:f>
      </x:c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36" t="str">
        <x:f>IF(C278="","",IFERROR(VLOOKUP(C278,'SẢN_PHẨM'!$A$2:$G$500,2,FALSE),""))</x:f>
      </x:c>
      <x:c r="E278" s="36" t="str">
        <x:f>IF(C278="","",IFERROR(VLOOKUP(C278,'SẢN_PHẨM'!$A$2:$G$500,3,FALSE),""))</x:f>
      </x:c>
      <x:c r="F278" s="39"/>
      <x:c r="G278" s="44"/>
      <x:c r="H278" s="35" t="str">
        <x:f>IF(OR(F278="",G278=""),"",F278*G278)</x:f>
      </x:c>
      <x:c r="I278" s="36" t="str">
        <x:f>IF(A278="","",SUMIFS('CHI_TIẾT_GIAO_HÀNG'!$D$2:$D$500,'CHI_TIẾT_GIAO_HÀNG'!$C$2:$C$500,A278,'CHI_TIẾT_GIAO_HÀNG'!$E$2:$E$500,"ĐÃ GIAO"))</x:f>
      </x:c>
      <x:c r="J278" s="36" t="str">
        <x:f>IF(A278="","",MAX(0,F278-I278))</x:f>
      </x:c>
      <x:c r="K278" s="35" t="str">
        <x:f>IF(A278="","",H278-(F278*IFERROR(VLOOKUP(C278,'SẢN_PHẨM'!$A$2:$G$500,5,FALSE),0)))</x:f>
      </x:c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36" t="str">
        <x:f>IF(C279="","",IFERROR(VLOOKUP(C279,'SẢN_PHẨM'!$A$2:$G$500,2,FALSE),""))</x:f>
      </x:c>
      <x:c r="E279" s="36" t="str">
        <x:f>IF(C279="","",IFERROR(VLOOKUP(C279,'SẢN_PHẨM'!$A$2:$G$500,3,FALSE),""))</x:f>
      </x:c>
      <x:c r="F279" s="39"/>
      <x:c r="G279" s="44"/>
      <x:c r="H279" s="35" t="str">
        <x:f>IF(OR(F279="",G279=""),"",F279*G279)</x:f>
      </x:c>
      <x:c r="I279" s="36" t="str">
        <x:f>IF(A279="","",SUMIFS('CHI_TIẾT_GIAO_HÀNG'!$D$2:$D$500,'CHI_TIẾT_GIAO_HÀNG'!$C$2:$C$500,A279,'CHI_TIẾT_GIAO_HÀNG'!$E$2:$E$500,"ĐÃ GIAO"))</x:f>
      </x:c>
      <x:c r="J279" s="36" t="str">
        <x:f>IF(A279="","",MAX(0,F279-I279))</x:f>
      </x:c>
      <x:c r="K279" s="35" t="str">
        <x:f>IF(A279="","",H279-(F279*IFERROR(VLOOKUP(C279,'SẢN_PHẨM'!$A$2:$G$500,5,FALSE),0)))</x:f>
      </x:c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36" t="str">
        <x:f>IF(C280="","",IFERROR(VLOOKUP(C280,'SẢN_PHẨM'!$A$2:$G$500,2,FALSE),""))</x:f>
      </x:c>
      <x:c r="E280" s="36" t="str">
        <x:f>IF(C280="","",IFERROR(VLOOKUP(C280,'SẢN_PHẨM'!$A$2:$G$500,3,FALSE),""))</x:f>
      </x:c>
      <x:c r="F280" s="39"/>
      <x:c r="G280" s="44"/>
      <x:c r="H280" s="35" t="str">
        <x:f>IF(OR(F280="",G280=""),"",F280*G280)</x:f>
      </x:c>
      <x:c r="I280" s="36" t="str">
        <x:f>IF(A280="","",SUMIFS('CHI_TIẾT_GIAO_HÀNG'!$D$2:$D$500,'CHI_TIẾT_GIAO_HÀNG'!$C$2:$C$500,A280,'CHI_TIẾT_GIAO_HÀNG'!$E$2:$E$500,"ĐÃ GIAO"))</x:f>
      </x:c>
      <x:c r="J280" s="36" t="str">
        <x:f>IF(A280="","",MAX(0,F280-I280))</x:f>
      </x:c>
      <x:c r="K280" s="35" t="str">
        <x:f>IF(A280="","",H280-(F280*IFERROR(VLOOKUP(C280,'SẢN_PHẨM'!$A$2:$G$500,5,FALSE),0)))</x:f>
      </x:c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36" t="str">
        <x:f>IF(C281="","",IFERROR(VLOOKUP(C281,'SẢN_PHẨM'!$A$2:$G$500,2,FALSE),""))</x:f>
      </x:c>
      <x:c r="E281" s="36" t="str">
        <x:f>IF(C281="","",IFERROR(VLOOKUP(C281,'SẢN_PHẨM'!$A$2:$G$500,3,FALSE),""))</x:f>
      </x:c>
      <x:c r="F281" s="39"/>
      <x:c r="G281" s="44"/>
      <x:c r="H281" s="35" t="str">
        <x:f>IF(OR(F281="",G281=""),"",F281*G281)</x:f>
      </x:c>
      <x:c r="I281" s="36" t="str">
        <x:f>IF(A281="","",SUMIFS('CHI_TIẾT_GIAO_HÀNG'!$D$2:$D$500,'CHI_TIẾT_GIAO_HÀNG'!$C$2:$C$500,A281,'CHI_TIẾT_GIAO_HÀNG'!$E$2:$E$500,"ĐÃ GIAO"))</x:f>
      </x:c>
      <x:c r="J281" s="36" t="str">
        <x:f>IF(A281="","",MAX(0,F281-I281))</x:f>
      </x:c>
      <x:c r="K281" s="35" t="str">
        <x:f>IF(A281="","",H281-(F281*IFERROR(VLOOKUP(C281,'SẢN_PHẨM'!$A$2:$G$500,5,FALSE),0)))</x:f>
      </x:c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36" t="str">
        <x:f>IF(C282="","",IFERROR(VLOOKUP(C282,'SẢN_PHẨM'!$A$2:$G$500,2,FALSE),""))</x:f>
      </x:c>
      <x:c r="E282" s="36" t="str">
        <x:f>IF(C282="","",IFERROR(VLOOKUP(C282,'SẢN_PHẨM'!$A$2:$G$500,3,FALSE),""))</x:f>
      </x:c>
      <x:c r="F282" s="39"/>
      <x:c r="G282" s="44"/>
      <x:c r="H282" s="35" t="str">
        <x:f>IF(OR(F282="",G282=""),"",F282*G282)</x:f>
      </x:c>
      <x:c r="I282" s="36" t="str">
        <x:f>IF(A282="","",SUMIFS('CHI_TIẾT_GIAO_HÀNG'!$D$2:$D$500,'CHI_TIẾT_GIAO_HÀNG'!$C$2:$C$500,A282,'CHI_TIẾT_GIAO_HÀNG'!$E$2:$E$500,"ĐÃ GIAO"))</x:f>
      </x:c>
      <x:c r="J282" s="36" t="str">
        <x:f>IF(A282="","",MAX(0,F282-I282))</x:f>
      </x:c>
      <x:c r="K282" s="35" t="str">
        <x:f>IF(A282="","",H282-(F282*IFERROR(VLOOKUP(C282,'SẢN_PHẨM'!$A$2:$G$500,5,FALSE),0)))</x:f>
      </x:c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36" t="str">
        <x:f>IF(C283="","",IFERROR(VLOOKUP(C283,'SẢN_PHẨM'!$A$2:$G$500,2,FALSE),""))</x:f>
      </x:c>
      <x:c r="E283" s="36" t="str">
        <x:f>IF(C283="","",IFERROR(VLOOKUP(C283,'SẢN_PHẨM'!$A$2:$G$500,3,FALSE),""))</x:f>
      </x:c>
      <x:c r="F283" s="39"/>
      <x:c r="G283" s="44"/>
      <x:c r="H283" s="35" t="str">
        <x:f>IF(OR(F283="",G283=""),"",F283*G283)</x:f>
      </x:c>
      <x:c r="I283" s="36" t="str">
        <x:f>IF(A283="","",SUMIFS('CHI_TIẾT_GIAO_HÀNG'!$D$2:$D$500,'CHI_TIẾT_GIAO_HÀNG'!$C$2:$C$500,A283,'CHI_TIẾT_GIAO_HÀNG'!$E$2:$E$500,"ĐÃ GIAO"))</x:f>
      </x:c>
      <x:c r="J283" s="36" t="str">
        <x:f>IF(A283="","",MAX(0,F283-I283))</x:f>
      </x:c>
      <x:c r="K283" s="35" t="str">
        <x:f>IF(A283="","",H283-(F283*IFERROR(VLOOKUP(C283,'SẢN_PHẨM'!$A$2:$G$500,5,FALSE),0)))</x:f>
      </x:c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36" t="str">
        <x:f>IF(C284="","",IFERROR(VLOOKUP(C284,'SẢN_PHẨM'!$A$2:$G$500,2,FALSE),""))</x:f>
      </x:c>
      <x:c r="E284" s="36" t="str">
        <x:f>IF(C284="","",IFERROR(VLOOKUP(C284,'SẢN_PHẨM'!$A$2:$G$500,3,FALSE),""))</x:f>
      </x:c>
      <x:c r="F284" s="39"/>
      <x:c r="G284" s="44"/>
      <x:c r="H284" s="35" t="str">
        <x:f>IF(OR(F284="",G284=""),"",F284*G284)</x:f>
      </x:c>
      <x:c r="I284" s="36" t="str">
        <x:f>IF(A284="","",SUMIFS('CHI_TIẾT_GIAO_HÀNG'!$D$2:$D$500,'CHI_TIẾT_GIAO_HÀNG'!$C$2:$C$500,A284,'CHI_TIẾT_GIAO_HÀNG'!$E$2:$E$500,"ĐÃ GIAO"))</x:f>
      </x:c>
      <x:c r="J284" s="36" t="str">
        <x:f>IF(A284="","",MAX(0,F284-I284))</x:f>
      </x:c>
      <x:c r="K284" s="35" t="str">
        <x:f>IF(A284="","",H284-(F284*IFERROR(VLOOKUP(C284,'SẢN_PHẨM'!$A$2:$G$500,5,FALSE),0)))</x:f>
      </x:c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36" t="str">
        <x:f>IF(C285="","",IFERROR(VLOOKUP(C285,'SẢN_PHẨM'!$A$2:$G$500,2,FALSE),""))</x:f>
      </x:c>
      <x:c r="E285" s="36" t="str">
        <x:f>IF(C285="","",IFERROR(VLOOKUP(C285,'SẢN_PHẨM'!$A$2:$G$500,3,FALSE),""))</x:f>
      </x:c>
      <x:c r="F285" s="39"/>
      <x:c r="G285" s="44"/>
      <x:c r="H285" s="35" t="str">
        <x:f>IF(OR(F285="",G285=""),"",F285*G285)</x:f>
      </x:c>
      <x:c r="I285" s="36" t="str">
        <x:f>IF(A285="","",SUMIFS('CHI_TIẾT_GIAO_HÀNG'!$D$2:$D$500,'CHI_TIẾT_GIAO_HÀNG'!$C$2:$C$500,A285,'CHI_TIẾT_GIAO_HÀNG'!$E$2:$E$500,"ĐÃ GIAO"))</x:f>
      </x:c>
      <x:c r="J285" s="36" t="str">
        <x:f>IF(A285="","",MAX(0,F285-I285))</x:f>
      </x:c>
      <x:c r="K285" s="35" t="str">
        <x:f>IF(A285="","",H285-(F285*IFERROR(VLOOKUP(C285,'SẢN_PHẨM'!$A$2:$G$500,5,FALSE),0)))</x:f>
      </x:c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36" t="str">
        <x:f>IF(C286="","",IFERROR(VLOOKUP(C286,'SẢN_PHẨM'!$A$2:$G$500,2,FALSE),""))</x:f>
      </x:c>
      <x:c r="E286" s="36" t="str">
        <x:f>IF(C286="","",IFERROR(VLOOKUP(C286,'SẢN_PHẨM'!$A$2:$G$500,3,FALSE),""))</x:f>
      </x:c>
      <x:c r="F286" s="39"/>
      <x:c r="G286" s="44"/>
      <x:c r="H286" s="35" t="str">
        <x:f>IF(OR(F286="",G286=""),"",F286*G286)</x:f>
      </x:c>
      <x:c r="I286" s="36" t="str">
        <x:f>IF(A286="","",SUMIFS('CHI_TIẾT_GIAO_HÀNG'!$D$2:$D$500,'CHI_TIẾT_GIAO_HÀNG'!$C$2:$C$500,A286,'CHI_TIẾT_GIAO_HÀNG'!$E$2:$E$500,"ĐÃ GIAO"))</x:f>
      </x:c>
      <x:c r="J286" s="36" t="str">
        <x:f>IF(A286="","",MAX(0,F286-I286))</x:f>
      </x:c>
      <x:c r="K286" s="35" t="str">
        <x:f>IF(A286="","",H286-(F286*IFERROR(VLOOKUP(C286,'SẢN_PHẨM'!$A$2:$G$500,5,FALSE),0)))</x:f>
      </x:c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36" t="str">
        <x:f>IF(C287="","",IFERROR(VLOOKUP(C287,'SẢN_PHẨM'!$A$2:$G$500,2,FALSE),""))</x:f>
      </x:c>
      <x:c r="E287" s="36" t="str">
        <x:f>IF(C287="","",IFERROR(VLOOKUP(C287,'SẢN_PHẨM'!$A$2:$G$500,3,FALSE),""))</x:f>
      </x:c>
      <x:c r="F287" s="39"/>
      <x:c r="G287" s="44"/>
      <x:c r="H287" s="35" t="str">
        <x:f>IF(OR(F287="",G287=""),"",F287*G287)</x:f>
      </x:c>
      <x:c r="I287" s="36" t="str">
        <x:f>IF(A287="","",SUMIFS('CHI_TIẾT_GIAO_HÀNG'!$D$2:$D$500,'CHI_TIẾT_GIAO_HÀNG'!$C$2:$C$500,A287,'CHI_TIẾT_GIAO_HÀNG'!$E$2:$E$500,"ĐÃ GIAO"))</x:f>
      </x:c>
      <x:c r="J287" s="36" t="str">
        <x:f>IF(A287="","",MAX(0,F287-I287))</x:f>
      </x:c>
      <x:c r="K287" s="35" t="str">
        <x:f>IF(A287="","",H287-(F287*IFERROR(VLOOKUP(C287,'SẢN_PHẨM'!$A$2:$G$500,5,FALSE),0)))</x:f>
      </x:c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36" t="str">
        <x:f>IF(C288="","",IFERROR(VLOOKUP(C288,'SẢN_PHẨM'!$A$2:$G$500,2,FALSE),""))</x:f>
      </x:c>
      <x:c r="E288" s="36" t="str">
        <x:f>IF(C288="","",IFERROR(VLOOKUP(C288,'SẢN_PHẨM'!$A$2:$G$500,3,FALSE),""))</x:f>
      </x:c>
      <x:c r="F288" s="39"/>
      <x:c r="G288" s="44"/>
      <x:c r="H288" s="35" t="str">
        <x:f>IF(OR(F288="",G288=""),"",F288*G288)</x:f>
      </x:c>
      <x:c r="I288" s="36" t="str">
        <x:f>IF(A288="","",SUMIFS('CHI_TIẾT_GIAO_HÀNG'!$D$2:$D$500,'CHI_TIẾT_GIAO_HÀNG'!$C$2:$C$500,A288,'CHI_TIẾT_GIAO_HÀNG'!$E$2:$E$500,"ĐÃ GIAO"))</x:f>
      </x:c>
      <x:c r="J288" s="36" t="str">
        <x:f>IF(A288="","",MAX(0,F288-I288))</x:f>
      </x:c>
      <x:c r="K288" s="35" t="str">
        <x:f>IF(A288="","",H288-(F288*IFERROR(VLOOKUP(C288,'SẢN_PHẨM'!$A$2:$G$500,5,FALSE),0)))</x:f>
      </x:c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36" t="str">
        <x:f>IF(C289="","",IFERROR(VLOOKUP(C289,'SẢN_PHẨM'!$A$2:$G$500,2,FALSE),""))</x:f>
      </x:c>
      <x:c r="E289" s="36" t="str">
        <x:f>IF(C289="","",IFERROR(VLOOKUP(C289,'SẢN_PHẨM'!$A$2:$G$500,3,FALSE),""))</x:f>
      </x:c>
      <x:c r="F289" s="39"/>
      <x:c r="G289" s="44"/>
      <x:c r="H289" s="35" t="str">
        <x:f>IF(OR(F289="",G289=""),"",F289*G289)</x:f>
      </x:c>
      <x:c r="I289" s="36" t="str">
        <x:f>IF(A289="","",SUMIFS('CHI_TIẾT_GIAO_HÀNG'!$D$2:$D$500,'CHI_TIẾT_GIAO_HÀNG'!$C$2:$C$500,A289,'CHI_TIẾT_GIAO_HÀNG'!$E$2:$E$500,"ĐÃ GIAO"))</x:f>
      </x:c>
      <x:c r="J289" s="36" t="str">
        <x:f>IF(A289="","",MAX(0,F289-I289))</x:f>
      </x:c>
      <x:c r="K289" s="35" t="str">
        <x:f>IF(A289="","",H289-(F289*IFERROR(VLOOKUP(C289,'SẢN_PHẨM'!$A$2:$G$500,5,FALSE),0)))</x:f>
      </x:c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36" t="str">
        <x:f>IF(C290="","",IFERROR(VLOOKUP(C290,'SẢN_PHẨM'!$A$2:$G$500,2,FALSE),""))</x:f>
      </x:c>
      <x:c r="E290" s="36" t="str">
        <x:f>IF(C290="","",IFERROR(VLOOKUP(C290,'SẢN_PHẨM'!$A$2:$G$500,3,FALSE),""))</x:f>
      </x:c>
      <x:c r="F290" s="39"/>
      <x:c r="G290" s="44"/>
      <x:c r="H290" s="35" t="str">
        <x:f>IF(OR(F290="",G290=""),"",F290*G290)</x:f>
      </x:c>
      <x:c r="I290" s="36" t="str">
        <x:f>IF(A290="","",SUMIFS('CHI_TIẾT_GIAO_HÀNG'!$D$2:$D$500,'CHI_TIẾT_GIAO_HÀNG'!$C$2:$C$500,A290,'CHI_TIẾT_GIAO_HÀNG'!$E$2:$E$500,"ĐÃ GIAO"))</x:f>
      </x:c>
      <x:c r="J290" s="36" t="str">
        <x:f>IF(A290="","",MAX(0,F290-I290))</x:f>
      </x:c>
      <x:c r="K290" s="35" t="str">
        <x:f>IF(A290="","",H290-(F290*IFERROR(VLOOKUP(C290,'SẢN_PHẨM'!$A$2:$G$500,5,FALSE),0)))</x:f>
      </x:c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36" t="str">
        <x:f>IF(C291="","",IFERROR(VLOOKUP(C291,'SẢN_PHẨM'!$A$2:$G$500,2,FALSE),""))</x:f>
      </x:c>
      <x:c r="E291" s="36" t="str">
        <x:f>IF(C291="","",IFERROR(VLOOKUP(C291,'SẢN_PHẨM'!$A$2:$G$500,3,FALSE),""))</x:f>
      </x:c>
      <x:c r="F291" s="39"/>
      <x:c r="G291" s="44"/>
      <x:c r="H291" s="35" t="str">
        <x:f>IF(OR(F291="",G291=""),"",F291*G291)</x:f>
      </x:c>
      <x:c r="I291" s="36" t="str">
        <x:f>IF(A291="","",SUMIFS('CHI_TIẾT_GIAO_HÀNG'!$D$2:$D$500,'CHI_TIẾT_GIAO_HÀNG'!$C$2:$C$500,A291,'CHI_TIẾT_GIAO_HÀNG'!$E$2:$E$500,"ĐÃ GIAO"))</x:f>
      </x:c>
      <x:c r="J291" s="36" t="str">
        <x:f>IF(A291="","",MAX(0,F291-I291))</x:f>
      </x:c>
      <x:c r="K291" s="35" t="str">
        <x:f>IF(A291="","",H291-(F291*IFERROR(VLOOKUP(C291,'SẢN_PHẨM'!$A$2:$G$500,5,FALSE),0)))</x:f>
      </x:c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36" t="str">
        <x:f>IF(C292="","",IFERROR(VLOOKUP(C292,'SẢN_PHẨM'!$A$2:$G$500,2,FALSE),""))</x:f>
      </x:c>
      <x:c r="E292" s="36" t="str">
        <x:f>IF(C292="","",IFERROR(VLOOKUP(C292,'SẢN_PHẨM'!$A$2:$G$500,3,FALSE),""))</x:f>
      </x:c>
      <x:c r="F292" s="39"/>
      <x:c r="G292" s="44"/>
      <x:c r="H292" s="35" t="str">
        <x:f>IF(OR(F292="",G292=""),"",F292*G292)</x:f>
      </x:c>
      <x:c r="I292" s="36" t="str">
        <x:f>IF(A292="","",SUMIFS('CHI_TIẾT_GIAO_HÀNG'!$D$2:$D$500,'CHI_TIẾT_GIAO_HÀNG'!$C$2:$C$500,A292,'CHI_TIẾT_GIAO_HÀNG'!$E$2:$E$500,"ĐÃ GIAO"))</x:f>
      </x:c>
      <x:c r="J292" s="36" t="str">
        <x:f>IF(A292="","",MAX(0,F292-I292))</x:f>
      </x:c>
      <x:c r="K292" s="35" t="str">
        <x:f>IF(A292="","",H292-(F292*IFERROR(VLOOKUP(C292,'SẢN_PHẨM'!$A$2:$G$500,5,FALSE),0)))</x:f>
      </x:c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36" t="str">
        <x:f>IF(C293="","",IFERROR(VLOOKUP(C293,'SẢN_PHẨM'!$A$2:$G$500,2,FALSE),""))</x:f>
      </x:c>
      <x:c r="E293" s="36" t="str">
        <x:f>IF(C293="","",IFERROR(VLOOKUP(C293,'SẢN_PHẨM'!$A$2:$G$500,3,FALSE),""))</x:f>
      </x:c>
      <x:c r="F293" s="39"/>
      <x:c r="G293" s="44"/>
      <x:c r="H293" s="35" t="str">
        <x:f>IF(OR(F293="",G293=""),"",F293*G293)</x:f>
      </x:c>
      <x:c r="I293" s="36" t="str">
        <x:f>IF(A293="","",SUMIFS('CHI_TIẾT_GIAO_HÀNG'!$D$2:$D$500,'CHI_TIẾT_GIAO_HÀNG'!$C$2:$C$500,A293,'CHI_TIẾT_GIAO_HÀNG'!$E$2:$E$500,"ĐÃ GIAO"))</x:f>
      </x:c>
      <x:c r="J293" s="36" t="str">
        <x:f>IF(A293="","",MAX(0,F293-I293))</x:f>
      </x:c>
      <x:c r="K293" s="35" t="str">
        <x:f>IF(A293="","",H293-(F293*IFERROR(VLOOKUP(C293,'SẢN_PHẨM'!$A$2:$G$500,5,FALSE),0)))</x:f>
      </x:c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36" t="str">
        <x:f>IF(C294="","",IFERROR(VLOOKUP(C294,'SẢN_PHẨM'!$A$2:$G$500,2,FALSE),""))</x:f>
      </x:c>
      <x:c r="E294" s="36" t="str">
        <x:f>IF(C294="","",IFERROR(VLOOKUP(C294,'SẢN_PHẨM'!$A$2:$G$500,3,FALSE),""))</x:f>
      </x:c>
      <x:c r="F294" s="39"/>
      <x:c r="G294" s="44"/>
      <x:c r="H294" s="35" t="str">
        <x:f>IF(OR(F294="",G294=""),"",F294*G294)</x:f>
      </x:c>
      <x:c r="I294" s="36" t="str">
        <x:f>IF(A294="","",SUMIFS('CHI_TIẾT_GIAO_HÀNG'!$D$2:$D$500,'CHI_TIẾT_GIAO_HÀNG'!$C$2:$C$500,A294,'CHI_TIẾT_GIAO_HÀNG'!$E$2:$E$500,"ĐÃ GIAO"))</x:f>
      </x:c>
      <x:c r="J294" s="36" t="str">
        <x:f>IF(A294="","",MAX(0,F294-I294))</x:f>
      </x:c>
      <x:c r="K294" s="35" t="str">
        <x:f>IF(A294="","",H294-(F294*IFERROR(VLOOKUP(C294,'SẢN_PHẨM'!$A$2:$G$500,5,FALSE),0)))</x:f>
      </x:c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36" t="str">
        <x:f>IF(C295="","",IFERROR(VLOOKUP(C295,'SẢN_PHẨM'!$A$2:$G$500,2,FALSE),""))</x:f>
      </x:c>
      <x:c r="E295" s="36" t="str">
        <x:f>IF(C295="","",IFERROR(VLOOKUP(C295,'SẢN_PHẨM'!$A$2:$G$500,3,FALSE),""))</x:f>
      </x:c>
      <x:c r="F295" s="39"/>
      <x:c r="G295" s="44"/>
      <x:c r="H295" s="35" t="str">
        <x:f>IF(OR(F295="",G295=""),"",F295*G295)</x:f>
      </x:c>
      <x:c r="I295" s="36" t="str">
        <x:f>IF(A295="","",SUMIFS('CHI_TIẾT_GIAO_HÀNG'!$D$2:$D$500,'CHI_TIẾT_GIAO_HÀNG'!$C$2:$C$500,A295,'CHI_TIẾT_GIAO_HÀNG'!$E$2:$E$500,"ĐÃ GIAO"))</x:f>
      </x:c>
      <x:c r="J295" s="36" t="str">
        <x:f>IF(A295="","",MAX(0,F295-I295))</x:f>
      </x:c>
      <x:c r="K295" s="35" t="str">
        <x:f>IF(A295="","",H295-(F295*IFERROR(VLOOKUP(C295,'SẢN_PHẨM'!$A$2:$G$500,5,FALSE),0)))</x:f>
      </x:c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36" t="str">
        <x:f>IF(C296="","",IFERROR(VLOOKUP(C296,'SẢN_PHẨM'!$A$2:$G$500,2,FALSE),""))</x:f>
      </x:c>
      <x:c r="E296" s="36" t="str">
        <x:f>IF(C296="","",IFERROR(VLOOKUP(C296,'SẢN_PHẨM'!$A$2:$G$500,3,FALSE),""))</x:f>
      </x:c>
      <x:c r="F296" s="39"/>
      <x:c r="G296" s="44"/>
      <x:c r="H296" s="35" t="str">
        <x:f>IF(OR(F296="",G296=""),"",F296*G296)</x:f>
      </x:c>
      <x:c r="I296" s="36" t="str">
        <x:f>IF(A296="","",SUMIFS('CHI_TIẾT_GIAO_HÀNG'!$D$2:$D$500,'CHI_TIẾT_GIAO_HÀNG'!$C$2:$C$500,A296,'CHI_TIẾT_GIAO_HÀNG'!$E$2:$E$500,"ĐÃ GIAO"))</x:f>
      </x:c>
      <x:c r="J296" s="36" t="str">
        <x:f>IF(A296="","",MAX(0,F296-I296))</x:f>
      </x:c>
      <x:c r="K296" s="35" t="str">
        <x:f>IF(A296="","",H296-(F296*IFERROR(VLOOKUP(C296,'SẢN_PHẨM'!$A$2:$G$500,5,FALSE),0)))</x:f>
      </x:c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36" t="str">
        <x:f>IF(C297="","",IFERROR(VLOOKUP(C297,'SẢN_PHẨM'!$A$2:$G$500,2,FALSE),""))</x:f>
      </x:c>
      <x:c r="E297" s="36" t="str">
        <x:f>IF(C297="","",IFERROR(VLOOKUP(C297,'SẢN_PHẨM'!$A$2:$G$500,3,FALSE),""))</x:f>
      </x:c>
      <x:c r="F297" s="39"/>
      <x:c r="G297" s="44"/>
      <x:c r="H297" s="35" t="str">
        <x:f>IF(OR(F297="",G297=""),"",F297*G297)</x:f>
      </x:c>
      <x:c r="I297" s="36" t="str">
        <x:f>IF(A297="","",SUMIFS('CHI_TIẾT_GIAO_HÀNG'!$D$2:$D$500,'CHI_TIẾT_GIAO_HÀNG'!$C$2:$C$500,A297,'CHI_TIẾT_GIAO_HÀNG'!$E$2:$E$500,"ĐÃ GIAO"))</x:f>
      </x:c>
      <x:c r="J297" s="36" t="str">
        <x:f>IF(A297="","",MAX(0,F297-I297))</x:f>
      </x:c>
      <x:c r="K297" s="35" t="str">
        <x:f>IF(A297="","",H297-(F297*IFERROR(VLOOKUP(C297,'SẢN_PHẨM'!$A$2:$G$500,5,FALSE),0)))</x:f>
      </x:c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36" t="str">
        <x:f>IF(C298="","",IFERROR(VLOOKUP(C298,'SẢN_PHẨM'!$A$2:$G$500,2,FALSE),""))</x:f>
      </x:c>
      <x:c r="E298" s="36" t="str">
        <x:f>IF(C298="","",IFERROR(VLOOKUP(C298,'SẢN_PHẨM'!$A$2:$G$500,3,FALSE),""))</x:f>
      </x:c>
      <x:c r="F298" s="39"/>
      <x:c r="G298" s="44"/>
      <x:c r="H298" s="35" t="str">
        <x:f>IF(OR(F298="",G298=""),"",F298*G298)</x:f>
      </x:c>
      <x:c r="I298" s="36" t="str">
        <x:f>IF(A298="","",SUMIFS('CHI_TIẾT_GIAO_HÀNG'!$D$2:$D$500,'CHI_TIẾT_GIAO_HÀNG'!$C$2:$C$500,A298,'CHI_TIẾT_GIAO_HÀNG'!$E$2:$E$500,"ĐÃ GIAO"))</x:f>
      </x:c>
      <x:c r="J298" s="36" t="str">
        <x:f>IF(A298="","",MAX(0,F298-I298))</x:f>
      </x:c>
      <x:c r="K298" s="35" t="str">
        <x:f>IF(A298="","",H298-(F298*IFERROR(VLOOKUP(C298,'SẢN_PHẨM'!$A$2:$G$500,5,FALSE),0)))</x:f>
      </x:c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36" t="str">
        <x:f>IF(C299="","",IFERROR(VLOOKUP(C299,'SẢN_PHẨM'!$A$2:$G$500,2,FALSE),""))</x:f>
      </x:c>
      <x:c r="E299" s="36" t="str">
        <x:f>IF(C299="","",IFERROR(VLOOKUP(C299,'SẢN_PHẨM'!$A$2:$G$500,3,FALSE),""))</x:f>
      </x:c>
      <x:c r="F299" s="39"/>
      <x:c r="G299" s="44"/>
      <x:c r="H299" s="35" t="str">
        <x:f>IF(OR(F299="",G299=""),"",F299*G299)</x:f>
      </x:c>
      <x:c r="I299" s="36" t="str">
        <x:f>IF(A299="","",SUMIFS('CHI_TIẾT_GIAO_HÀNG'!$D$2:$D$500,'CHI_TIẾT_GIAO_HÀNG'!$C$2:$C$500,A299,'CHI_TIẾT_GIAO_HÀNG'!$E$2:$E$500,"ĐÃ GIAO"))</x:f>
      </x:c>
      <x:c r="J299" s="36" t="str">
        <x:f>IF(A299="","",MAX(0,F299-I299))</x:f>
      </x:c>
      <x:c r="K299" s="35" t="str">
        <x:f>IF(A299="","",H299-(F299*IFERROR(VLOOKUP(C299,'SẢN_PHẨM'!$A$2:$G$500,5,FALSE),0)))</x:f>
      </x:c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36" t="str">
        <x:f>IF(C300="","",IFERROR(VLOOKUP(C300,'SẢN_PHẨM'!$A$2:$G$500,2,FALSE),""))</x:f>
      </x:c>
      <x:c r="E300" s="36" t="str">
        <x:f>IF(C300="","",IFERROR(VLOOKUP(C300,'SẢN_PHẨM'!$A$2:$G$500,3,FALSE),""))</x:f>
      </x:c>
      <x:c r="F300" s="39"/>
      <x:c r="G300" s="44"/>
      <x:c r="H300" s="35" t="str">
        <x:f>IF(OR(F300="",G300=""),"",F300*G300)</x:f>
      </x:c>
      <x:c r="I300" s="36" t="str">
        <x:f>IF(A300="","",SUMIFS('CHI_TIẾT_GIAO_HÀNG'!$D$2:$D$500,'CHI_TIẾT_GIAO_HÀNG'!$C$2:$C$500,A300,'CHI_TIẾT_GIAO_HÀNG'!$E$2:$E$500,"ĐÃ GIAO"))</x:f>
      </x:c>
      <x:c r="J300" s="36" t="str">
        <x:f>IF(A300="","",MAX(0,F300-I300))</x:f>
      </x:c>
      <x:c r="K300" s="35" t="str">
        <x:f>IF(A300="","",H300-(F300*IFERROR(VLOOKUP(C300,'SẢN_PHẨM'!$A$2:$G$500,5,FALSE),0)))</x:f>
      </x:c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36" t="str">
        <x:f>IF(C301="","",IFERROR(VLOOKUP(C301,'SẢN_PHẨM'!$A$2:$G$500,2,FALSE),""))</x:f>
      </x:c>
      <x:c r="E301" s="36" t="str">
        <x:f>IF(C301="","",IFERROR(VLOOKUP(C301,'SẢN_PHẨM'!$A$2:$G$500,3,FALSE),""))</x:f>
      </x:c>
      <x:c r="F301" s="39"/>
      <x:c r="G301" s="44"/>
      <x:c r="H301" s="35" t="str">
        <x:f>IF(OR(F301="",G301=""),"",F301*G301)</x:f>
      </x:c>
      <x:c r="I301" s="36" t="str">
        <x:f>IF(A301="","",SUMIFS('CHI_TIẾT_GIAO_HÀNG'!$D$2:$D$500,'CHI_TIẾT_GIAO_HÀNG'!$C$2:$C$500,A301,'CHI_TIẾT_GIAO_HÀNG'!$E$2:$E$500,"ĐÃ GIAO"))</x:f>
      </x:c>
      <x:c r="J301" s="36" t="str">
        <x:f>IF(A301="","",MAX(0,F301-I301))</x:f>
      </x:c>
      <x:c r="K301" s="35" t="str">
        <x:f>IF(A301="","",H301-(F301*IFERROR(VLOOKUP(C301,'SẢN_PHẨM'!$A$2:$G$500,5,FALSE),0)))</x:f>
      </x:c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36" t="str">
        <x:f>IF(C302="","",IFERROR(VLOOKUP(C302,'SẢN_PHẨM'!$A$2:$G$500,2,FALSE),""))</x:f>
      </x:c>
      <x:c r="E302" s="36" t="str">
        <x:f>IF(C302="","",IFERROR(VLOOKUP(C302,'SẢN_PHẨM'!$A$2:$G$500,3,FALSE),""))</x:f>
      </x:c>
      <x:c r="F302" s="39"/>
      <x:c r="G302" s="44"/>
      <x:c r="H302" s="35" t="str">
        <x:f>IF(OR(F302="",G302=""),"",F302*G302)</x:f>
      </x:c>
      <x:c r="I302" s="36" t="str">
        <x:f>IF(A302="","",SUMIFS('CHI_TIẾT_GIAO_HÀNG'!$D$2:$D$500,'CHI_TIẾT_GIAO_HÀNG'!$C$2:$C$500,A302,'CHI_TIẾT_GIAO_HÀNG'!$E$2:$E$500,"ĐÃ GIAO"))</x:f>
      </x:c>
      <x:c r="J302" s="36" t="str">
        <x:f>IF(A302="","",MAX(0,F302-I302))</x:f>
      </x:c>
      <x:c r="K302" s="35" t="str">
        <x:f>IF(A302="","",H302-(F302*IFERROR(VLOOKUP(C302,'SẢN_PHẨM'!$A$2:$G$500,5,FALSE),0)))</x:f>
      </x:c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36" t="str">
        <x:f>IF(C303="","",IFERROR(VLOOKUP(C303,'SẢN_PHẨM'!$A$2:$G$500,2,FALSE),""))</x:f>
      </x:c>
      <x:c r="E303" s="36" t="str">
        <x:f>IF(C303="","",IFERROR(VLOOKUP(C303,'SẢN_PHẨM'!$A$2:$G$500,3,FALSE),""))</x:f>
      </x:c>
      <x:c r="F303" s="39"/>
      <x:c r="G303" s="44"/>
      <x:c r="H303" s="35" t="str">
        <x:f>IF(OR(F303="",G303=""),"",F303*G303)</x:f>
      </x:c>
      <x:c r="I303" s="36" t="str">
        <x:f>IF(A303="","",SUMIFS('CHI_TIẾT_GIAO_HÀNG'!$D$2:$D$500,'CHI_TIẾT_GIAO_HÀNG'!$C$2:$C$500,A303,'CHI_TIẾT_GIAO_HÀNG'!$E$2:$E$500,"ĐÃ GIAO"))</x:f>
      </x:c>
      <x:c r="J303" s="36" t="str">
        <x:f>IF(A303="","",MAX(0,F303-I303))</x:f>
      </x:c>
      <x:c r="K303" s="35" t="str">
        <x:f>IF(A303="","",H303-(F303*IFERROR(VLOOKUP(C303,'SẢN_PHẨM'!$A$2:$G$500,5,FALSE),0)))</x:f>
      </x:c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36" t="str">
        <x:f>IF(C304="","",IFERROR(VLOOKUP(C304,'SẢN_PHẨM'!$A$2:$G$500,2,FALSE),""))</x:f>
      </x:c>
      <x:c r="E304" s="36" t="str">
        <x:f>IF(C304="","",IFERROR(VLOOKUP(C304,'SẢN_PHẨM'!$A$2:$G$500,3,FALSE),""))</x:f>
      </x:c>
      <x:c r="F304" s="39"/>
      <x:c r="G304" s="44"/>
      <x:c r="H304" s="35" t="str">
        <x:f>IF(OR(F304="",G304=""),"",F304*G304)</x:f>
      </x:c>
      <x:c r="I304" s="36" t="str">
        <x:f>IF(A304="","",SUMIFS('CHI_TIẾT_GIAO_HÀNG'!$D$2:$D$500,'CHI_TIẾT_GIAO_HÀNG'!$C$2:$C$500,A304,'CHI_TIẾT_GIAO_HÀNG'!$E$2:$E$500,"ĐÃ GIAO"))</x:f>
      </x:c>
      <x:c r="J304" s="36" t="str">
        <x:f>IF(A304="","",MAX(0,F304-I304))</x:f>
      </x:c>
      <x:c r="K304" s="35" t="str">
        <x:f>IF(A304="","",H304-(F304*IFERROR(VLOOKUP(C304,'SẢN_PHẨM'!$A$2:$G$500,5,FALSE),0)))</x:f>
      </x:c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36" t="str">
        <x:f>IF(C305="","",IFERROR(VLOOKUP(C305,'SẢN_PHẨM'!$A$2:$G$500,2,FALSE),""))</x:f>
      </x:c>
      <x:c r="E305" s="36" t="str">
        <x:f>IF(C305="","",IFERROR(VLOOKUP(C305,'SẢN_PHẨM'!$A$2:$G$500,3,FALSE),""))</x:f>
      </x:c>
      <x:c r="F305" s="39"/>
      <x:c r="G305" s="44"/>
      <x:c r="H305" s="35" t="str">
        <x:f>IF(OR(F305="",G305=""),"",F305*G305)</x:f>
      </x:c>
      <x:c r="I305" s="36" t="str">
        <x:f>IF(A305="","",SUMIFS('CHI_TIẾT_GIAO_HÀNG'!$D$2:$D$500,'CHI_TIẾT_GIAO_HÀNG'!$C$2:$C$500,A305,'CHI_TIẾT_GIAO_HÀNG'!$E$2:$E$500,"ĐÃ GIAO"))</x:f>
      </x:c>
      <x:c r="J305" s="36" t="str">
        <x:f>IF(A305="","",MAX(0,F305-I305))</x:f>
      </x:c>
      <x:c r="K305" s="35" t="str">
        <x:f>IF(A305="","",H305-(F305*IFERROR(VLOOKUP(C305,'SẢN_PHẨM'!$A$2:$G$500,5,FALSE),0)))</x:f>
      </x:c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36" t="str">
        <x:f>IF(C306="","",IFERROR(VLOOKUP(C306,'SẢN_PHẨM'!$A$2:$G$500,2,FALSE),""))</x:f>
      </x:c>
      <x:c r="E306" s="36" t="str">
        <x:f>IF(C306="","",IFERROR(VLOOKUP(C306,'SẢN_PHẨM'!$A$2:$G$500,3,FALSE),""))</x:f>
      </x:c>
      <x:c r="F306" s="39"/>
      <x:c r="G306" s="44"/>
      <x:c r="H306" s="35" t="str">
        <x:f>IF(OR(F306="",G306=""),"",F306*G306)</x:f>
      </x:c>
      <x:c r="I306" s="36" t="str">
        <x:f>IF(A306="","",SUMIFS('CHI_TIẾT_GIAO_HÀNG'!$D$2:$D$500,'CHI_TIẾT_GIAO_HÀNG'!$C$2:$C$500,A306,'CHI_TIẾT_GIAO_HÀNG'!$E$2:$E$500,"ĐÃ GIAO"))</x:f>
      </x:c>
      <x:c r="J306" s="36" t="str">
        <x:f>IF(A306="","",MAX(0,F306-I306))</x:f>
      </x:c>
      <x:c r="K306" s="35" t="str">
        <x:f>IF(A306="","",H306-(F306*IFERROR(VLOOKUP(C306,'SẢN_PHẨM'!$A$2:$G$500,5,FALSE),0)))</x:f>
      </x:c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36" t="str">
        <x:f>IF(C307="","",IFERROR(VLOOKUP(C307,'SẢN_PHẨM'!$A$2:$G$500,2,FALSE),""))</x:f>
      </x:c>
      <x:c r="E307" s="36" t="str">
        <x:f>IF(C307="","",IFERROR(VLOOKUP(C307,'SẢN_PHẨM'!$A$2:$G$500,3,FALSE),""))</x:f>
      </x:c>
      <x:c r="F307" s="39"/>
      <x:c r="G307" s="44"/>
      <x:c r="H307" s="35" t="str">
        <x:f>IF(OR(F307="",G307=""),"",F307*G307)</x:f>
      </x:c>
      <x:c r="I307" s="36" t="str">
        <x:f>IF(A307="","",SUMIFS('CHI_TIẾT_GIAO_HÀNG'!$D$2:$D$500,'CHI_TIẾT_GIAO_HÀNG'!$C$2:$C$500,A307,'CHI_TIẾT_GIAO_HÀNG'!$E$2:$E$500,"ĐÃ GIAO"))</x:f>
      </x:c>
      <x:c r="J307" s="36" t="str">
        <x:f>IF(A307="","",MAX(0,F307-I307))</x:f>
      </x:c>
      <x:c r="K307" s="35" t="str">
        <x:f>IF(A307="","",H307-(F307*IFERROR(VLOOKUP(C307,'SẢN_PHẨM'!$A$2:$G$500,5,FALSE),0)))</x:f>
      </x:c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36" t="str">
        <x:f>IF(C308="","",IFERROR(VLOOKUP(C308,'SẢN_PHẨM'!$A$2:$G$500,2,FALSE),""))</x:f>
      </x:c>
      <x:c r="E308" s="36" t="str">
        <x:f>IF(C308="","",IFERROR(VLOOKUP(C308,'SẢN_PHẨM'!$A$2:$G$500,3,FALSE),""))</x:f>
      </x:c>
      <x:c r="F308" s="39"/>
      <x:c r="G308" s="44"/>
      <x:c r="H308" s="35" t="str">
        <x:f>IF(OR(F308="",G308=""),"",F308*G308)</x:f>
      </x:c>
      <x:c r="I308" s="36" t="str">
        <x:f>IF(A308="","",SUMIFS('CHI_TIẾT_GIAO_HÀNG'!$D$2:$D$500,'CHI_TIẾT_GIAO_HÀNG'!$C$2:$C$500,A308,'CHI_TIẾT_GIAO_HÀNG'!$E$2:$E$500,"ĐÃ GIAO"))</x:f>
      </x:c>
      <x:c r="J308" s="36" t="str">
        <x:f>IF(A308="","",MAX(0,F308-I308))</x:f>
      </x:c>
      <x:c r="K308" s="35" t="str">
        <x:f>IF(A308="","",H308-(F308*IFERROR(VLOOKUP(C308,'SẢN_PHẨM'!$A$2:$G$500,5,FALSE),0)))</x:f>
      </x:c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36" t="str">
        <x:f>IF(C309="","",IFERROR(VLOOKUP(C309,'SẢN_PHẨM'!$A$2:$G$500,2,FALSE),""))</x:f>
      </x:c>
      <x:c r="E309" s="36" t="str">
        <x:f>IF(C309="","",IFERROR(VLOOKUP(C309,'SẢN_PHẨM'!$A$2:$G$500,3,FALSE),""))</x:f>
      </x:c>
      <x:c r="F309" s="39"/>
      <x:c r="G309" s="44"/>
      <x:c r="H309" s="35" t="str">
        <x:f>IF(OR(F309="",G309=""),"",F309*G309)</x:f>
      </x:c>
      <x:c r="I309" s="36" t="str">
        <x:f>IF(A309="","",SUMIFS('CHI_TIẾT_GIAO_HÀNG'!$D$2:$D$500,'CHI_TIẾT_GIAO_HÀNG'!$C$2:$C$500,A309,'CHI_TIẾT_GIAO_HÀNG'!$E$2:$E$500,"ĐÃ GIAO"))</x:f>
      </x:c>
      <x:c r="J309" s="36" t="str">
        <x:f>IF(A309="","",MAX(0,F309-I309))</x:f>
      </x:c>
      <x:c r="K309" s="35" t="str">
        <x:f>IF(A309="","",H309-(F309*IFERROR(VLOOKUP(C309,'SẢN_PHẨM'!$A$2:$G$500,5,FALSE),0)))</x:f>
      </x:c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36" t="str">
        <x:f>IF(C310="","",IFERROR(VLOOKUP(C310,'SẢN_PHẨM'!$A$2:$G$500,2,FALSE),""))</x:f>
      </x:c>
      <x:c r="E310" s="36" t="str">
        <x:f>IF(C310="","",IFERROR(VLOOKUP(C310,'SẢN_PHẨM'!$A$2:$G$500,3,FALSE),""))</x:f>
      </x:c>
      <x:c r="F310" s="39"/>
      <x:c r="G310" s="44"/>
      <x:c r="H310" s="35" t="str">
        <x:f>IF(OR(F310="",G310=""),"",F310*G310)</x:f>
      </x:c>
      <x:c r="I310" s="36" t="str">
        <x:f>IF(A310="","",SUMIFS('CHI_TIẾT_GIAO_HÀNG'!$D$2:$D$500,'CHI_TIẾT_GIAO_HÀNG'!$C$2:$C$500,A310,'CHI_TIẾT_GIAO_HÀNG'!$E$2:$E$500,"ĐÃ GIAO"))</x:f>
      </x:c>
      <x:c r="J310" s="36" t="str">
        <x:f>IF(A310="","",MAX(0,F310-I310))</x:f>
      </x:c>
      <x:c r="K310" s="35" t="str">
        <x:f>IF(A310="","",H310-(F310*IFERROR(VLOOKUP(C310,'SẢN_PHẨM'!$A$2:$G$500,5,FALSE),0)))</x:f>
      </x:c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36" t="str">
        <x:f>IF(C311="","",IFERROR(VLOOKUP(C311,'SẢN_PHẨM'!$A$2:$G$500,2,FALSE),""))</x:f>
      </x:c>
      <x:c r="E311" s="36" t="str">
        <x:f>IF(C311="","",IFERROR(VLOOKUP(C311,'SẢN_PHẨM'!$A$2:$G$500,3,FALSE),""))</x:f>
      </x:c>
      <x:c r="F311" s="39"/>
      <x:c r="G311" s="44"/>
      <x:c r="H311" s="35" t="str">
        <x:f>IF(OR(F311="",G311=""),"",F311*G311)</x:f>
      </x:c>
      <x:c r="I311" s="36" t="str">
        <x:f>IF(A311="","",SUMIFS('CHI_TIẾT_GIAO_HÀNG'!$D$2:$D$500,'CHI_TIẾT_GIAO_HÀNG'!$C$2:$C$500,A311,'CHI_TIẾT_GIAO_HÀNG'!$E$2:$E$500,"ĐÃ GIAO"))</x:f>
      </x:c>
      <x:c r="J311" s="36" t="str">
        <x:f>IF(A311="","",MAX(0,F311-I311))</x:f>
      </x:c>
      <x:c r="K311" s="35" t="str">
        <x:f>IF(A311="","",H311-(F311*IFERROR(VLOOKUP(C311,'SẢN_PHẨM'!$A$2:$G$500,5,FALSE),0)))</x:f>
      </x:c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36" t="str">
        <x:f>IF(C312="","",IFERROR(VLOOKUP(C312,'SẢN_PHẨM'!$A$2:$G$500,2,FALSE),""))</x:f>
      </x:c>
      <x:c r="E312" s="36" t="str">
        <x:f>IF(C312="","",IFERROR(VLOOKUP(C312,'SẢN_PHẨM'!$A$2:$G$500,3,FALSE),""))</x:f>
      </x:c>
      <x:c r="F312" s="39"/>
      <x:c r="G312" s="44"/>
      <x:c r="H312" s="35" t="str">
        <x:f>IF(OR(F312="",G312=""),"",F312*G312)</x:f>
      </x:c>
      <x:c r="I312" s="36" t="str">
        <x:f>IF(A312="","",SUMIFS('CHI_TIẾT_GIAO_HÀNG'!$D$2:$D$500,'CHI_TIẾT_GIAO_HÀNG'!$C$2:$C$500,A312,'CHI_TIẾT_GIAO_HÀNG'!$E$2:$E$500,"ĐÃ GIAO"))</x:f>
      </x:c>
      <x:c r="J312" s="36" t="str">
        <x:f>IF(A312="","",MAX(0,F312-I312))</x:f>
      </x:c>
      <x:c r="K312" s="35" t="str">
        <x:f>IF(A312="","",H312-(F312*IFERROR(VLOOKUP(C312,'SẢN_PHẨM'!$A$2:$G$500,5,FALSE),0)))</x:f>
      </x:c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36" t="str">
        <x:f>IF(C313="","",IFERROR(VLOOKUP(C313,'SẢN_PHẨM'!$A$2:$G$500,2,FALSE),""))</x:f>
      </x:c>
      <x:c r="E313" s="36" t="str">
        <x:f>IF(C313="","",IFERROR(VLOOKUP(C313,'SẢN_PHẨM'!$A$2:$G$500,3,FALSE),""))</x:f>
      </x:c>
      <x:c r="F313" s="39"/>
      <x:c r="G313" s="44"/>
      <x:c r="H313" s="35" t="str">
        <x:f>IF(OR(F313="",G313=""),"",F313*G313)</x:f>
      </x:c>
      <x:c r="I313" s="36" t="str">
        <x:f>IF(A313="","",SUMIFS('CHI_TIẾT_GIAO_HÀNG'!$D$2:$D$500,'CHI_TIẾT_GIAO_HÀNG'!$C$2:$C$500,A313,'CHI_TIẾT_GIAO_HÀNG'!$E$2:$E$500,"ĐÃ GIAO"))</x:f>
      </x:c>
      <x:c r="J313" s="36" t="str">
        <x:f>IF(A313="","",MAX(0,F313-I313))</x:f>
      </x:c>
      <x:c r="K313" s="35" t="str">
        <x:f>IF(A313="","",H313-(F313*IFERROR(VLOOKUP(C313,'SẢN_PHẨM'!$A$2:$G$500,5,FALSE),0)))</x:f>
      </x:c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36" t="str">
        <x:f>IF(C314="","",IFERROR(VLOOKUP(C314,'SẢN_PHẨM'!$A$2:$G$500,2,FALSE),""))</x:f>
      </x:c>
      <x:c r="E314" s="36" t="str">
        <x:f>IF(C314="","",IFERROR(VLOOKUP(C314,'SẢN_PHẨM'!$A$2:$G$500,3,FALSE),""))</x:f>
      </x:c>
      <x:c r="F314" s="39"/>
      <x:c r="G314" s="44"/>
      <x:c r="H314" s="35" t="str">
        <x:f>IF(OR(F314="",G314=""),"",F314*G314)</x:f>
      </x:c>
      <x:c r="I314" s="36" t="str">
        <x:f>IF(A314="","",SUMIFS('CHI_TIẾT_GIAO_HÀNG'!$D$2:$D$500,'CHI_TIẾT_GIAO_HÀNG'!$C$2:$C$500,A314,'CHI_TIẾT_GIAO_HÀNG'!$E$2:$E$500,"ĐÃ GIAO"))</x:f>
      </x:c>
      <x:c r="J314" s="36" t="str">
        <x:f>IF(A314="","",MAX(0,F314-I314))</x:f>
      </x:c>
      <x:c r="K314" s="35" t="str">
        <x:f>IF(A314="","",H314-(F314*IFERROR(VLOOKUP(C314,'SẢN_PHẨM'!$A$2:$G$500,5,FALSE),0)))</x:f>
      </x:c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36" t="str">
        <x:f>IF(C315="","",IFERROR(VLOOKUP(C315,'SẢN_PHẨM'!$A$2:$G$500,2,FALSE),""))</x:f>
      </x:c>
      <x:c r="E315" s="36" t="str">
        <x:f>IF(C315="","",IFERROR(VLOOKUP(C315,'SẢN_PHẨM'!$A$2:$G$500,3,FALSE),""))</x:f>
      </x:c>
      <x:c r="F315" s="39"/>
      <x:c r="G315" s="44"/>
      <x:c r="H315" s="35" t="str">
        <x:f>IF(OR(F315="",G315=""),"",F315*G315)</x:f>
      </x:c>
      <x:c r="I315" s="36" t="str">
        <x:f>IF(A315="","",SUMIFS('CHI_TIẾT_GIAO_HÀNG'!$D$2:$D$500,'CHI_TIẾT_GIAO_HÀNG'!$C$2:$C$500,A315,'CHI_TIẾT_GIAO_HÀNG'!$E$2:$E$500,"ĐÃ GIAO"))</x:f>
      </x:c>
      <x:c r="J315" s="36" t="str">
        <x:f>IF(A315="","",MAX(0,F315-I315))</x:f>
      </x:c>
      <x:c r="K315" s="35" t="str">
        <x:f>IF(A315="","",H315-(F315*IFERROR(VLOOKUP(C315,'SẢN_PHẨM'!$A$2:$G$500,5,FALSE),0)))</x:f>
      </x:c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36" t="str">
        <x:f>IF(C316="","",IFERROR(VLOOKUP(C316,'SẢN_PHẨM'!$A$2:$G$500,2,FALSE),""))</x:f>
      </x:c>
      <x:c r="E316" s="36" t="str">
        <x:f>IF(C316="","",IFERROR(VLOOKUP(C316,'SẢN_PHẨM'!$A$2:$G$500,3,FALSE),""))</x:f>
      </x:c>
      <x:c r="F316" s="39"/>
      <x:c r="G316" s="44"/>
      <x:c r="H316" s="35" t="str">
        <x:f>IF(OR(F316="",G316=""),"",F316*G316)</x:f>
      </x:c>
      <x:c r="I316" s="36" t="str">
        <x:f>IF(A316="","",SUMIFS('CHI_TIẾT_GIAO_HÀNG'!$D$2:$D$500,'CHI_TIẾT_GIAO_HÀNG'!$C$2:$C$500,A316,'CHI_TIẾT_GIAO_HÀNG'!$E$2:$E$500,"ĐÃ GIAO"))</x:f>
      </x:c>
      <x:c r="J316" s="36" t="str">
        <x:f>IF(A316="","",MAX(0,F316-I316))</x:f>
      </x:c>
      <x:c r="K316" s="35" t="str">
        <x:f>IF(A316="","",H316-(F316*IFERROR(VLOOKUP(C316,'SẢN_PHẨM'!$A$2:$G$500,5,FALSE),0)))</x:f>
      </x:c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36" t="str">
        <x:f>IF(C317="","",IFERROR(VLOOKUP(C317,'SẢN_PHẨM'!$A$2:$G$500,2,FALSE),""))</x:f>
      </x:c>
      <x:c r="E317" s="36" t="str">
        <x:f>IF(C317="","",IFERROR(VLOOKUP(C317,'SẢN_PHẨM'!$A$2:$G$500,3,FALSE),""))</x:f>
      </x:c>
      <x:c r="F317" s="39"/>
      <x:c r="G317" s="44"/>
      <x:c r="H317" s="35" t="str">
        <x:f>IF(OR(F317="",G317=""),"",F317*G317)</x:f>
      </x:c>
      <x:c r="I317" s="36" t="str">
        <x:f>IF(A317="","",SUMIFS('CHI_TIẾT_GIAO_HÀNG'!$D$2:$D$500,'CHI_TIẾT_GIAO_HÀNG'!$C$2:$C$500,A317,'CHI_TIẾT_GIAO_HÀNG'!$E$2:$E$500,"ĐÃ GIAO"))</x:f>
      </x:c>
      <x:c r="J317" s="36" t="str">
        <x:f>IF(A317="","",MAX(0,F317-I317))</x:f>
      </x:c>
      <x:c r="K317" s="35" t="str">
        <x:f>IF(A317="","",H317-(F317*IFERROR(VLOOKUP(C317,'SẢN_PHẨM'!$A$2:$G$500,5,FALSE),0)))</x:f>
      </x:c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36" t="str">
        <x:f>IF(C318="","",IFERROR(VLOOKUP(C318,'SẢN_PHẨM'!$A$2:$G$500,2,FALSE),""))</x:f>
      </x:c>
      <x:c r="E318" s="36" t="str">
        <x:f>IF(C318="","",IFERROR(VLOOKUP(C318,'SẢN_PHẨM'!$A$2:$G$500,3,FALSE),""))</x:f>
      </x:c>
      <x:c r="F318" s="39"/>
      <x:c r="G318" s="44"/>
      <x:c r="H318" s="35" t="str">
        <x:f>IF(OR(F318="",G318=""),"",F318*G318)</x:f>
      </x:c>
      <x:c r="I318" s="36" t="str">
        <x:f>IF(A318="","",SUMIFS('CHI_TIẾT_GIAO_HÀNG'!$D$2:$D$500,'CHI_TIẾT_GIAO_HÀNG'!$C$2:$C$500,A318,'CHI_TIẾT_GIAO_HÀNG'!$E$2:$E$500,"ĐÃ GIAO"))</x:f>
      </x:c>
      <x:c r="J318" s="36" t="str">
        <x:f>IF(A318="","",MAX(0,F318-I318))</x:f>
      </x:c>
      <x:c r="K318" s="35" t="str">
        <x:f>IF(A318="","",H318-(F318*IFERROR(VLOOKUP(C318,'SẢN_PHẨM'!$A$2:$G$500,5,FALSE),0)))</x:f>
      </x:c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36" t="str">
        <x:f>IF(C319="","",IFERROR(VLOOKUP(C319,'SẢN_PHẨM'!$A$2:$G$500,2,FALSE),""))</x:f>
      </x:c>
      <x:c r="E319" s="36" t="str">
        <x:f>IF(C319="","",IFERROR(VLOOKUP(C319,'SẢN_PHẨM'!$A$2:$G$500,3,FALSE),""))</x:f>
      </x:c>
      <x:c r="F319" s="39"/>
      <x:c r="G319" s="44"/>
      <x:c r="H319" s="35" t="str">
        <x:f>IF(OR(F319="",G319=""),"",F319*G319)</x:f>
      </x:c>
      <x:c r="I319" s="36" t="str">
        <x:f>IF(A319="","",SUMIFS('CHI_TIẾT_GIAO_HÀNG'!$D$2:$D$500,'CHI_TIẾT_GIAO_HÀNG'!$C$2:$C$500,A319,'CHI_TIẾT_GIAO_HÀNG'!$E$2:$E$500,"ĐÃ GIAO"))</x:f>
      </x:c>
      <x:c r="J319" s="36" t="str">
        <x:f>IF(A319="","",MAX(0,F319-I319))</x:f>
      </x:c>
      <x:c r="K319" s="35" t="str">
        <x:f>IF(A319="","",H319-(F319*IFERROR(VLOOKUP(C319,'SẢN_PHẨM'!$A$2:$G$500,5,FALSE),0)))</x:f>
      </x:c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36" t="str">
        <x:f>IF(C320="","",IFERROR(VLOOKUP(C320,'SẢN_PHẨM'!$A$2:$G$500,2,FALSE),""))</x:f>
      </x:c>
      <x:c r="E320" s="36" t="str">
        <x:f>IF(C320="","",IFERROR(VLOOKUP(C320,'SẢN_PHẨM'!$A$2:$G$500,3,FALSE),""))</x:f>
      </x:c>
      <x:c r="F320" s="39"/>
      <x:c r="G320" s="44"/>
      <x:c r="H320" s="35" t="str">
        <x:f>IF(OR(F320="",G320=""),"",F320*G320)</x:f>
      </x:c>
      <x:c r="I320" s="36" t="str">
        <x:f>IF(A320="","",SUMIFS('CHI_TIẾT_GIAO_HÀNG'!$D$2:$D$500,'CHI_TIẾT_GIAO_HÀNG'!$C$2:$C$500,A320,'CHI_TIẾT_GIAO_HÀNG'!$E$2:$E$500,"ĐÃ GIAO"))</x:f>
      </x:c>
      <x:c r="J320" s="36" t="str">
        <x:f>IF(A320="","",MAX(0,F320-I320))</x:f>
      </x:c>
      <x:c r="K320" s="35" t="str">
        <x:f>IF(A320="","",H320-(F320*IFERROR(VLOOKUP(C320,'SẢN_PHẨM'!$A$2:$G$500,5,FALSE),0)))</x:f>
      </x:c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36" t="str">
        <x:f>IF(C321="","",IFERROR(VLOOKUP(C321,'SẢN_PHẨM'!$A$2:$G$500,2,FALSE),""))</x:f>
      </x:c>
      <x:c r="E321" s="36" t="str">
        <x:f>IF(C321="","",IFERROR(VLOOKUP(C321,'SẢN_PHẨM'!$A$2:$G$500,3,FALSE),""))</x:f>
      </x:c>
      <x:c r="F321" s="39"/>
      <x:c r="G321" s="44"/>
      <x:c r="H321" s="35" t="str">
        <x:f>IF(OR(F321="",G321=""),"",F321*G321)</x:f>
      </x:c>
      <x:c r="I321" s="36" t="str">
        <x:f>IF(A321="","",SUMIFS('CHI_TIẾT_GIAO_HÀNG'!$D$2:$D$500,'CHI_TIẾT_GIAO_HÀNG'!$C$2:$C$500,A321,'CHI_TIẾT_GIAO_HÀNG'!$E$2:$E$500,"ĐÃ GIAO"))</x:f>
      </x:c>
      <x:c r="J321" s="36" t="str">
        <x:f>IF(A321="","",MAX(0,F321-I321))</x:f>
      </x:c>
      <x:c r="K321" s="35" t="str">
        <x:f>IF(A321="","",H321-(F321*IFERROR(VLOOKUP(C321,'SẢN_PHẨM'!$A$2:$G$500,5,FALSE),0)))</x:f>
      </x:c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36" t="str">
        <x:f>IF(C322="","",IFERROR(VLOOKUP(C322,'SẢN_PHẨM'!$A$2:$G$500,2,FALSE),""))</x:f>
      </x:c>
      <x:c r="E322" s="36" t="str">
        <x:f>IF(C322="","",IFERROR(VLOOKUP(C322,'SẢN_PHẨM'!$A$2:$G$500,3,FALSE),""))</x:f>
      </x:c>
      <x:c r="F322" s="39"/>
      <x:c r="G322" s="44"/>
      <x:c r="H322" s="35" t="str">
        <x:f>IF(OR(F322="",G322=""),"",F322*G322)</x:f>
      </x:c>
      <x:c r="I322" s="36" t="str">
        <x:f>IF(A322="","",SUMIFS('CHI_TIẾT_GIAO_HÀNG'!$D$2:$D$500,'CHI_TIẾT_GIAO_HÀNG'!$C$2:$C$500,A322,'CHI_TIẾT_GIAO_HÀNG'!$E$2:$E$500,"ĐÃ GIAO"))</x:f>
      </x:c>
      <x:c r="J322" s="36" t="str">
        <x:f>IF(A322="","",MAX(0,F322-I322))</x:f>
      </x:c>
      <x:c r="K322" s="35" t="str">
        <x:f>IF(A322="","",H322-(F322*IFERROR(VLOOKUP(C322,'SẢN_PHẨM'!$A$2:$G$500,5,FALSE),0)))</x:f>
      </x:c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36" t="str">
        <x:f>IF(C323="","",IFERROR(VLOOKUP(C323,'SẢN_PHẨM'!$A$2:$G$500,2,FALSE),""))</x:f>
      </x:c>
      <x:c r="E323" s="36" t="str">
        <x:f>IF(C323="","",IFERROR(VLOOKUP(C323,'SẢN_PHẨM'!$A$2:$G$500,3,FALSE),""))</x:f>
      </x:c>
      <x:c r="F323" s="39"/>
      <x:c r="G323" s="44"/>
      <x:c r="H323" s="35" t="str">
        <x:f>IF(OR(F323="",G323=""),"",F323*G323)</x:f>
      </x:c>
      <x:c r="I323" s="36" t="str">
        <x:f>IF(A323="","",SUMIFS('CHI_TIẾT_GIAO_HÀNG'!$D$2:$D$500,'CHI_TIẾT_GIAO_HÀNG'!$C$2:$C$500,A323,'CHI_TIẾT_GIAO_HÀNG'!$E$2:$E$500,"ĐÃ GIAO"))</x:f>
      </x:c>
      <x:c r="J323" s="36" t="str">
        <x:f>IF(A323="","",MAX(0,F323-I323))</x:f>
      </x:c>
      <x:c r="K323" s="35" t="str">
        <x:f>IF(A323="","",H323-(F323*IFERROR(VLOOKUP(C323,'SẢN_PHẨM'!$A$2:$G$500,5,FALSE),0)))</x:f>
      </x:c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36" t="str">
        <x:f>IF(C324="","",IFERROR(VLOOKUP(C324,'SẢN_PHẨM'!$A$2:$G$500,2,FALSE),""))</x:f>
      </x:c>
      <x:c r="E324" s="36" t="str">
        <x:f>IF(C324="","",IFERROR(VLOOKUP(C324,'SẢN_PHẨM'!$A$2:$G$500,3,FALSE),""))</x:f>
      </x:c>
      <x:c r="F324" s="39"/>
      <x:c r="G324" s="44"/>
      <x:c r="H324" s="35" t="str">
        <x:f>IF(OR(F324="",G324=""),"",F324*G324)</x:f>
      </x:c>
      <x:c r="I324" s="36" t="str">
        <x:f>IF(A324="","",SUMIFS('CHI_TIẾT_GIAO_HÀNG'!$D$2:$D$500,'CHI_TIẾT_GIAO_HÀNG'!$C$2:$C$500,A324,'CHI_TIẾT_GIAO_HÀNG'!$E$2:$E$500,"ĐÃ GIAO"))</x:f>
      </x:c>
      <x:c r="J324" s="36" t="str">
        <x:f>IF(A324="","",MAX(0,F324-I324))</x:f>
      </x:c>
      <x:c r="K324" s="35" t="str">
        <x:f>IF(A324="","",H324-(F324*IFERROR(VLOOKUP(C324,'SẢN_PHẨM'!$A$2:$G$500,5,FALSE),0)))</x:f>
      </x:c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36" t="str">
        <x:f>IF(C325="","",IFERROR(VLOOKUP(C325,'SẢN_PHẨM'!$A$2:$G$500,2,FALSE),""))</x:f>
      </x:c>
      <x:c r="E325" s="36" t="str">
        <x:f>IF(C325="","",IFERROR(VLOOKUP(C325,'SẢN_PHẨM'!$A$2:$G$500,3,FALSE),""))</x:f>
      </x:c>
      <x:c r="F325" s="39"/>
      <x:c r="G325" s="44"/>
      <x:c r="H325" s="35" t="str">
        <x:f>IF(OR(F325="",G325=""),"",F325*G325)</x:f>
      </x:c>
      <x:c r="I325" s="36" t="str">
        <x:f>IF(A325="","",SUMIFS('CHI_TIẾT_GIAO_HÀNG'!$D$2:$D$500,'CHI_TIẾT_GIAO_HÀNG'!$C$2:$C$500,A325,'CHI_TIẾT_GIAO_HÀNG'!$E$2:$E$500,"ĐÃ GIAO"))</x:f>
      </x:c>
      <x:c r="J325" s="36" t="str">
        <x:f>IF(A325="","",MAX(0,F325-I325))</x:f>
      </x:c>
      <x:c r="K325" s="35" t="str">
        <x:f>IF(A325="","",H325-(F325*IFERROR(VLOOKUP(C325,'SẢN_PHẨM'!$A$2:$G$500,5,FALSE),0)))</x:f>
      </x:c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36" t="str">
        <x:f>IF(C326="","",IFERROR(VLOOKUP(C326,'SẢN_PHẨM'!$A$2:$G$500,2,FALSE),""))</x:f>
      </x:c>
      <x:c r="E326" s="36" t="str">
        <x:f>IF(C326="","",IFERROR(VLOOKUP(C326,'SẢN_PHẨM'!$A$2:$G$500,3,FALSE),""))</x:f>
      </x:c>
      <x:c r="F326" s="39"/>
      <x:c r="G326" s="44"/>
      <x:c r="H326" s="35" t="str">
        <x:f>IF(OR(F326="",G326=""),"",F326*G326)</x:f>
      </x:c>
      <x:c r="I326" s="36" t="str">
        <x:f>IF(A326="","",SUMIFS('CHI_TIẾT_GIAO_HÀNG'!$D$2:$D$500,'CHI_TIẾT_GIAO_HÀNG'!$C$2:$C$500,A326,'CHI_TIẾT_GIAO_HÀNG'!$E$2:$E$500,"ĐÃ GIAO"))</x:f>
      </x:c>
      <x:c r="J326" s="36" t="str">
        <x:f>IF(A326="","",MAX(0,F326-I326))</x:f>
      </x:c>
      <x:c r="K326" s="35" t="str">
        <x:f>IF(A326="","",H326-(F326*IFERROR(VLOOKUP(C326,'SẢN_PHẨM'!$A$2:$G$500,5,FALSE),0)))</x:f>
      </x:c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36" t="str">
        <x:f>IF(C327="","",IFERROR(VLOOKUP(C327,'SẢN_PHẨM'!$A$2:$G$500,2,FALSE),""))</x:f>
      </x:c>
      <x:c r="E327" s="36" t="str">
        <x:f>IF(C327="","",IFERROR(VLOOKUP(C327,'SẢN_PHẨM'!$A$2:$G$500,3,FALSE),""))</x:f>
      </x:c>
      <x:c r="F327" s="39"/>
      <x:c r="G327" s="44"/>
      <x:c r="H327" s="35" t="str">
        <x:f>IF(OR(F327="",G327=""),"",F327*G327)</x:f>
      </x:c>
      <x:c r="I327" s="36" t="str">
        <x:f>IF(A327="","",SUMIFS('CHI_TIẾT_GIAO_HÀNG'!$D$2:$D$500,'CHI_TIẾT_GIAO_HÀNG'!$C$2:$C$500,A327,'CHI_TIẾT_GIAO_HÀNG'!$E$2:$E$500,"ĐÃ GIAO"))</x:f>
      </x:c>
      <x:c r="J327" s="36" t="str">
        <x:f>IF(A327="","",MAX(0,F327-I327))</x:f>
      </x:c>
      <x:c r="K327" s="35" t="str">
        <x:f>IF(A327="","",H327-(F327*IFERROR(VLOOKUP(C327,'SẢN_PHẨM'!$A$2:$G$500,5,FALSE),0)))</x:f>
      </x:c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36" t="str">
        <x:f>IF(C328="","",IFERROR(VLOOKUP(C328,'SẢN_PHẨM'!$A$2:$G$500,2,FALSE),""))</x:f>
      </x:c>
      <x:c r="E328" s="36" t="str">
        <x:f>IF(C328="","",IFERROR(VLOOKUP(C328,'SẢN_PHẨM'!$A$2:$G$500,3,FALSE),""))</x:f>
      </x:c>
      <x:c r="F328" s="39"/>
      <x:c r="G328" s="44"/>
      <x:c r="H328" s="35" t="str">
        <x:f>IF(OR(F328="",G328=""),"",F328*G328)</x:f>
      </x:c>
      <x:c r="I328" s="36" t="str">
        <x:f>IF(A328="","",SUMIFS('CHI_TIẾT_GIAO_HÀNG'!$D$2:$D$500,'CHI_TIẾT_GIAO_HÀNG'!$C$2:$C$500,A328,'CHI_TIẾT_GIAO_HÀNG'!$E$2:$E$500,"ĐÃ GIAO"))</x:f>
      </x:c>
      <x:c r="J328" s="36" t="str">
        <x:f>IF(A328="","",MAX(0,F328-I328))</x:f>
      </x:c>
      <x:c r="K328" s="35" t="str">
        <x:f>IF(A328="","",H328-(F328*IFERROR(VLOOKUP(C328,'SẢN_PHẨM'!$A$2:$G$500,5,FALSE),0)))</x:f>
      </x:c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36" t="str">
        <x:f>IF(C329="","",IFERROR(VLOOKUP(C329,'SẢN_PHẨM'!$A$2:$G$500,2,FALSE),""))</x:f>
      </x:c>
      <x:c r="E329" s="36" t="str">
        <x:f>IF(C329="","",IFERROR(VLOOKUP(C329,'SẢN_PHẨM'!$A$2:$G$500,3,FALSE),""))</x:f>
      </x:c>
      <x:c r="F329" s="39"/>
      <x:c r="G329" s="44"/>
      <x:c r="H329" s="35" t="str">
        <x:f>IF(OR(F329="",G329=""),"",F329*G329)</x:f>
      </x:c>
      <x:c r="I329" s="36" t="str">
        <x:f>IF(A329="","",SUMIFS('CHI_TIẾT_GIAO_HÀNG'!$D$2:$D$500,'CHI_TIẾT_GIAO_HÀNG'!$C$2:$C$500,A329,'CHI_TIẾT_GIAO_HÀNG'!$E$2:$E$500,"ĐÃ GIAO"))</x:f>
      </x:c>
      <x:c r="J329" s="36" t="str">
        <x:f>IF(A329="","",MAX(0,F329-I329))</x:f>
      </x:c>
      <x:c r="K329" s="35" t="str">
        <x:f>IF(A329="","",H329-(F329*IFERROR(VLOOKUP(C329,'SẢN_PHẨM'!$A$2:$G$500,5,FALSE),0)))</x:f>
      </x:c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36" t="str">
        <x:f>IF(C330="","",IFERROR(VLOOKUP(C330,'SẢN_PHẨM'!$A$2:$G$500,2,FALSE),""))</x:f>
      </x:c>
      <x:c r="E330" s="36" t="str">
        <x:f>IF(C330="","",IFERROR(VLOOKUP(C330,'SẢN_PHẨM'!$A$2:$G$500,3,FALSE),""))</x:f>
      </x:c>
      <x:c r="F330" s="39"/>
      <x:c r="G330" s="44"/>
      <x:c r="H330" s="35" t="str">
        <x:f>IF(OR(F330="",G330=""),"",F330*G330)</x:f>
      </x:c>
      <x:c r="I330" s="36" t="str">
        <x:f>IF(A330="","",SUMIFS('CHI_TIẾT_GIAO_HÀNG'!$D$2:$D$500,'CHI_TIẾT_GIAO_HÀNG'!$C$2:$C$500,A330,'CHI_TIẾT_GIAO_HÀNG'!$E$2:$E$500,"ĐÃ GIAO"))</x:f>
      </x:c>
      <x:c r="J330" s="36" t="str">
        <x:f>IF(A330="","",MAX(0,F330-I330))</x:f>
      </x:c>
      <x:c r="K330" s="35" t="str">
        <x:f>IF(A330="","",H330-(F330*IFERROR(VLOOKUP(C330,'SẢN_PHẨM'!$A$2:$G$500,5,FALSE),0)))</x:f>
      </x:c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36" t="str">
        <x:f>IF(C331="","",IFERROR(VLOOKUP(C331,'SẢN_PHẨM'!$A$2:$G$500,2,FALSE),""))</x:f>
      </x:c>
      <x:c r="E331" s="36" t="str">
        <x:f>IF(C331="","",IFERROR(VLOOKUP(C331,'SẢN_PHẨM'!$A$2:$G$500,3,FALSE),""))</x:f>
      </x:c>
      <x:c r="F331" s="39"/>
      <x:c r="G331" s="44"/>
      <x:c r="H331" s="35" t="str">
        <x:f>IF(OR(F331="",G331=""),"",F331*G331)</x:f>
      </x:c>
      <x:c r="I331" s="36" t="str">
        <x:f>IF(A331="","",SUMIFS('CHI_TIẾT_GIAO_HÀNG'!$D$2:$D$500,'CHI_TIẾT_GIAO_HÀNG'!$C$2:$C$500,A331,'CHI_TIẾT_GIAO_HÀNG'!$E$2:$E$500,"ĐÃ GIAO"))</x:f>
      </x:c>
      <x:c r="J331" s="36" t="str">
        <x:f>IF(A331="","",MAX(0,F331-I331))</x:f>
      </x:c>
      <x:c r="K331" s="35" t="str">
        <x:f>IF(A331="","",H331-(F331*IFERROR(VLOOKUP(C331,'SẢN_PHẨM'!$A$2:$G$500,5,FALSE),0)))</x:f>
      </x:c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36" t="str">
        <x:f>IF(C332="","",IFERROR(VLOOKUP(C332,'SẢN_PHẨM'!$A$2:$G$500,2,FALSE),""))</x:f>
      </x:c>
      <x:c r="E332" s="36" t="str">
        <x:f>IF(C332="","",IFERROR(VLOOKUP(C332,'SẢN_PHẨM'!$A$2:$G$500,3,FALSE),""))</x:f>
      </x:c>
      <x:c r="F332" s="39"/>
      <x:c r="G332" s="44"/>
      <x:c r="H332" s="35" t="str">
        <x:f>IF(OR(F332="",G332=""),"",F332*G332)</x:f>
      </x:c>
      <x:c r="I332" s="36" t="str">
        <x:f>IF(A332="","",SUMIFS('CHI_TIẾT_GIAO_HÀNG'!$D$2:$D$500,'CHI_TIẾT_GIAO_HÀNG'!$C$2:$C$500,A332,'CHI_TIẾT_GIAO_HÀNG'!$E$2:$E$500,"ĐÃ GIAO"))</x:f>
      </x:c>
      <x:c r="J332" s="36" t="str">
        <x:f>IF(A332="","",MAX(0,F332-I332))</x:f>
      </x:c>
      <x:c r="K332" s="35" t="str">
        <x:f>IF(A332="","",H332-(F332*IFERROR(VLOOKUP(C332,'SẢN_PHẨM'!$A$2:$G$500,5,FALSE),0)))</x:f>
      </x:c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36" t="str">
        <x:f>IF(C333="","",IFERROR(VLOOKUP(C333,'SẢN_PHẨM'!$A$2:$G$500,2,FALSE),""))</x:f>
      </x:c>
      <x:c r="E333" s="36" t="str">
        <x:f>IF(C333="","",IFERROR(VLOOKUP(C333,'SẢN_PHẨM'!$A$2:$G$500,3,FALSE),""))</x:f>
      </x:c>
      <x:c r="F333" s="39"/>
      <x:c r="G333" s="44"/>
      <x:c r="H333" s="35" t="str">
        <x:f>IF(OR(F333="",G333=""),"",F333*G333)</x:f>
      </x:c>
      <x:c r="I333" s="36" t="str">
        <x:f>IF(A333="","",SUMIFS('CHI_TIẾT_GIAO_HÀNG'!$D$2:$D$500,'CHI_TIẾT_GIAO_HÀNG'!$C$2:$C$500,A333,'CHI_TIẾT_GIAO_HÀNG'!$E$2:$E$500,"ĐÃ GIAO"))</x:f>
      </x:c>
      <x:c r="J333" s="36" t="str">
        <x:f>IF(A333="","",MAX(0,F333-I333))</x:f>
      </x:c>
      <x:c r="K333" s="35" t="str">
        <x:f>IF(A333="","",H333-(F333*IFERROR(VLOOKUP(C333,'SẢN_PHẨM'!$A$2:$G$500,5,FALSE),0)))</x:f>
      </x:c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36" t="str">
        <x:f>IF(C334="","",IFERROR(VLOOKUP(C334,'SẢN_PHẨM'!$A$2:$G$500,2,FALSE),""))</x:f>
      </x:c>
      <x:c r="E334" s="36" t="str">
        <x:f>IF(C334="","",IFERROR(VLOOKUP(C334,'SẢN_PHẨM'!$A$2:$G$500,3,FALSE),""))</x:f>
      </x:c>
      <x:c r="F334" s="39"/>
      <x:c r="G334" s="44"/>
      <x:c r="H334" s="35" t="str">
        <x:f>IF(OR(F334="",G334=""),"",F334*G334)</x:f>
      </x:c>
      <x:c r="I334" s="36" t="str">
        <x:f>IF(A334="","",SUMIFS('CHI_TIẾT_GIAO_HÀNG'!$D$2:$D$500,'CHI_TIẾT_GIAO_HÀNG'!$C$2:$C$500,A334,'CHI_TIẾT_GIAO_HÀNG'!$E$2:$E$500,"ĐÃ GIAO"))</x:f>
      </x:c>
      <x:c r="J334" s="36" t="str">
        <x:f>IF(A334="","",MAX(0,F334-I334))</x:f>
      </x:c>
      <x:c r="K334" s="35" t="str">
        <x:f>IF(A334="","",H334-(F334*IFERROR(VLOOKUP(C334,'SẢN_PHẨM'!$A$2:$G$500,5,FALSE),0)))</x:f>
      </x:c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36" t="str">
        <x:f>IF(C335="","",IFERROR(VLOOKUP(C335,'SẢN_PHẨM'!$A$2:$G$500,2,FALSE),""))</x:f>
      </x:c>
      <x:c r="E335" s="36" t="str">
        <x:f>IF(C335="","",IFERROR(VLOOKUP(C335,'SẢN_PHẨM'!$A$2:$G$500,3,FALSE),""))</x:f>
      </x:c>
      <x:c r="F335" s="39"/>
      <x:c r="G335" s="44"/>
      <x:c r="H335" s="35" t="str">
        <x:f>IF(OR(F335="",G335=""),"",F335*G335)</x:f>
      </x:c>
      <x:c r="I335" s="36" t="str">
        <x:f>IF(A335="","",SUMIFS('CHI_TIẾT_GIAO_HÀNG'!$D$2:$D$500,'CHI_TIẾT_GIAO_HÀNG'!$C$2:$C$500,A335,'CHI_TIẾT_GIAO_HÀNG'!$E$2:$E$500,"ĐÃ GIAO"))</x:f>
      </x:c>
      <x:c r="J335" s="36" t="str">
        <x:f>IF(A335="","",MAX(0,F335-I335))</x:f>
      </x:c>
      <x:c r="K335" s="35" t="str">
        <x:f>IF(A335="","",H335-(F335*IFERROR(VLOOKUP(C335,'SẢN_PHẨM'!$A$2:$G$500,5,FALSE),0)))</x:f>
      </x:c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36" t="str">
        <x:f>IF(C336="","",IFERROR(VLOOKUP(C336,'SẢN_PHẨM'!$A$2:$G$500,2,FALSE),""))</x:f>
      </x:c>
      <x:c r="E336" s="36" t="str">
        <x:f>IF(C336="","",IFERROR(VLOOKUP(C336,'SẢN_PHẨM'!$A$2:$G$500,3,FALSE),""))</x:f>
      </x:c>
      <x:c r="F336" s="39"/>
      <x:c r="G336" s="44"/>
      <x:c r="H336" s="35" t="str">
        <x:f>IF(OR(F336="",G336=""),"",F336*G336)</x:f>
      </x:c>
      <x:c r="I336" s="36" t="str">
        <x:f>IF(A336="","",SUMIFS('CHI_TIẾT_GIAO_HÀNG'!$D$2:$D$500,'CHI_TIẾT_GIAO_HÀNG'!$C$2:$C$500,A336,'CHI_TIẾT_GIAO_HÀNG'!$E$2:$E$500,"ĐÃ GIAO"))</x:f>
      </x:c>
      <x:c r="J336" s="36" t="str">
        <x:f>IF(A336="","",MAX(0,F336-I336))</x:f>
      </x:c>
      <x:c r="K336" s="35" t="str">
        <x:f>IF(A336="","",H336-(F336*IFERROR(VLOOKUP(C336,'SẢN_PHẨM'!$A$2:$G$500,5,FALSE),0)))</x:f>
      </x:c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36" t="str">
        <x:f>IF(C337="","",IFERROR(VLOOKUP(C337,'SẢN_PHẨM'!$A$2:$G$500,2,FALSE),""))</x:f>
      </x:c>
      <x:c r="E337" s="36" t="str">
        <x:f>IF(C337="","",IFERROR(VLOOKUP(C337,'SẢN_PHẨM'!$A$2:$G$500,3,FALSE),""))</x:f>
      </x:c>
      <x:c r="F337" s="39"/>
      <x:c r="G337" s="44"/>
      <x:c r="H337" s="35" t="str">
        <x:f>IF(OR(F337="",G337=""),"",F337*G337)</x:f>
      </x:c>
      <x:c r="I337" s="36" t="str">
        <x:f>IF(A337="","",SUMIFS('CHI_TIẾT_GIAO_HÀNG'!$D$2:$D$500,'CHI_TIẾT_GIAO_HÀNG'!$C$2:$C$500,A337,'CHI_TIẾT_GIAO_HÀNG'!$E$2:$E$500,"ĐÃ GIAO"))</x:f>
      </x:c>
      <x:c r="J337" s="36" t="str">
        <x:f>IF(A337="","",MAX(0,F337-I337))</x:f>
      </x:c>
      <x:c r="K337" s="35" t="str">
        <x:f>IF(A337="","",H337-(F337*IFERROR(VLOOKUP(C337,'SẢN_PHẨM'!$A$2:$G$500,5,FALSE),0)))</x:f>
      </x:c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36" t="str">
        <x:f>IF(C338="","",IFERROR(VLOOKUP(C338,'SẢN_PHẨM'!$A$2:$G$500,2,FALSE),""))</x:f>
      </x:c>
      <x:c r="E338" s="36" t="str">
        <x:f>IF(C338="","",IFERROR(VLOOKUP(C338,'SẢN_PHẨM'!$A$2:$G$500,3,FALSE),""))</x:f>
      </x:c>
      <x:c r="F338" s="39"/>
      <x:c r="G338" s="44"/>
      <x:c r="H338" s="35" t="str">
        <x:f>IF(OR(F338="",G338=""),"",F338*G338)</x:f>
      </x:c>
      <x:c r="I338" s="36" t="str">
        <x:f>IF(A338="","",SUMIFS('CHI_TIẾT_GIAO_HÀNG'!$D$2:$D$500,'CHI_TIẾT_GIAO_HÀNG'!$C$2:$C$500,A338,'CHI_TIẾT_GIAO_HÀNG'!$E$2:$E$500,"ĐÃ GIAO"))</x:f>
      </x:c>
      <x:c r="J338" s="36" t="str">
        <x:f>IF(A338="","",MAX(0,F338-I338))</x:f>
      </x:c>
      <x:c r="K338" s="35" t="str">
        <x:f>IF(A338="","",H338-(F338*IFERROR(VLOOKUP(C338,'SẢN_PHẨM'!$A$2:$G$500,5,FALSE),0)))</x:f>
      </x:c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36" t="str">
        <x:f>IF(C339="","",IFERROR(VLOOKUP(C339,'SẢN_PHẨM'!$A$2:$G$500,2,FALSE),""))</x:f>
      </x:c>
      <x:c r="E339" s="36" t="str">
        <x:f>IF(C339="","",IFERROR(VLOOKUP(C339,'SẢN_PHẨM'!$A$2:$G$500,3,FALSE),""))</x:f>
      </x:c>
      <x:c r="F339" s="39"/>
      <x:c r="G339" s="44"/>
      <x:c r="H339" s="35" t="str">
        <x:f>IF(OR(F339="",G339=""),"",F339*G339)</x:f>
      </x:c>
      <x:c r="I339" s="36" t="str">
        <x:f>IF(A339="","",SUMIFS('CHI_TIẾT_GIAO_HÀNG'!$D$2:$D$500,'CHI_TIẾT_GIAO_HÀNG'!$C$2:$C$500,A339,'CHI_TIẾT_GIAO_HÀNG'!$E$2:$E$500,"ĐÃ GIAO"))</x:f>
      </x:c>
      <x:c r="J339" s="36" t="str">
        <x:f>IF(A339="","",MAX(0,F339-I339))</x:f>
      </x:c>
      <x:c r="K339" s="35" t="str">
        <x:f>IF(A339="","",H339-(F339*IFERROR(VLOOKUP(C339,'SẢN_PHẨM'!$A$2:$G$500,5,FALSE),0)))</x:f>
      </x:c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36" t="str">
        <x:f>IF(C340="","",IFERROR(VLOOKUP(C340,'SẢN_PHẨM'!$A$2:$G$500,2,FALSE),""))</x:f>
      </x:c>
      <x:c r="E340" s="36" t="str">
        <x:f>IF(C340="","",IFERROR(VLOOKUP(C340,'SẢN_PHẨM'!$A$2:$G$500,3,FALSE),""))</x:f>
      </x:c>
      <x:c r="F340" s="39"/>
      <x:c r="G340" s="44"/>
      <x:c r="H340" s="35" t="str">
        <x:f>IF(OR(F340="",G340=""),"",F340*G340)</x:f>
      </x:c>
      <x:c r="I340" s="36" t="str">
        <x:f>IF(A340="","",SUMIFS('CHI_TIẾT_GIAO_HÀNG'!$D$2:$D$500,'CHI_TIẾT_GIAO_HÀNG'!$C$2:$C$500,A340,'CHI_TIẾT_GIAO_HÀNG'!$E$2:$E$500,"ĐÃ GIAO"))</x:f>
      </x:c>
      <x:c r="J340" s="36" t="str">
        <x:f>IF(A340="","",MAX(0,F340-I340))</x:f>
      </x:c>
      <x:c r="K340" s="35" t="str">
        <x:f>IF(A340="","",H340-(F340*IFERROR(VLOOKUP(C340,'SẢN_PHẨM'!$A$2:$G$500,5,FALSE),0)))</x:f>
      </x:c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36" t="str">
        <x:f>IF(C341="","",IFERROR(VLOOKUP(C341,'SẢN_PHẨM'!$A$2:$G$500,2,FALSE),""))</x:f>
      </x:c>
      <x:c r="E341" s="36" t="str">
        <x:f>IF(C341="","",IFERROR(VLOOKUP(C341,'SẢN_PHẨM'!$A$2:$G$500,3,FALSE),""))</x:f>
      </x:c>
      <x:c r="F341" s="39"/>
      <x:c r="G341" s="44"/>
      <x:c r="H341" s="35" t="str">
        <x:f>IF(OR(F341="",G341=""),"",F341*G341)</x:f>
      </x:c>
      <x:c r="I341" s="36" t="str">
        <x:f>IF(A341="","",SUMIFS('CHI_TIẾT_GIAO_HÀNG'!$D$2:$D$500,'CHI_TIẾT_GIAO_HÀNG'!$C$2:$C$500,A341,'CHI_TIẾT_GIAO_HÀNG'!$E$2:$E$500,"ĐÃ GIAO"))</x:f>
      </x:c>
      <x:c r="J341" s="36" t="str">
        <x:f>IF(A341="","",MAX(0,F341-I341))</x:f>
      </x:c>
      <x:c r="K341" s="35" t="str">
        <x:f>IF(A341="","",H341-(F341*IFERROR(VLOOKUP(C341,'SẢN_PHẨM'!$A$2:$G$500,5,FALSE),0)))</x:f>
      </x:c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36" t="str">
        <x:f>IF(C342="","",IFERROR(VLOOKUP(C342,'SẢN_PHẨM'!$A$2:$G$500,2,FALSE),""))</x:f>
      </x:c>
      <x:c r="E342" s="36" t="str">
        <x:f>IF(C342="","",IFERROR(VLOOKUP(C342,'SẢN_PHẨM'!$A$2:$G$500,3,FALSE),""))</x:f>
      </x:c>
      <x:c r="F342" s="39"/>
      <x:c r="G342" s="44"/>
      <x:c r="H342" s="35" t="str">
        <x:f>IF(OR(F342="",G342=""),"",F342*G342)</x:f>
      </x:c>
      <x:c r="I342" s="36" t="str">
        <x:f>IF(A342="","",SUMIFS('CHI_TIẾT_GIAO_HÀNG'!$D$2:$D$500,'CHI_TIẾT_GIAO_HÀNG'!$C$2:$C$500,A342,'CHI_TIẾT_GIAO_HÀNG'!$E$2:$E$500,"ĐÃ GIAO"))</x:f>
      </x:c>
      <x:c r="J342" s="36" t="str">
        <x:f>IF(A342="","",MAX(0,F342-I342))</x:f>
      </x:c>
      <x:c r="K342" s="35" t="str">
        <x:f>IF(A342="","",H342-(F342*IFERROR(VLOOKUP(C342,'SẢN_PHẨM'!$A$2:$G$500,5,FALSE),0)))</x:f>
      </x:c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36" t="str">
        <x:f>IF(C343="","",IFERROR(VLOOKUP(C343,'SẢN_PHẨM'!$A$2:$G$500,2,FALSE),""))</x:f>
      </x:c>
      <x:c r="E343" s="36" t="str">
        <x:f>IF(C343="","",IFERROR(VLOOKUP(C343,'SẢN_PHẨM'!$A$2:$G$500,3,FALSE),""))</x:f>
      </x:c>
      <x:c r="F343" s="39"/>
      <x:c r="G343" s="44"/>
      <x:c r="H343" s="35" t="str">
        <x:f>IF(OR(F343="",G343=""),"",F343*G343)</x:f>
      </x:c>
      <x:c r="I343" s="36" t="str">
        <x:f>IF(A343="","",SUMIFS('CHI_TIẾT_GIAO_HÀNG'!$D$2:$D$500,'CHI_TIẾT_GIAO_HÀNG'!$C$2:$C$500,A343,'CHI_TIẾT_GIAO_HÀNG'!$E$2:$E$500,"ĐÃ GIAO"))</x:f>
      </x:c>
      <x:c r="J343" s="36" t="str">
        <x:f>IF(A343="","",MAX(0,F343-I343))</x:f>
      </x:c>
      <x:c r="K343" s="35" t="str">
        <x:f>IF(A343="","",H343-(F343*IFERROR(VLOOKUP(C343,'SẢN_PHẨM'!$A$2:$G$500,5,FALSE),0)))</x:f>
      </x:c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36" t="str">
        <x:f>IF(C344="","",IFERROR(VLOOKUP(C344,'SẢN_PHẨM'!$A$2:$G$500,2,FALSE),""))</x:f>
      </x:c>
      <x:c r="E344" s="36" t="str">
        <x:f>IF(C344="","",IFERROR(VLOOKUP(C344,'SẢN_PHẨM'!$A$2:$G$500,3,FALSE),""))</x:f>
      </x:c>
      <x:c r="F344" s="39"/>
      <x:c r="G344" s="44"/>
      <x:c r="H344" s="35" t="str">
        <x:f>IF(OR(F344="",G344=""),"",F344*G344)</x:f>
      </x:c>
      <x:c r="I344" s="36" t="str">
        <x:f>IF(A344="","",SUMIFS('CHI_TIẾT_GIAO_HÀNG'!$D$2:$D$500,'CHI_TIẾT_GIAO_HÀNG'!$C$2:$C$500,A344,'CHI_TIẾT_GIAO_HÀNG'!$E$2:$E$500,"ĐÃ GIAO"))</x:f>
      </x:c>
      <x:c r="J344" s="36" t="str">
        <x:f>IF(A344="","",MAX(0,F344-I344))</x:f>
      </x:c>
      <x:c r="K344" s="35" t="str">
        <x:f>IF(A344="","",H344-(F344*IFERROR(VLOOKUP(C344,'SẢN_PHẨM'!$A$2:$G$500,5,FALSE),0)))</x:f>
      </x:c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36" t="str">
        <x:f>IF(C345="","",IFERROR(VLOOKUP(C345,'SẢN_PHẨM'!$A$2:$G$500,2,FALSE),""))</x:f>
      </x:c>
      <x:c r="E345" s="36" t="str">
        <x:f>IF(C345="","",IFERROR(VLOOKUP(C345,'SẢN_PHẨM'!$A$2:$G$500,3,FALSE),""))</x:f>
      </x:c>
      <x:c r="F345" s="39"/>
      <x:c r="G345" s="44"/>
      <x:c r="H345" s="35" t="str">
        <x:f>IF(OR(F345="",G345=""),"",F345*G345)</x:f>
      </x:c>
      <x:c r="I345" s="36" t="str">
        <x:f>IF(A345="","",SUMIFS('CHI_TIẾT_GIAO_HÀNG'!$D$2:$D$500,'CHI_TIẾT_GIAO_HÀNG'!$C$2:$C$500,A345,'CHI_TIẾT_GIAO_HÀNG'!$E$2:$E$500,"ĐÃ GIAO"))</x:f>
      </x:c>
      <x:c r="J345" s="36" t="str">
        <x:f>IF(A345="","",MAX(0,F345-I345))</x:f>
      </x:c>
      <x:c r="K345" s="35" t="str">
        <x:f>IF(A345="","",H345-(F345*IFERROR(VLOOKUP(C345,'SẢN_PHẨM'!$A$2:$G$500,5,FALSE),0)))</x:f>
      </x:c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36" t="str">
        <x:f>IF(C346="","",IFERROR(VLOOKUP(C346,'SẢN_PHẨM'!$A$2:$G$500,2,FALSE),""))</x:f>
      </x:c>
      <x:c r="E346" s="36" t="str">
        <x:f>IF(C346="","",IFERROR(VLOOKUP(C346,'SẢN_PHẨM'!$A$2:$G$500,3,FALSE),""))</x:f>
      </x:c>
      <x:c r="F346" s="39"/>
      <x:c r="G346" s="44"/>
      <x:c r="H346" s="35" t="str">
        <x:f>IF(OR(F346="",G346=""),"",F346*G346)</x:f>
      </x:c>
      <x:c r="I346" s="36" t="str">
        <x:f>IF(A346="","",SUMIFS('CHI_TIẾT_GIAO_HÀNG'!$D$2:$D$500,'CHI_TIẾT_GIAO_HÀNG'!$C$2:$C$500,A346,'CHI_TIẾT_GIAO_HÀNG'!$E$2:$E$500,"ĐÃ GIAO"))</x:f>
      </x:c>
      <x:c r="J346" s="36" t="str">
        <x:f>IF(A346="","",MAX(0,F346-I346))</x:f>
      </x:c>
      <x:c r="K346" s="35" t="str">
        <x:f>IF(A346="","",H346-(F346*IFERROR(VLOOKUP(C346,'SẢN_PHẨM'!$A$2:$G$500,5,FALSE),0)))</x:f>
      </x:c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36" t="str">
        <x:f>IF(C347="","",IFERROR(VLOOKUP(C347,'SẢN_PHẨM'!$A$2:$G$500,2,FALSE),""))</x:f>
      </x:c>
      <x:c r="E347" s="36" t="str">
        <x:f>IF(C347="","",IFERROR(VLOOKUP(C347,'SẢN_PHẨM'!$A$2:$G$500,3,FALSE),""))</x:f>
      </x:c>
      <x:c r="F347" s="39"/>
      <x:c r="G347" s="44"/>
      <x:c r="H347" s="35" t="str">
        <x:f>IF(OR(F347="",G347=""),"",F347*G347)</x:f>
      </x:c>
      <x:c r="I347" s="36" t="str">
        <x:f>IF(A347="","",SUMIFS('CHI_TIẾT_GIAO_HÀNG'!$D$2:$D$500,'CHI_TIẾT_GIAO_HÀNG'!$C$2:$C$500,A347,'CHI_TIẾT_GIAO_HÀNG'!$E$2:$E$500,"ĐÃ GIAO"))</x:f>
      </x:c>
      <x:c r="J347" s="36" t="str">
        <x:f>IF(A347="","",MAX(0,F347-I347))</x:f>
      </x:c>
      <x:c r="K347" s="35" t="str">
        <x:f>IF(A347="","",H347-(F347*IFERROR(VLOOKUP(C347,'SẢN_PHẨM'!$A$2:$G$500,5,FALSE),0)))</x:f>
      </x:c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36" t="str">
        <x:f>IF(C348="","",IFERROR(VLOOKUP(C348,'SẢN_PHẨM'!$A$2:$G$500,2,FALSE),""))</x:f>
      </x:c>
      <x:c r="E348" s="36" t="str">
        <x:f>IF(C348="","",IFERROR(VLOOKUP(C348,'SẢN_PHẨM'!$A$2:$G$500,3,FALSE),""))</x:f>
      </x:c>
      <x:c r="F348" s="39"/>
      <x:c r="G348" s="44"/>
      <x:c r="H348" s="35" t="str">
        <x:f>IF(OR(F348="",G348=""),"",F348*G348)</x:f>
      </x:c>
      <x:c r="I348" s="36" t="str">
        <x:f>IF(A348="","",SUMIFS('CHI_TIẾT_GIAO_HÀNG'!$D$2:$D$500,'CHI_TIẾT_GIAO_HÀNG'!$C$2:$C$500,A348,'CHI_TIẾT_GIAO_HÀNG'!$E$2:$E$500,"ĐÃ GIAO"))</x:f>
      </x:c>
      <x:c r="J348" s="36" t="str">
        <x:f>IF(A348="","",MAX(0,F348-I348))</x:f>
      </x:c>
      <x:c r="K348" s="35" t="str">
        <x:f>IF(A348="","",H348-(F348*IFERROR(VLOOKUP(C348,'SẢN_PHẨM'!$A$2:$G$500,5,FALSE),0)))</x:f>
      </x:c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36" t="str">
        <x:f>IF(C349="","",IFERROR(VLOOKUP(C349,'SẢN_PHẨM'!$A$2:$G$500,2,FALSE),""))</x:f>
      </x:c>
      <x:c r="E349" s="36" t="str">
        <x:f>IF(C349="","",IFERROR(VLOOKUP(C349,'SẢN_PHẨM'!$A$2:$G$500,3,FALSE),""))</x:f>
      </x:c>
      <x:c r="F349" s="39"/>
      <x:c r="G349" s="44"/>
      <x:c r="H349" s="35" t="str">
        <x:f>IF(OR(F349="",G349=""),"",F349*G349)</x:f>
      </x:c>
      <x:c r="I349" s="36" t="str">
        <x:f>IF(A349="","",SUMIFS('CHI_TIẾT_GIAO_HÀNG'!$D$2:$D$500,'CHI_TIẾT_GIAO_HÀNG'!$C$2:$C$500,A349,'CHI_TIẾT_GIAO_HÀNG'!$E$2:$E$500,"ĐÃ GIAO"))</x:f>
      </x:c>
      <x:c r="J349" s="36" t="str">
        <x:f>IF(A349="","",MAX(0,F349-I349))</x:f>
      </x:c>
      <x:c r="K349" s="35" t="str">
        <x:f>IF(A349="","",H349-(F349*IFERROR(VLOOKUP(C349,'SẢN_PHẨM'!$A$2:$G$500,5,FALSE),0)))</x:f>
      </x:c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36" t="str">
        <x:f>IF(C350="","",IFERROR(VLOOKUP(C350,'SẢN_PHẨM'!$A$2:$G$500,2,FALSE),""))</x:f>
      </x:c>
      <x:c r="E350" s="36" t="str">
        <x:f>IF(C350="","",IFERROR(VLOOKUP(C350,'SẢN_PHẨM'!$A$2:$G$500,3,FALSE),""))</x:f>
      </x:c>
      <x:c r="F350" s="39"/>
      <x:c r="G350" s="44"/>
      <x:c r="H350" s="35" t="str">
        <x:f>IF(OR(F350="",G350=""),"",F350*G350)</x:f>
      </x:c>
      <x:c r="I350" s="36" t="str">
        <x:f>IF(A350="","",SUMIFS('CHI_TIẾT_GIAO_HÀNG'!$D$2:$D$500,'CHI_TIẾT_GIAO_HÀNG'!$C$2:$C$500,A350,'CHI_TIẾT_GIAO_HÀNG'!$E$2:$E$500,"ĐÃ GIAO"))</x:f>
      </x:c>
      <x:c r="J350" s="36" t="str">
        <x:f>IF(A350="","",MAX(0,F350-I350))</x:f>
      </x:c>
      <x:c r="K350" s="35" t="str">
        <x:f>IF(A350="","",H350-(F350*IFERROR(VLOOKUP(C350,'SẢN_PHẨM'!$A$2:$G$500,5,FALSE),0)))</x:f>
      </x:c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36" t="str">
        <x:f>IF(C351="","",IFERROR(VLOOKUP(C351,'SẢN_PHẨM'!$A$2:$G$500,2,FALSE),""))</x:f>
      </x:c>
      <x:c r="E351" s="36" t="str">
        <x:f>IF(C351="","",IFERROR(VLOOKUP(C351,'SẢN_PHẨM'!$A$2:$G$500,3,FALSE),""))</x:f>
      </x:c>
      <x:c r="F351" s="39"/>
      <x:c r="G351" s="44"/>
      <x:c r="H351" s="35" t="str">
        <x:f>IF(OR(F351="",G351=""),"",F351*G351)</x:f>
      </x:c>
      <x:c r="I351" s="36" t="str">
        <x:f>IF(A351="","",SUMIFS('CHI_TIẾT_GIAO_HÀNG'!$D$2:$D$500,'CHI_TIẾT_GIAO_HÀNG'!$C$2:$C$500,A351,'CHI_TIẾT_GIAO_HÀNG'!$E$2:$E$500,"ĐÃ GIAO"))</x:f>
      </x:c>
      <x:c r="J351" s="36" t="str">
        <x:f>IF(A351="","",MAX(0,F351-I351))</x:f>
      </x:c>
      <x:c r="K351" s="35" t="str">
        <x:f>IF(A351="","",H351-(F351*IFERROR(VLOOKUP(C351,'SẢN_PHẨM'!$A$2:$G$500,5,FALSE),0)))</x:f>
      </x:c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36" t="str">
        <x:f>IF(C352="","",IFERROR(VLOOKUP(C352,'SẢN_PHẨM'!$A$2:$G$500,2,FALSE),""))</x:f>
      </x:c>
      <x:c r="E352" s="36" t="str">
        <x:f>IF(C352="","",IFERROR(VLOOKUP(C352,'SẢN_PHẨM'!$A$2:$G$500,3,FALSE),""))</x:f>
      </x:c>
      <x:c r="F352" s="39"/>
      <x:c r="G352" s="44"/>
      <x:c r="H352" s="35" t="str">
        <x:f>IF(OR(F352="",G352=""),"",F352*G352)</x:f>
      </x:c>
      <x:c r="I352" s="36" t="str">
        <x:f>IF(A352="","",SUMIFS('CHI_TIẾT_GIAO_HÀNG'!$D$2:$D$500,'CHI_TIẾT_GIAO_HÀNG'!$C$2:$C$500,A352,'CHI_TIẾT_GIAO_HÀNG'!$E$2:$E$500,"ĐÃ GIAO"))</x:f>
      </x:c>
      <x:c r="J352" s="36" t="str">
        <x:f>IF(A352="","",MAX(0,F352-I352))</x:f>
      </x:c>
      <x:c r="K352" s="35" t="str">
        <x:f>IF(A352="","",H352-(F352*IFERROR(VLOOKUP(C352,'SẢN_PHẨM'!$A$2:$G$500,5,FALSE),0)))</x:f>
      </x:c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36" t="str">
        <x:f>IF(C353="","",IFERROR(VLOOKUP(C353,'SẢN_PHẨM'!$A$2:$G$500,2,FALSE),""))</x:f>
      </x:c>
      <x:c r="E353" s="36" t="str">
        <x:f>IF(C353="","",IFERROR(VLOOKUP(C353,'SẢN_PHẨM'!$A$2:$G$500,3,FALSE),""))</x:f>
      </x:c>
      <x:c r="F353" s="39"/>
      <x:c r="G353" s="44"/>
      <x:c r="H353" s="35" t="str">
        <x:f>IF(OR(F353="",G353=""),"",F353*G353)</x:f>
      </x:c>
      <x:c r="I353" s="36" t="str">
        <x:f>IF(A353="","",SUMIFS('CHI_TIẾT_GIAO_HÀNG'!$D$2:$D$500,'CHI_TIẾT_GIAO_HÀNG'!$C$2:$C$500,A353,'CHI_TIẾT_GIAO_HÀNG'!$E$2:$E$500,"ĐÃ GIAO"))</x:f>
      </x:c>
      <x:c r="J353" s="36" t="str">
        <x:f>IF(A353="","",MAX(0,F353-I353))</x:f>
      </x:c>
      <x:c r="K353" s="35" t="str">
        <x:f>IF(A353="","",H353-(F353*IFERROR(VLOOKUP(C353,'SẢN_PHẨM'!$A$2:$G$500,5,FALSE),0)))</x:f>
      </x:c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36" t="str">
        <x:f>IF(C354="","",IFERROR(VLOOKUP(C354,'SẢN_PHẨM'!$A$2:$G$500,2,FALSE),""))</x:f>
      </x:c>
      <x:c r="E354" s="36" t="str">
        <x:f>IF(C354="","",IFERROR(VLOOKUP(C354,'SẢN_PHẨM'!$A$2:$G$500,3,FALSE),""))</x:f>
      </x:c>
      <x:c r="F354" s="39"/>
      <x:c r="G354" s="44"/>
      <x:c r="H354" s="35" t="str">
        <x:f>IF(OR(F354="",G354=""),"",F354*G354)</x:f>
      </x:c>
      <x:c r="I354" s="36" t="str">
        <x:f>IF(A354="","",SUMIFS('CHI_TIẾT_GIAO_HÀNG'!$D$2:$D$500,'CHI_TIẾT_GIAO_HÀNG'!$C$2:$C$500,A354,'CHI_TIẾT_GIAO_HÀNG'!$E$2:$E$500,"ĐÃ GIAO"))</x:f>
      </x:c>
      <x:c r="J354" s="36" t="str">
        <x:f>IF(A354="","",MAX(0,F354-I354))</x:f>
      </x:c>
      <x:c r="K354" s="35" t="str">
        <x:f>IF(A354="","",H354-(F354*IFERROR(VLOOKUP(C354,'SẢN_PHẨM'!$A$2:$G$500,5,FALSE),0)))</x:f>
      </x:c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36" t="str">
        <x:f>IF(C355="","",IFERROR(VLOOKUP(C355,'SẢN_PHẨM'!$A$2:$G$500,2,FALSE),""))</x:f>
      </x:c>
      <x:c r="E355" s="36" t="str">
        <x:f>IF(C355="","",IFERROR(VLOOKUP(C355,'SẢN_PHẨM'!$A$2:$G$500,3,FALSE),""))</x:f>
      </x:c>
      <x:c r="F355" s="39"/>
      <x:c r="G355" s="44"/>
      <x:c r="H355" s="35" t="str">
        <x:f>IF(OR(F355="",G355=""),"",F355*G355)</x:f>
      </x:c>
      <x:c r="I355" s="36" t="str">
        <x:f>IF(A355="","",SUMIFS('CHI_TIẾT_GIAO_HÀNG'!$D$2:$D$500,'CHI_TIẾT_GIAO_HÀNG'!$C$2:$C$500,A355,'CHI_TIẾT_GIAO_HÀNG'!$E$2:$E$500,"ĐÃ GIAO"))</x:f>
      </x:c>
      <x:c r="J355" s="36" t="str">
        <x:f>IF(A355="","",MAX(0,F355-I355))</x:f>
      </x:c>
      <x:c r="K355" s="35" t="str">
        <x:f>IF(A355="","",H355-(F355*IFERROR(VLOOKUP(C355,'SẢN_PHẨM'!$A$2:$G$500,5,FALSE),0)))</x:f>
      </x:c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36" t="str">
        <x:f>IF(C356="","",IFERROR(VLOOKUP(C356,'SẢN_PHẨM'!$A$2:$G$500,2,FALSE),""))</x:f>
      </x:c>
      <x:c r="E356" s="36" t="str">
        <x:f>IF(C356="","",IFERROR(VLOOKUP(C356,'SẢN_PHẨM'!$A$2:$G$500,3,FALSE),""))</x:f>
      </x:c>
      <x:c r="F356" s="39"/>
      <x:c r="G356" s="44"/>
      <x:c r="H356" s="35" t="str">
        <x:f>IF(OR(F356="",G356=""),"",F356*G356)</x:f>
      </x:c>
      <x:c r="I356" s="36" t="str">
        <x:f>IF(A356="","",SUMIFS('CHI_TIẾT_GIAO_HÀNG'!$D$2:$D$500,'CHI_TIẾT_GIAO_HÀNG'!$C$2:$C$500,A356,'CHI_TIẾT_GIAO_HÀNG'!$E$2:$E$500,"ĐÃ GIAO"))</x:f>
      </x:c>
      <x:c r="J356" s="36" t="str">
        <x:f>IF(A356="","",MAX(0,F356-I356))</x:f>
      </x:c>
      <x:c r="K356" s="35" t="str">
        <x:f>IF(A356="","",H356-(F356*IFERROR(VLOOKUP(C356,'SẢN_PHẨM'!$A$2:$G$500,5,FALSE),0)))</x:f>
      </x:c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36" t="str">
        <x:f>IF(C357="","",IFERROR(VLOOKUP(C357,'SẢN_PHẨM'!$A$2:$G$500,2,FALSE),""))</x:f>
      </x:c>
      <x:c r="E357" s="36" t="str">
        <x:f>IF(C357="","",IFERROR(VLOOKUP(C357,'SẢN_PHẨM'!$A$2:$G$500,3,FALSE),""))</x:f>
      </x:c>
      <x:c r="F357" s="39"/>
      <x:c r="G357" s="44"/>
      <x:c r="H357" s="35" t="str">
        <x:f>IF(OR(F357="",G357=""),"",F357*G357)</x:f>
      </x:c>
      <x:c r="I357" s="36" t="str">
        <x:f>IF(A357="","",SUMIFS('CHI_TIẾT_GIAO_HÀNG'!$D$2:$D$500,'CHI_TIẾT_GIAO_HÀNG'!$C$2:$C$500,A357,'CHI_TIẾT_GIAO_HÀNG'!$E$2:$E$500,"ĐÃ GIAO"))</x:f>
      </x:c>
      <x:c r="J357" s="36" t="str">
        <x:f>IF(A357="","",MAX(0,F357-I357))</x:f>
      </x:c>
      <x:c r="K357" s="35" t="str">
        <x:f>IF(A357="","",H357-(F357*IFERROR(VLOOKUP(C357,'SẢN_PHẨM'!$A$2:$G$500,5,FALSE),0)))</x:f>
      </x:c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36" t="str">
        <x:f>IF(C358="","",IFERROR(VLOOKUP(C358,'SẢN_PHẨM'!$A$2:$G$500,2,FALSE),""))</x:f>
      </x:c>
      <x:c r="E358" s="36" t="str">
        <x:f>IF(C358="","",IFERROR(VLOOKUP(C358,'SẢN_PHẨM'!$A$2:$G$500,3,FALSE),""))</x:f>
      </x:c>
      <x:c r="F358" s="39"/>
      <x:c r="G358" s="44"/>
      <x:c r="H358" s="35" t="str">
        <x:f>IF(OR(F358="",G358=""),"",F358*G358)</x:f>
      </x:c>
      <x:c r="I358" s="36" t="str">
        <x:f>IF(A358="","",SUMIFS('CHI_TIẾT_GIAO_HÀNG'!$D$2:$D$500,'CHI_TIẾT_GIAO_HÀNG'!$C$2:$C$500,A358,'CHI_TIẾT_GIAO_HÀNG'!$E$2:$E$500,"ĐÃ GIAO"))</x:f>
      </x:c>
      <x:c r="J358" s="36" t="str">
        <x:f>IF(A358="","",MAX(0,F358-I358))</x:f>
      </x:c>
      <x:c r="K358" s="35" t="str">
        <x:f>IF(A358="","",H358-(F358*IFERROR(VLOOKUP(C358,'SẢN_PHẨM'!$A$2:$G$500,5,FALSE),0)))</x:f>
      </x:c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36" t="str">
        <x:f>IF(C359="","",IFERROR(VLOOKUP(C359,'SẢN_PHẨM'!$A$2:$G$500,2,FALSE),""))</x:f>
      </x:c>
      <x:c r="E359" s="36" t="str">
        <x:f>IF(C359="","",IFERROR(VLOOKUP(C359,'SẢN_PHẨM'!$A$2:$G$500,3,FALSE),""))</x:f>
      </x:c>
      <x:c r="F359" s="39"/>
      <x:c r="G359" s="44"/>
      <x:c r="H359" s="35" t="str">
        <x:f>IF(OR(F359="",G359=""),"",F359*G359)</x:f>
      </x:c>
      <x:c r="I359" s="36" t="str">
        <x:f>IF(A359="","",SUMIFS('CHI_TIẾT_GIAO_HÀNG'!$D$2:$D$500,'CHI_TIẾT_GIAO_HÀNG'!$C$2:$C$500,A359,'CHI_TIẾT_GIAO_HÀNG'!$E$2:$E$500,"ĐÃ GIAO"))</x:f>
      </x:c>
      <x:c r="J359" s="36" t="str">
        <x:f>IF(A359="","",MAX(0,F359-I359))</x:f>
      </x:c>
      <x:c r="K359" s="35" t="str">
        <x:f>IF(A359="","",H359-(F359*IFERROR(VLOOKUP(C359,'SẢN_PHẨM'!$A$2:$G$500,5,FALSE),0)))</x:f>
      </x:c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36" t="str">
        <x:f>IF(C360="","",IFERROR(VLOOKUP(C360,'SẢN_PHẨM'!$A$2:$G$500,2,FALSE),""))</x:f>
      </x:c>
      <x:c r="E360" s="36" t="str">
        <x:f>IF(C360="","",IFERROR(VLOOKUP(C360,'SẢN_PHẨM'!$A$2:$G$500,3,FALSE),""))</x:f>
      </x:c>
      <x:c r="F360" s="39"/>
      <x:c r="G360" s="44"/>
      <x:c r="H360" s="35" t="str">
        <x:f>IF(OR(F360="",G360=""),"",F360*G360)</x:f>
      </x:c>
      <x:c r="I360" s="36" t="str">
        <x:f>IF(A360="","",SUMIFS('CHI_TIẾT_GIAO_HÀNG'!$D$2:$D$500,'CHI_TIẾT_GIAO_HÀNG'!$C$2:$C$500,A360,'CHI_TIẾT_GIAO_HÀNG'!$E$2:$E$500,"ĐÃ GIAO"))</x:f>
      </x:c>
      <x:c r="J360" s="36" t="str">
        <x:f>IF(A360="","",MAX(0,F360-I360))</x:f>
      </x:c>
      <x:c r="K360" s="35" t="str">
        <x:f>IF(A360="","",H360-(F360*IFERROR(VLOOKUP(C360,'SẢN_PHẨM'!$A$2:$G$500,5,FALSE),0)))</x:f>
      </x:c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36" t="str">
        <x:f>IF(C361="","",IFERROR(VLOOKUP(C361,'SẢN_PHẨM'!$A$2:$G$500,2,FALSE),""))</x:f>
      </x:c>
      <x:c r="E361" s="36" t="str">
        <x:f>IF(C361="","",IFERROR(VLOOKUP(C361,'SẢN_PHẨM'!$A$2:$G$500,3,FALSE),""))</x:f>
      </x:c>
      <x:c r="F361" s="39"/>
      <x:c r="G361" s="44"/>
      <x:c r="H361" s="35" t="str">
        <x:f>IF(OR(F361="",G361=""),"",F361*G361)</x:f>
      </x:c>
      <x:c r="I361" s="36" t="str">
        <x:f>IF(A361="","",SUMIFS('CHI_TIẾT_GIAO_HÀNG'!$D$2:$D$500,'CHI_TIẾT_GIAO_HÀNG'!$C$2:$C$500,A361,'CHI_TIẾT_GIAO_HÀNG'!$E$2:$E$500,"ĐÃ GIAO"))</x:f>
      </x:c>
      <x:c r="J361" s="36" t="str">
        <x:f>IF(A361="","",MAX(0,F361-I361))</x:f>
      </x:c>
      <x:c r="K361" s="35" t="str">
        <x:f>IF(A361="","",H361-(F361*IFERROR(VLOOKUP(C361,'SẢN_PHẨM'!$A$2:$G$500,5,FALSE),0)))</x:f>
      </x:c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36" t="str">
        <x:f>IF(C362="","",IFERROR(VLOOKUP(C362,'SẢN_PHẨM'!$A$2:$G$500,2,FALSE),""))</x:f>
      </x:c>
      <x:c r="E362" s="36" t="str">
        <x:f>IF(C362="","",IFERROR(VLOOKUP(C362,'SẢN_PHẨM'!$A$2:$G$500,3,FALSE),""))</x:f>
      </x:c>
      <x:c r="F362" s="39"/>
      <x:c r="G362" s="44"/>
      <x:c r="H362" s="35" t="str">
        <x:f>IF(OR(F362="",G362=""),"",F362*G362)</x:f>
      </x:c>
      <x:c r="I362" s="36" t="str">
        <x:f>IF(A362="","",SUMIFS('CHI_TIẾT_GIAO_HÀNG'!$D$2:$D$500,'CHI_TIẾT_GIAO_HÀNG'!$C$2:$C$500,A362,'CHI_TIẾT_GIAO_HÀNG'!$E$2:$E$500,"ĐÃ GIAO"))</x:f>
      </x:c>
      <x:c r="J362" s="36" t="str">
        <x:f>IF(A362="","",MAX(0,F362-I362))</x:f>
      </x:c>
      <x:c r="K362" s="35" t="str">
        <x:f>IF(A362="","",H362-(F362*IFERROR(VLOOKUP(C362,'SẢN_PHẨM'!$A$2:$G$500,5,FALSE),0)))</x:f>
      </x:c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36" t="str">
        <x:f>IF(C363="","",IFERROR(VLOOKUP(C363,'SẢN_PHẨM'!$A$2:$G$500,2,FALSE),""))</x:f>
      </x:c>
      <x:c r="E363" s="36" t="str">
        <x:f>IF(C363="","",IFERROR(VLOOKUP(C363,'SẢN_PHẨM'!$A$2:$G$500,3,FALSE),""))</x:f>
      </x:c>
      <x:c r="F363" s="39"/>
      <x:c r="G363" s="44"/>
      <x:c r="H363" s="35" t="str">
        <x:f>IF(OR(F363="",G363=""),"",F363*G363)</x:f>
      </x:c>
      <x:c r="I363" s="36" t="str">
        <x:f>IF(A363="","",SUMIFS('CHI_TIẾT_GIAO_HÀNG'!$D$2:$D$500,'CHI_TIẾT_GIAO_HÀNG'!$C$2:$C$500,A363,'CHI_TIẾT_GIAO_HÀNG'!$E$2:$E$500,"ĐÃ GIAO"))</x:f>
      </x:c>
      <x:c r="J363" s="36" t="str">
        <x:f>IF(A363="","",MAX(0,F363-I363))</x:f>
      </x:c>
      <x:c r="K363" s="35" t="str">
        <x:f>IF(A363="","",H363-(F363*IFERROR(VLOOKUP(C363,'SẢN_PHẨM'!$A$2:$G$500,5,FALSE),0)))</x:f>
      </x:c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36" t="str">
        <x:f>IF(C364="","",IFERROR(VLOOKUP(C364,'SẢN_PHẨM'!$A$2:$G$500,2,FALSE),""))</x:f>
      </x:c>
      <x:c r="E364" s="36" t="str">
        <x:f>IF(C364="","",IFERROR(VLOOKUP(C364,'SẢN_PHẨM'!$A$2:$G$500,3,FALSE),""))</x:f>
      </x:c>
      <x:c r="F364" s="39"/>
      <x:c r="G364" s="44"/>
      <x:c r="H364" s="35" t="str">
        <x:f>IF(OR(F364="",G364=""),"",F364*G364)</x:f>
      </x:c>
      <x:c r="I364" s="36" t="str">
        <x:f>IF(A364="","",SUMIFS('CHI_TIẾT_GIAO_HÀNG'!$D$2:$D$500,'CHI_TIẾT_GIAO_HÀNG'!$C$2:$C$500,A364,'CHI_TIẾT_GIAO_HÀNG'!$E$2:$E$500,"ĐÃ GIAO"))</x:f>
      </x:c>
      <x:c r="J364" s="36" t="str">
        <x:f>IF(A364="","",MAX(0,F364-I364))</x:f>
      </x:c>
      <x:c r="K364" s="35" t="str">
        <x:f>IF(A364="","",H364-(F364*IFERROR(VLOOKUP(C364,'SẢN_PHẨM'!$A$2:$G$500,5,FALSE),0)))</x:f>
      </x:c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36" t="str">
        <x:f>IF(C365="","",IFERROR(VLOOKUP(C365,'SẢN_PHẨM'!$A$2:$G$500,2,FALSE),""))</x:f>
      </x:c>
      <x:c r="E365" s="36" t="str">
        <x:f>IF(C365="","",IFERROR(VLOOKUP(C365,'SẢN_PHẨM'!$A$2:$G$500,3,FALSE),""))</x:f>
      </x:c>
      <x:c r="F365" s="39"/>
      <x:c r="G365" s="44"/>
      <x:c r="H365" s="35" t="str">
        <x:f>IF(OR(F365="",G365=""),"",F365*G365)</x:f>
      </x:c>
      <x:c r="I365" s="36" t="str">
        <x:f>IF(A365="","",SUMIFS('CHI_TIẾT_GIAO_HÀNG'!$D$2:$D$500,'CHI_TIẾT_GIAO_HÀNG'!$C$2:$C$500,A365,'CHI_TIẾT_GIAO_HÀNG'!$E$2:$E$500,"ĐÃ GIAO"))</x:f>
      </x:c>
      <x:c r="J365" s="36" t="str">
        <x:f>IF(A365="","",MAX(0,F365-I365))</x:f>
      </x:c>
      <x:c r="K365" s="35" t="str">
        <x:f>IF(A365="","",H365-(F365*IFERROR(VLOOKUP(C365,'SẢN_PHẨM'!$A$2:$G$500,5,FALSE),0)))</x:f>
      </x:c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36" t="str">
        <x:f>IF(C366="","",IFERROR(VLOOKUP(C366,'SẢN_PHẨM'!$A$2:$G$500,2,FALSE),""))</x:f>
      </x:c>
      <x:c r="E366" s="36" t="str">
        <x:f>IF(C366="","",IFERROR(VLOOKUP(C366,'SẢN_PHẨM'!$A$2:$G$500,3,FALSE),""))</x:f>
      </x:c>
      <x:c r="F366" s="39"/>
      <x:c r="G366" s="44"/>
      <x:c r="H366" s="35" t="str">
        <x:f>IF(OR(F366="",G366=""),"",F366*G366)</x:f>
      </x:c>
      <x:c r="I366" s="36" t="str">
        <x:f>IF(A366="","",SUMIFS('CHI_TIẾT_GIAO_HÀNG'!$D$2:$D$500,'CHI_TIẾT_GIAO_HÀNG'!$C$2:$C$500,A366,'CHI_TIẾT_GIAO_HÀNG'!$E$2:$E$500,"ĐÃ GIAO"))</x:f>
      </x:c>
      <x:c r="J366" s="36" t="str">
        <x:f>IF(A366="","",MAX(0,F366-I366))</x:f>
      </x:c>
      <x:c r="K366" s="35" t="str">
        <x:f>IF(A366="","",H366-(F366*IFERROR(VLOOKUP(C366,'SẢN_PHẨM'!$A$2:$G$500,5,FALSE),0)))</x:f>
      </x:c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36" t="str">
        <x:f>IF(C367="","",IFERROR(VLOOKUP(C367,'SẢN_PHẨM'!$A$2:$G$500,2,FALSE),""))</x:f>
      </x:c>
      <x:c r="E367" s="36" t="str">
        <x:f>IF(C367="","",IFERROR(VLOOKUP(C367,'SẢN_PHẨM'!$A$2:$G$500,3,FALSE),""))</x:f>
      </x:c>
      <x:c r="F367" s="39"/>
      <x:c r="G367" s="44"/>
      <x:c r="H367" s="35" t="str">
        <x:f>IF(OR(F367="",G367=""),"",F367*G367)</x:f>
      </x:c>
      <x:c r="I367" s="36" t="str">
        <x:f>IF(A367="","",SUMIFS('CHI_TIẾT_GIAO_HÀNG'!$D$2:$D$500,'CHI_TIẾT_GIAO_HÀNG'!$C$2:$C$500,A367,'CHI_TIẾT_GIAO_HÀNG'!$E$2:$E$500,"ĐÃ GIAO"))</x:f>
      </x:c>
      <x:c r="J367" s="36" t="str">
        <x:f>IF(A367="","",MAX(0,F367-I367))</x:f>
      </x:c>
      <x:c r="K367" s="35" t="str">
        <x:f>IF(A367="","",H367-(F367*IFERROR(VLOOKUP(C367,'SẢN_PHẨM'!$A$2:$G$500,5,FALSE),0)))</x:f>
      </x:c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36" t="str">
        <x:f>IF(C368="","",IFERROR(VLOOKUP(C368,'SẢN_PHẨM'!$A$2:$G$500,2,FALSE),""))</x:f>
      </x:c>
      <x:c r="E368" s="36" t="str">
        <x:f>IF(C368="","",IFERROR(VLOOKUP(C368,'SẢN_PHẨM'!$A$2:$G$500,3,FALSE),""))</x:f>
      </x:c>
      <x:c r="F368" s="39"/>
      <x:c r="G368" s="44"/>
      <x:c r="H368" s="35" t="str">
        <x:f>IF(OR(F368="",G368=""),"",F368*G368)</x:f>
      </x:c>
      <x:c r="I368" s="36" t="str">
        <x:f>IF(A368="","",SUMIFS('CHI_TIẾT_GIAO_HÀNG'!$D$2:$D$500,'CHI_TIẾT_GIAO_HÀNG'!$C$2:$C$500,A368,'CHI_TIẾT_GIAO_HÀNG'!$E$2:$E$500,"ĐÃ GIAO"))</x:f>
      </x:c>
      <x:c r="J368" s="36" t="str">
        <x:f>IF(A368="","",MAX(0,F368-I368))</x:f>
      </x:c>
      <x:c r="K368" s="35" t="str">
        <x:f>IF(A368="","",H368-(F368*IFERROR(VLOOKUP(C368,'SẢN_PHẨM'!$A$2:$G$500,5,FALSE),0)))</x:f>
      </x:c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36" t="str">
        <x:f>IF(C369="","",IFERROR(VLOOKUP(C369,'SẢN_PHẨM'!$A$2:$G$500,2,FALSE),""))</x:f>
      </x:c>
      <x:c r="E369" s="36" t="str">
        <x:f>IF(C369="","",IFERROR(VLOOKUP(C369,'SẢN_PHẨM'!$A$2:$G$500,3,FALSE),""))</x:f>
      </x:c>
      <x:c r="F369" s="39"/>
      <x:c r="G369" s="44"/>
      <x:c r="H369" s="35" t="str">
        <x:f>IF(OR(F369="",G369=""),"",F369*G369)</x:f>
      </x:c>
      <x:c r="I369" s="36" t="str">
        <x:f>IF(A369="","",SUMIFS('CHI_TIẾT_GIAO_HÀNG'!$D$2:$D$500,'CHI_TIẾT_GIAO_HÀNG'!$C$2:$C$500,A369,'CHI_TIẾT_GIAO_HÀNG'!$E$2:$E$500,"ĐÃ GIAO"))</x:f>
      </x:c>
      <x:c r="J369" s="36" t="str">
        <x:f>IF(A369="","",MAX(0,F369-I369))</x:f>
      </x:c>
      <x:c r="K369" s="35" t="str">
        <x:f>IF(A369="","",H369-(F369*IFERROR(VLOOKUP(C369,'SẢN_PHẨM'!$A$2:$G$500,5,FALSE),0)))</x:f>
      </x:c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36" t="str">
        <x:f>IF(C370="","",IFERROR(VLOOKUP(C370,'SẢN_PHẨM'!$A$2:$G$500,2,FALSE),""))</x:f>
      </x:c>
      <x:c r="E370" s="36" t="str">
        <x:f>IF(C370="","",IFERROR(VLOOKUP(C370,'SẢN_PHẨM'!$A$2:$G$500,3,FALSE),""))</x:f>
      </x:c>
      <x:c r="F370" s="39"/>
      <x:c r="G370" s="44"/>
      <x:c r="H370" s="35" t="str">
        <x:f>IF(OR(F370="",G370=""),"",F370*G370)</x:f>
      </x:c>
      <x:c r="I370" s="36" t="str">
        <x:f>IF(A370="","",SUMIFS('CHI_TIẾT_GIAO_HÀNG'!$D$2:$D$500,'CHI_TIẾT_GIAO_HÀNG'!$C$2:$C$500,A370,'CHI_TIẾT_GIAO_HÀNG'!$E$2:$E$500,"ĐÃ GIAO"))</x:f>
      </x:c>
      <x:c r="J370" s="36" t="str">
        <x:f>IF(A370="","",MAX(0,F370-I370))</x:f>
      </x:c>
      <x:c r="K370" s="35" t="str">
        <x:f>IF(A370="","",H370-(F370*IFERROR(VLOOKUP(C370,'SẢN_PHẨM'!$A$2:$G$500,5,FALSE),0)))</x:f>
      </x:c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36" t="str">
        <x:f>IF(C371="","",IFERROR(VLOOKUP(C371,'SẢN_PHẨM'!$A$2:$G$500,2,FALSE),""))</x:f>
      </x:c>
      <x:c r="E371" s="36" t="str">
        <x:f>IF(C371="","",IFERROR(VLOOKUP(C371,'SẢN_PHẨM'!$A$2:$G$500,3,FALSE),""))</x:f>
      </x:c>
      <x:c r="F371" s="39"/>
      <x:c r="G371" s="44"/>
      <x:c r="H371" s="35" t="str">
        <x:f>IF(OR(F371="",G371=""),"",F371*G371)</x:f>
      </x:c>
      <x:c r="I371" s="36" t="str">
        <x:f>IF(A371="","",SUMIFS('CHI_TIẾT_GIAO_HÀNG'!$D$2:$D$500,'CHI_TIẾT_GIAO_HÀNG'!$C$2:$C$500,A371,'CHI_TIẾT_GIAO_HÀNG'!$E$2:$E$500,"ĐÃ GIAO"))</x:f>
      </x:c>
      <x:c r="J371" s="36" t="str">
        <x:f>IF(A371="","",MAX(0,F371-I371))</x:f>
      </x:c>
      <x:c r="K371" s="35" t="str">
        <x:f>IF(A371="","",H371-(F371*IFERROR(VLOOKUP(C371,'SẢN_PHẨM'!$A$2:$G$500,5,FALSE),0)))</x:f>
      </x:c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36" t="str">
        <x:f>IF(C372="","",IFERROR(VLOOKUP(C372,'SẢN_PHẨM'!$A$2:$G$500,2,FALSE),""))</x:f>
      </x:c>
      <x:c r="E372" s="36" t="str">
        <x:f>IF(C372="","",IFERROR(VLOOKUP(C372,'SẢN_PHẨM'!$A$2:$G$500,3,FALSE),""))</x:f>
      </x:c>
      <x:c r="F372" s="39"/>
      <x:c r="G372" s="44"/>
      <x:c r="H372" s="35" t="str">
        <x:f>IF(OR(F372="",G372=""),"",F372*G372)</x:f>
      </x:c>
      <x:c r="I372" s="36" t="str">
        <x:f>IF(A372="","",SUMIFS('CHI_TIẾT_GIAO_HÀNG'!$D$2:$D$500,'CHI_TIẾT_GIAO_HÀNG'!$C$2:$C$500,A372,'CHI_TIẾT_GIAO_HÀNG'!$E$2:$E$500,"ĐÃ GIAO"))</x:f>
      </x:c>
      <x:c r="J372" s="36" t="str">
        <x:f>IF(A372="","",MAX(0,F372-I372))</x:f>
      </x:c>
      <x:c r="K372" s="35" t="str">
        <x:f>IF(A372="","",H372-(F372*IFERROR(VLOOKUP(C372,'SẢN_PHẨM'!$A$2:$G$500,5,FALSE),0)))</x:f>
      </x:c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36" t="str">
        <x:f>IF(C373="","",IFERROR(VLOOKUP(C373,'SẢN_PHẨM'!$A$2:$G$500,2,FALSE),""))</x:f>
      </x:c>
      <x:c r="E373" s="36" t="str">
        <x:f>IF(C373="","",IFERROR(VLOOKUP(C373,'SẢN_PHẨM'!$A$2:$G$500,3,FALSE),""))</x:f>
      </x:c>
      <x:c r="F373" s="39"/>
      <x:c r="G373" s="44"/>
      <x:c r="H373" s="35" t="str">
        <x:f>IF(OR(F373="",G373=""),"",F373*G373)</x:f>
      </x:c>
      <x:c r="I373" s="36" t="str">
        <x:f>IF(A373="","",SUMIFS('CHI_TIẾT_GIAO_HÀNG'!$D$2:$D$500,'CHI_TIẾT_GIAO_HÀNG'!$C$2:$C$500,A373,'CHI_TIẾT_GIAO_HÀNG'!$E$2:$E$500,"ĐÃ GIAO"))</x:f>
      </x:c>
      <x:c r="J373" s="36" t="str">
        <x:f>IF(A373="","",MAX(0,F373-I373))</x:f>
      </x:c>
      <x:c r="K373" s="35" t="str">
        <x:f>IF(A373="","",H373-(F373*IFERROR(VLOOKUP(C373,'SẢN_PHẨM'!$A$2:$G$500,5,FALSE),0)))</x:f>
      </x:c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36" t="str">
        <x:f>IF(C374="","",IFERROR(VLOOKUP(C374,'SẢN_PHẨM'!$A$2:$G$500,2,FALSE),""))</x:f>
      </x:c>
      <x:c r="E374" s="36" t="str">
        <x:f>IF(C374="","",IFERROR(VLOOKUP(C374,'SẢN_PHẨM'!$A$2:$G$500,3,FALSE),""))</x:f>
      </x:c>
      <x:c r="F374" s="39"/>
      <x:c r="G374" s="44"/>
      <x:c r="H374" s="35" t="str">
        <x:f>IF(OR(F374="",G374=""),"",F374*G374)</x:f>
      </x:c>
      <x:c r="I374" s="36" t="str">
        <x:f>IF(A374="","",SUMIFS('CHI_TIẾT_GIAO_HÀNG'!$D$2:$D$500,'CHI_TIẾT_GIAO_HÀNG'!$C$2:$C$500,A374,'CHI_TIẾT_GIAO_HÀNG'!$E$2:$E$500,"ĐÃ GIAO"))</x:f>
      </x:c>
      <x:c r="J374" s="36" t="str">
        <x:f>IF(A374="","",MAX(0,F374-I374))</x:f>
      </x:c>
      <x:c r="K374" s="35" t="str">
        <x:f>IF(A374="","",H374-(F374*IFERROR(VLOOKUP(C374,'SẢN_PHẨM'!$A$2:$G$500,5,FALSE),0)))</x:f>
      </x:c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36" t="str">
        <x:f>IF(C375="","",IFERROR(VLOOKUP(C375,'SẢN_PHẨM'!$A$2:$G$500,2,FALSE),""))</x:f>
      </x:c>
      <x:c r="E375" s="36" t="str">
        <x:f>IF(C375="","",IFERROR(VLOOKUP(C375,'SẢN_PHẨM'!$A$2:$G$500,3,FALSE),""))</x:f>
      </x:c>
      <x:c r="F375" s="39"/>
      <x:c r="G375" s="44"/>
      <x:c r="H375" s="35" t="str">
        <x:f>IF(OR(F375="",G375=""),"",F375*G375)</x:f>
      </x:c>
      <x:c r="I375" s="36" t="str">
        <x:f>IF(A375="","",SUMIFS('CHI_TIẾT_GIAO_HÀNG'!$D$2:$D$500,'CHI_TIẾT_GIAO_HÀNG'!$C$2:$C$500,A375,'CHI_TIẾT_GIAO_HÀNG'!$E$2:$E$500,"ĐÃ GIAO"))</x:f>
      </x:c>
      <x:c r="J375" s="36" t="str">
        <x:f>IF(A375="","",MAX(0,F375-I375))</x:f>
      </x:c>
      <x:c r="K375" s="35" t="str">
        <x:f>IF(A375="","",H375-(F375*IFERROR(VLOOKUP(C375,'SẢN_PHẨM'!$A$2:$G$500,5,FALSE),0)))</x:f>
      </x:c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36" t="str">
        <x:f>IF(C376="","",IFERROR(VLOOKUP(C376,'SẢN_PHẨM'!$A$2:$G$500,2,FALSE),""))</x:f>
      </x:c>
      <x:c r="E376" s="36" t="str">
        <x:f>IF(C376="","",IFERROR(VLOOKUP(C376,'SẢN_PHẨM'!$A$2:$G$500,3,FALSE),""))</x:f>
      </x:c>
      <x:c r="F376" s="39"/>
      <x:c r="G376" s="44"/>
      <x:c r="H376" s="35" t="str">
        <x:f>IF(OR(F376="",G376=""),"",F376*G376)</x:f>
      </x:c>
      <x:c r="I376" s="36" t="str">
        <x:f>IF(A376="","",SUMIFS('CHI_TIẾT_GIAO_HÀNG'!$D$2:$D$500,'CHI_TIẾT_GIAO_HÀNG'!$C$2:$C$500,A376,'CHI_TIẾT_GIAO_HÀNG'!$E$2:$E$500,"ĐÃ GIAO"))</x:f>
      </x:c>
      <x:c r="J376" s="36" t="str">
        <x:f>IF(A376="","",MAX(0,F376-I376))</x:f>
      </x:c>
      <x:c r="K376" s="35" t="str">
        <x:f>IF(A376="","",H376-(F376*IFERROR(VLOOKUP(C376,'SẢN_PHẨM'!$A$2:$G$500,5,FALSE),0)))</x:f>
      </x:c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36" t="str">
        <x:f>IF(C377="","",IFERROR(VLOOKUP(C377,'SẢN_PHẨM'!$A$2:$G$500,2,FALSE),""))</x:f>
      </x:c>
      <x:c r="E377" s="36" t="str">
        <x:f>IF(C377="","",IFERROR(VLOOKUP(C377,'SẢN_PHẨM'!$A$2:$G$500,3,FALSE),""))</x:f>
      </x:c>
      <x:c r="F377" s="39"/>
      <x:c r="G377" s="44"/>
      <x:c r="H377" s="35" t="str">
        <x:f>IF(OR(F377="",G377=""),"",F377*G377)</x:f>
      </x:c>
      <x:c r="I377" s="36" t="str">
        <x:f>IF(A377="","",SUMIFS('CHI_TIẾT_GIAO_HÀNG'!$D$2:$D$500,'CHI_TIẾT_GIAO_HÀNG'!$C$2:$C$500,A377,'CHI_TIẾT_GIAO_HÀNG'!$E$2:$E$500,"ĐÃ GIAO"))</x:f>
      </x:c>
      <x:c r="J377" s="36" t="str">
        <x:f>IF(A377="","",MAX(0,F377-I377))</x:f>
      </x:c>
      <x:c r="K377" s="35" t="str">
        <x:f>IF(A377="","",H377-(F377*IFERROR(VLOOKUP(C377,'SẢN_PHẨM'!$A$2:$G$500,5,FALSE),0)))</x:f>
      </x:c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36" t="str">
        <x:f>IF(C378="","",IFERROR(VLOOKUP(C378,'SẢN_PHẨM'!$A$2:$G$500,2,FALSE),""))</x:f>
      </x:c>
      <x:c r="E378" s="36" t="str">
        <x:f>IF(C378="","",IFERROR(VLOOKUP(C378,'SẢN_PHẨM'!$A$2:$G$500,3,FALSE),""))</x:f>
      </x:c>
      <x:c r="F378" s="39"/>
      <x:c r="G378" s="44"/>
      <x:c r="H378" s="35" t="str">
        <x:f>IF(OR(F378="",G378=""),"",F378*G378)</x:f>
      </x:c>
      <x:c r="I378" s="36" t="str">
        <x:f>IF(A378="","",SUMIFS('CHI_TIẾT_GIAO_HÀNG'!$D$2:$D$500,'CHI_TIẾT_GIAO_HÀNG'!$C$2:$C$500,A378,'CHI_TIẾT_GIAO_HÀNG'!$E$2:$E$500,"ĐÃ GIAO"))</x:f>
      </x:c>
      <x:c r="J378" s="36" t="str">
        <x:f>IF(A378="","",MAX(0,F378-I378))</x:f>
      </x:c>
      <x:c r="K378" s="35" t="str">
        <x:f>IF(A378="","",H378-(F378*IFERROR(VLOOKUP(C378,'SẢN_PHẨM'!$A$2:$G$500,5,FALSE),0)))</x:f>
      </x:c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36" t="str">
        <x:f>IF(C379="","",IFERROR(VLOOKUP(C379,'SẢN_PHẨM'!$A$2:$G$500,2,FALSE),""))</x:f>
      </x:c>
      <x:c r="E379" s="36" t="str">
        <x:f>IF(C379="","",IFERROR(VLOOKUP(C379,'SẢN_PHẨM'!$A$2:$G$500,3,FALSE),""))</x:f>
      </x:c>
      <x:c r="F379" s="39"/>
      <x:c r="G379" s="44"/>
      <x:c r="H379" s="35" t="str">
        <x:f>IF(OR(F379="",G379=""),"",F379*G379)</x:f>
      </x:c>
      <x:c r="I379" s="36" t="str">
        <x:f>IF(A379="","",SUMIFS('CHI_TIẾT_GIAO_HÀNG'!$D$2:$D$500,'CHI_TIẾT_GIAO_HÀNG'!$C$2:$C$500,A379,'CHI_TIẾT_GIAO_HÀNG'!$E$2:$E$500,"ĐÃ GIAO"))</x:f>
      </x:c>
      <x:c r="J379" s="36" t="str">
        <x:f>IF(A379="","",MAX(0,F379-I379))</x:f>
      </x:c>
      <x:c r="K379" s="35" t="str">
        <x:f>IF(A379="","",H379-(F379*IFERROR(VLOOKUP(C379,'SẢN_PHẨM'!$A$2:$G$500,5,FALSE),0)))</x:f>
      </x:c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36" t="str">
        <x:f>IF(C380="","",IFERROR(VLOOKUP(C380,'SẢN_PHẨM'!$A$2:$G$500,2,FALSE),""))</x:f>
      </x:c>
      <x:c r="E380" s="36" t="str">
        <x:f>IF(C380="","",IFERROR(VLOOKUP(C380,'SẢN_PHẨM'!$A$2:$G$500,3,FALSE),""))</x:f>
      </x:c>
      <x:c r="F380" s="39"/>
      <x:c r="G380" s="44"/>
      <x:c r="H380" s="35" t="str">
        <x:f>IF(OR(F380="",G380=""),"",F380*G380)</x:f>
      </x:c>
      <x:c r="I380" s="36" t="str">
        <x:f>IF(A380="","",SUMIFS('CHI_TIẾT_GIAO_HÀNG'!$D$2:$D$500,'CHI_TIẾT_GIAO_HÀNG'!$C$2:$C$500,A380,'CHI_TIẾT_GIAO_HÀNG'!$E$2:$E$500,"ĐÃ GIAO"))</x:f>
      </x:c>
      <x:c r="J380" s="36" t="str">
        <x:f>IF(A380="","",MAX(0,F380-I380))</x:f>
      </x:c>
      <x:c r="K380" s="35" t="str">
        <x:f>IF(A380="","",H380-(F380*IFERROR(VLOOKUP(C380,'SẢN_PHẨM'!$A$2:$G$500,5,FALSE),0)))</x:f>
      </x:c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36" t="str">
        <x:f>IF(C381="","",IFERROR(VLOOKUP(C381,'SẢN_PHẨM'!$A$2:$G$500,2,FALSE),""))</x:f>
      </x:c>
      <x:c r="E381" s="36" t="str">
        <x:f>IF(C381="","",IFERROR(VLOOKUP(C381,'SẢN_PHẨM'!$A$2:$G$500,3,FALSE),""))</x:f>
      </x:c>
      <x:c r="F381" s="39"/>
      <x:c r="G381" s="44"/>
      <x:c r="H381" s="35" t="str">
        <x:f>IF(OR(F381="",G381=""),"",F381*G381)</x:f>
      </x:c>
      <x:c r="I381" s="36" t="str">
        <x:f>IF(A381="","",SUMIFS('CHI_TIẾT_GIAO_HÀNG'!$D$2:$D$500,'CHI_TIẾT_GIAO_HÀNG'!$C$2:$C$500,A381,'CHI_TIẾT_GIAO_HÀNG'!$E$2:$E$500,"ĐÃ GIAO"))</x:f>
      </x:c>
      <x:c r="J381" s="36" t="str">
        <x:f>IF(A381="","",MAX(0,F381-I381))</x:f>
      </x:c>
      <x:c r="K381" s="35" t="str">
        <x:f>IF(A381="","",H381-(F381*IFERROR(VLOOKUP(C381,'SẢN_PHẨM'!$A$2:$G$500,5,FALSE),0)))</x:f>
      </x:c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36" t="str">
        <x:f>IF(C382="","",IFERROR(VLOOKUP(C382,'SẢN_PHẨM'!$A$2:$G$500,2,FALSE),""))</x:f>
      </x:c>
      <x:c r="E382" s="36" t="str">
        <x:f>IF(C382="","",IFERROR(VLOOKUP(C382,'SẢN_PHẨM'!$A$2:$G$500,3,FALSE),""))</x:f>
      </x:c>
      <x:c r="F382" s="39"/>
      <x:c r="G382" s="44"/>
      <x:c r="H382" s="35" t="str">
        <x:f>IF(OR(F382="",G382=""),"",F382*G382)</x:f>
      </x:c>
      <x:c r="I382" s="36" t="str">
        <x:f>IF(A382="","",SUMIFS('CHI_TIẾT_GIAO_HÀNG'!$D$2:$D$500,'CHI_TIẾT_GIAO_HÀNG'!$C$2:$C$500,A382,'CHI_TIẾT_GIAO_HÀNG'!$E$2:$E$500,"ĐÃ GIAO"))</x:f>
      </x:c>
      <x:c r="J382" s="36" t="str">
        <x:f>IF(A382="","",MAX(0,F382-I382))</x:f>
      </x:c>
      <x:c r="K382" s="35" t="str">
        <x:f>IF(A382="","",H382-(F382*IFERROR(VLOOKUP(C382,'SẢN_PHẨM'!$A$2:$G$500,5,FALSE),0)))</x:f>
      </x:c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36" t="str">
        <x:f>IF(C383="","",IFERROR(VLOOKUP(C383,'SẢN_PHẨM'!$A$2:$G$500,2,FALSE),""))</x:f>
      </x:c>
      <x:c r="E383" s="36" t="str">
        <x:f>IF(C383="","",IFERROR(VLOOKUP(C383,'SẢN_PHẨM'!$A$2:$G$500,3,FALSE),""))</x:f>
      </x:c>
      <x:c r="F383" s="39"/>
      <x:c r="G383" s="44"/>
      <x:c r="H383" s="35" t="str">
        <x:f>IF(OR(F383="",G383=""),"",F383*G383)</x:f>
      </x:c>
      <x:c r="I383" s="36" t="str">
        <x:f>IF(A383="","",SUMIFS('CHI_TIẾT_GIAO_HÀNG'!$D$2:$D$500,'CHI_TIẾT_GIAO_HÀNG'!$C$2:$C$500,A383,'CHI_TIẾT_GIAO_HÀNG'!$E$2:$E$500,"ĐÃ GIAO"))</x:f>
      </x:c>
      <x:c r="J383" s="36" t="str">
        <x:f>IF(A383="","",MAX(0,F383-I383))</x:f>
      </x:c>
      <x:c r="K383" s="35" t="str">
        <x:f>IF(A383="","",H383-(F383*IFERROR(VLOOKUP(C383,'SẢN_PHẨM'!$A$2:$G$500,5,FALSE),0)))</x:f>
      </x:c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36" t="str">
        <x:f>IF(C384="","",IFERROR(VLOOKUP(C384,'SẢN_PHẨM'!$A$2:$G$500,2,FALSE),""))</x:f>
      </x:c>
      <x:c r="E384" s="36" t="str">
        <x:f>IF(C384="","",IFERROR(VLOOKUP(C384,'SẢN_PHẨM'!$A$2:$G$500,3,FALSE),""))</x:f>
      </x:c>
      <x:c r="F384" s="39"/>
      <x:c r="G384" s="44"/>
      <x:c r="H384" s="35" t="str">
        <x:f>IF(OR(F384="",G384=""),"",F384*G384)</x:f>
      </x:c>
      <x:c r="I384" s="36" t="str">
        <x:f>IF(A384="","",SUMIFS('CHI_TIẾT_GIAO_HÀNG'!$D$2:$D$500,'CHI_TIẾT_GIAO_HÀNG'!$C$2:$C$500,A384,'CHI_TIẾT_GIAO_HÀNG'!$E$2:$E$500,"ĐÃ GIAO"))</x:f>
      </x:c>
      <x:c r="J384" s="36" t="str">
        <x:f>IF(A384="","",MAX(0,F384-I384))</x:f>
      </x:c>
      <x:c r="K384" s="35" t="str">
        <x:f>IF(A384="","",H384-(F384*IFERROR(VLOOKUP(C384,'SẢN_PHẨM'!$A$2:$G$500,5,FALSE),0)))</x:f>
      </x:c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36" t="str">
        <x:f>IF(C385="","",IFERROR(VLOOKUP(C385,'SẢN_PHẨM'!$A$2:$G$500,2,FALSE),""))</x:f>
      </x:c>
      <x:c r="E385" s="36" t="str">
        <x:f>IF(C385="","",IFERROR(VLOOKUP(C385,'SẢN_PHẨM'!$A$2:$G$500,3,FALSE),""))</x:f>
      </x:c>
      <x:c r="F385" s="39"/>
      <x:c r="G385" s="44"/>
      <x:c r="H385" s="35" t="str">
        <x:f>IF(OR(F385="",G385=""),"",F385*G385)</x:f>
      </x:c>
      <x:c r="I385" s="36" t="str">
        <x:f>IF(A385="","",SUMIFS('CHI_TIẾT_GIAO_HÀNG'!$D$2:$D$500,'CHI_TIẾT_GIAO_HÀNG'!$C$2:$C$500,A385,'CHI_TIẾT_GIAO_HÀNG'!$E$2:$E$500,"ĐÃ GIAO"))</x:f>
      </x:c>
      <x:c r="J385" s="36" t="str">
        <x:f>IF(A385="","",MAX(0,F385-I385))</x:f>
      </x:c>
      <x:c r="K385" s="35" t="str">
        <x:f>IF(A385="","",H385-(F385*IFERROR(VLOOKUP(C385,'SẢN_PHẨM'!$A$2:$G$500,5,FALSE),0)))</x:f>
      </x:c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36" t="str">
        <x:f>IF(C386="","",IFERROR(VLOOKUP(C386,'SẢN_PHẨM'!$A$2:$G$500,2,FALSE),""))</x:f>
      </x:c>
      <x:c r="E386" s="36" t="str">
        <x:f>IF(C386="","",IFERROR(VLOOKUP(C386,'SẢN_PHẨM'!$A$2:$G$500,3,FALSE),""))</x:f>
      </x:c>
      <x:c r="F386" s="39"/>
      <x:c r="G386" s="44"/>
      <x:c r="H386" s="35" t="str">
        <x:f>IF(OR(F386="",G386=""),"",F386*G386)</x:f>
      </x:c>
      <x:c r="I386" s="36" t="str">
        <x:f>IF(A386="","",SUMIFS('CHI_TIẾT_GIAO_HÀNG'!$D$2:$D$500,'CHI_TIẾT_GIAO_HÀNG'!$C$2:$C$500,A386,'CHI_TIẾT_GIAO_HÀNG'!$E$2:$E$500,"ĐÃ GIAO"))</x:f>
      </x:c>
      <x:c r="J386" s="36" t="str">
        <x:f>IF(A386="","",MAX(0,F386-I386))</x:f>
      </x:c>
      <x:c r="K386" s="35" t="str">
        <x:f>IF(A386="","",H386-(F386*IFERROR(VLOOKUP(C386,'SẢN_PHẨM'!$A$2:$G$500,5,FALSE),0)))</x:f>
      </x:c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36" t="str">
        <x:f>IF(C387="","",IFERROR(VLOOKUP(C387,'SẢN_PHẨM'!$A$2:$G$500,2,FALSE),""))</x:f>
      </x:c>
      <x:c r="E387" s="36" t="str">
        <x:f>IF(C387="","",IFERROR(VLOOKUP(C387,'SẢN_PHẨM'!$A$2:$G$500,3,FALSE),""))</x:f>
      </x:c>
      <x:c r="F387" s="39"/>
      <x:c r="G387" s="44"/>
      <x:c r="H387" s="35" t="str">
        <x:f>IF(OR(F387="",G387=""),"",F387*G387)</x:f>
      </x:c>
      <x:c r="I387" s="36" t="str">
        <x:f>IF(A387="","",SUMIFS('CHI_TIẾT_GIAO_HÀNG'!$D$2:$D$500,'CHI_TIẾT_GIAO_HÀNG'!$C$2:$C$500,A387,'CHI_TIẾT_GIAO_HÀNG'!$E$2:$E$500,"ĐÃ GIAO"))</x:f>
      </x:c>
      <x:c r="J387" s="36" t="str">
        <x:f>IF(A387="","",MAX(0,F387-I387))</x:f>
      </x:c>
      <x:c r="K387" s="35" t="str">
        <x:f>IF(A387="","",H387-(F387*IFERROR(VLOOKUP(C387,'SẢN_PHẨM'!$A$2:$G$500,5,FALSE),0)))</x:f>
      </x:c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36" t="str">
        <x:f>IF(C388="","",IFERROR(VLOOKUP(C388,'SẢN_PHẨM'!$A$2:$G$500,2,FALSE),""))</x:f>
      </x:c>
      <x:c r="E388" s="36" t="str">
        <x:f>IF(C388="","",IFERROR(VLOOKUP(C388,'SẢN_PHẨM'!$A$2:$G$500,3,FALSE),""))</x:f>
      </x:c>
      <x:c r="F388" s="39"/>
      <x:c r="G388" s="44"/>
      <x:c r="H388" s="35" t="str">
        <x:f>IF(OR(F388="",G388=""),"",F388*G388)</x:f>
      </x:c>
      <x:c r="I388" s="36" t="str">
        <x:f>IF(A388="","",SUMIFS('CHI_TIẾT_GIAO_HÀNG'!$D$2:$D$500,'CHI_TIẾT_GIAO_HÀNG'!$C$2:$C$500,A388,'CHI_TIẾT_GIAO_HÀNG'!$E$2:$E$500,"ĐÃ GIAO"))</x:f>
      </x:c>
      <x:c r="J388" s="36" t="str">
        <x:f>IF(A388="","",MAX(0,F388-I388))</x:f>
      </x:c>
      <x:c r="K388" s="35" t="str">
        <x:f>IF(A388="","",H388-(F388*IFERROR(VLOOKUP(C388,'SẢN_PHẨM'!$A$2:$G$500,5,FALSE),0)))</x:f>
      </x:c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36" t="str">
        <x:f>IF(C389="","",IFERROR(VLOOKUP(C389,'SẢN_PHẨM'!$A$2:$G$500,2,FALSE),""))</x:f>
      </x:c>
      <x:c r="E389" s="36" t="str">
        <x:f>IF(C389="","",IFERROR(VLOOKUP(C389,'SẢN_PHẨM'!$A$2:$G$500,3,FALSE),""))</x:f>
      </x:c>
      <x:c r="F389" s="39"/>
      <x:c r="G389" s="44"/>
      <x:c r="H389" s="35" t="str">
        <x:f>IF(OR(F389="",G389=""),"",F389*G389)</x:f>
      </x:c>
      <x:c r="I389" s="36" t="str">
        <x:f>IF(A389="","",SUMIFS('CHI_TIẾT_GIAO_HÀNG'!$D$2:$D$500,'CHI_TIẾT_GIAO_HÀNG'!$C$2:$C$500,A389,'CHI_TIẾT_GIAO_HÀNG'!$E$2:$E$500,"ĐÃ GIAO"))</x:f>
      </x:c>
      <x:c r="J389" s="36" t="str">
        <x:f>IF(A389="","",MAX(0,F389-I389))</x:f>
      </x:c>
      <x:c r="K389" s="35" t="str">
        <x:f>IF(A389="","",H389-(F389*IFERROR(VLOOKUP(C389,'SẢN_PHẨM'!$A$2:$G$500,5,FALSE),0)))</x:f>
      </x:c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36" t="str">
        <x:f>IF(C390="","",IFERROR(VLOOKUP(C390,'SẢN_PHẨM'!$A$2:$G$500,2,FALSE),""))</x:f>
      </x:c>
      <x:c r="E390" s="36" t="str">
        <x:f>IF(C390="","",IFERROR(VLOOKUP(C390,'SẢN_PHẨM'!$A$2:$G$500,3,FALSE),""))</x:f>
      </x:c>
      <x:c r="F390" s="39"/>
      <x:c r="G390" s="44"/>
      <x:c r="H390" s="35" t="str">
        <x:f>IF(OR(F390="",G390=""),"",F390*G390)</x:f>
      </x:c>
      <x:c r="I390" s="36" t="str">
        <x:f>IF(A390="","",SUMIFS('CHI_TIẾT_GIAO_HÀNG'!$D$2:$D$500,'CHI_TIẾT_GIAO_HÀNG'!$C$2:$C$500,A390,'CHI_TIẾT_GIAO_HÀNG'!$E$2:$E$500,"ĐÃ GIAO"))</x:f>
      </x:c>
      <x:c r="J390" s="36" t="str">
        <x:f>IF(A390="","",MAX(0,F390-I390))</x:f>
      </x:c>
      <x:c r="K390" s="35" t="str">
        <x:f>IF(A390="","",H390-(F390*IFERROR(VLOOKUP(C390,'SẢN_PHẨM'!$A$2:$G$500,5,FALSE),0)))</x:f>
      </x:c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36" t="str">
        <x:f>IF(C391="","",IFERROR(VLOOKUP(C391,'SẢN_PHẨM'!$A$2:$G$500,2,FALSE),""))</x:f>
      </x:c>
      <x:c r="E391" s="36" t="str">
        <x:f>IF(C391="","",IFERROR(VLOOKUP(C391,'SẢN_PHẨM'!$A$2:$G$500,3,FALSE),""))</x:f>
      </x:c>
      <x:c r="F391" s="39"/>
      <x:c r="G391" s="44"/>
      <x:c r="H391" s="35" t="str">
        <x:f>IF(OR(F391="",G391=""),"",F391*G391)</x:f>
      </x:c>
      <x:c r="I391" s="36" t="str">
        <x:f>IF(A391="","",SUMIFS('CHI_TIẾT_GIAO_HÀNG'!$D$2:$D$500,'CHI_TIẾT_GIAO_HÀNG'!$C$2:$C$500,A391,'CHI_TIẾT_GIAO_HÀNG'!$E$2:$E$500,"ĐÃ GIAO"))</x:f>
      </x:c>
      <x:c r="J391" s="36" t="str">
        <x:f>IF(A391="","",MAX(0,F391-I391))</x:f>
      </x:c>
      <x:c r="K391" s="35" t="str">
        <x:f>IF(A391="","",H391-(F391*IFERROR(VLOOKUP(C391,'SẢN_PHẨM'!$A$2:$G$500,5,FALSE),0)))</x:f>
      </x:c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36" t="str">
        <x:f>IF(C392="","",IFERROR(VLOOKUP(C392,'SẢN_PHẨM'!$A$2:$G$500,2,FALSE),""))</x:f>
      </x:c>
      <x:c r="E392" s="36" t="str">
        <x:f>IF(C392="","",IFERROR(VLOOKUP(C392,'SẢN_PHẨM'!$A$2:$G$500,3,FALSE),""))</x:f>
      </x:c>
      <x:c r="F392" s="39"/>
      <x:c r="G392" s="44"/>
      <x:c r="H392" s="35" t="str">
        <x:f>IF(OR(F392="",G392=""),"",F392*G392)</x:f>
      </x:c>
      <x:c r="I392" s="36" t="str">
        <x:f>IF(A392="","",SUMIFS('CHI_TIẾT_GIAO_HÀNG'!$D$2:$D$500,'CHI_TIẾT_GIAO_HÀNG'!$C$2:$C$500,A392,'CHI_TIẾT_GIAO_HÀNG'!$E$2:$E$500,"ĐÃ GIAO"))</x:f>
      </x:c>
      <x:c r="J392" s="36" t="str">
        <x:f>IF(A392="","",MAX(0,F392-I392))</x:f>
      </x:c>
      <x:c r="K392" s="35" t="str">
        <x:f>IF(A392="","",H392-(F392*IFERROR(VLOOKUP(C392,'SẢN_PHẨM'!$A$2:$G$500,5,FALSE),0)))</x:f>
      </x:c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36" t="str">
        <x:f>IF(C393="","",IFERROR(VLOOKUP(C393,'SẢN_PHẨM'!$A$2:$G$500,2,FALSE),""))</x:f>
      </x:c>
      <x:c r="E393" s="36" t="str">
        <x:f>IF(C393="","",IFERROR(VLOOKUP(C393,'SẢN_PHẨM'!$A$2:$G$500,3,FALSE),""))</x:f>
      </x:c>
      <x:c r="F393" s="39"/>
      <x:c r="G393" s="44"/>
      <x:c r="H393" s="35" t="str">
        <x:f>IF(OR(F393="",G393=""),"",F393*G393)</x:f>
      </x:c>
      <x:c r="I393" s="36" t="str">
        <x:f>IF(A393="","",SUMIFS('CHI_TIẾT_GIAO_HÀNG'!$D$2:$D$500,'CHI_TIẾT_GIAO_HÀNG'!$C$2:$C$500,A393,'CHI_TIẾT_GIAO_HÀNG'!$E$2:$E$500,"ĐÃ GIAO"))</x:f>
      </x:c>
      <x:c r="J393" s="36" t="str">
        <x:f>IF(A393="","",MAX(0,F393-I393))</x:f>
      </x:c>
      <x:c r="K393" s="35" t="str">
        <x:f>IF(A393="","",H393-(F393*IFERROR(VLOOKUP(C393,'SẢN_PHẨM'!$A$2:$G$500,5,FALSE),0)))</x:f>
      </x:c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36" t="str">
        <x:f>IF(C394="","",IFERROR(VLOOKUP(C394,'SẢN_PHẨM'!$A$2:$G$500,2,FALSE),""))</x:f>
      </x:c>
      <x:c r="E394" s="36" t="str">
        <x:f>IF(C394="","",IFERROR(VLOOKUP(C394,'SẢN_PHẨM'!$A$2:$G$500,3,FALSE),""))</x:f>
      </x:c>
      <x:c r="F394" s="39"/>
      <x:c r="G394" s="44"/>
      <x:c r="H394" s="35" t="str">
        <x:f>IF(OR(F394="",G394=""),"",F394*G394)</x:f>
      </x:c>
      <x:c r="I394" s="36" t="str">
        <x:f>IF(A394="","",SUMIFS('CHI_TIẾT_GIAO_HÀNG'!$D$2:$D$500,'CHI_TIẾT_GIAO_HÀNG'!$C$2:$C$500,A394,'CHI_TIẾT_GIAO_HÀNG'!$E$2:$E$500,"ĐÃ GIAO"))</x:f>
      </x:c>
      <x:c r="J394" s="36" t="str">
        <x:f>IF(A394="","",MAX(0,F394-I394))</x:f>
      </x:c>
      <x:c r="K394" s="35" t="str">
        <x:f>IF(A394="","",H394-(F394*IFERROR(VLOOKUP(C394,'SẢN_PHẨM'!$A$2:$G$500,5,FALSE),0)))</x:f>
      </x:c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36" t="str">
        <x:f>IF(C395="","",IFERROR(VLOOKUP(C395,'SẢN_PHẨM'!$A$2:$G$500,2,FALSE),""))</x:f>
      </x:c>
      <x:c r="E395" s="36" t="str">
        <x:f>IF(C395="","",IFERROR(VLOOKUP(C395,'SẢN_PHẨM'!$A$2:$G$500,3,FALSE),""))</x:f>
      </x:c>
      <x:c r="F395" s="39"/>
      <x:c r="G395" s="44"/>
      <x:c r="H395" s="35" t="str">
        <x:f>IF(OR(F395="",G395=""),"",F395*G395)</x:f>
      </x:c>
      <x:c r="I395" s="36" t="str">
        <x:f>IF(A395="","",SUMIFS('CHI_TIẾT_GIAO_HÀNG'!$D$2:$D$500,'CHI_TIẾT_GIAO_HÀNG'!$C$2:$C$500,A395,'CHI_TIẾT_GIAO_HÀNG'!$E$2:$E$500,"ĐÃ GIAO"))</x:f>
      </x:c>
      <x:c r="J395" s="36" t="str">
        <x:f>IF(A395="","",MAX(0,F395-I395))</x:f>
      </x:c>
      <x:c r="K395" s="35" t="str">
        <x:f>IF(A395="","",H395-(F395*IFERROR(VLOOKUP(C395,'SẢN_PHẨM'!$A$2:$G$500,5,FALSE),0)))</x:f>
      </x:c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36" t="str">
        <x:f>IF(C396="","",IFERROR(VLOOKUP(C396,'SẢN_PHẨM'!$A$2:$G$500,2,FALSE),""))</x:f>
      </x:c>
      <x:c r="E396" s="36" t="str">
        <x:f>IF(C396="","",IFERROR(VLOOKUP(C396,'SẢN_PHẨM'!$A$2:$G$500,3,FALSE),""))</x:f>
      </x:c>
      <x:c r="F396" s="39"/>
      <x:c r="G396" s="44"/>
      <x:c r="H396" s="35" t="str">
        <x:f>IF(OR(F396="",G396=""),"",F396*G396)</x:f>
      </x:c>
      <x:c r="I396" s="36" t="str">
        <x:f>IF(A396="","",SUMIFS('CHI_TIẾT_GIAO_HÀNG'!$D$2:$D$500,'CHI_TIẾT_GIAO_HÀNG'!$C$2:$C$500,A396,'CHI_TIẾT_GIAO_HÀNG'!$E$2:$E$500,"ĐÃ GIAO"))</x:f>
      </x:c>
      <x:c r="J396" s="36" t="str">
        <x:f>IF(A396="","",MAX(0,F396-I396))</x:f>
      </x:c>
      <x:c r="K396" s="35" t="str">
        <x:f>IF(A396="","",H396-(F396*IFERROR(VLOOKUP(C396,'SẢN_PHẨM'!$A$2:$G$500,5,FALSE),0)))</x:f>
      </x:c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36" t="str">
        <x:f>IF(C397="","",IFERROR(VLOOKUP(C397,'SẢN_PHẨM'!$A$2:$G$500,2,FALSE),""))</x:f>
      </x:c>
      <x:c r="E397" s="36" t="str">
        <x:f>IF(C397="","",IFERROR(VLOOKUP(C397,'SẢN_PHẨM'!$A$2:$G$500,3,FALSE),""))</x:f>
      </x:c>
      <x:c r="F397" s="39"/>
      <x:c r="G397" s="44"/>
      <x:c r="H397" s="35" t="str">
        <x:f>IF(OR(F397="",G397=""),"",F397*G397)</x:f>
      </x:c>
      <x:c r="I397" s="36" t="str">
        <x:f>IF(A397="","",SUMIFS('CHI_TIẾT_GIAO_HÀNG'!$D$2:$D$500,'CHI_TIẾT_GIAO_HÀNG'!$C$2:$C$500,A397,'CHI_TIẾT_GIAO_HÀNG'!$E$2:$E$500,"ĐÃ GIAO"))</x:f>
      </x:c>
      <x:c r="J397" s="36" t="str">
        <x:f>IF(A397="","",MAX(0,F397-I397))</x:f>
      </x:c>
      <x:c r="K397" s="35" t="str">
        <x:f>IF(A397="","",H397-(F397*IFERROR(VLOOKUP(C397,'SẢN_PHẨM'!$A$2:$G$500,5,FALSE),0)))</x:f>
      </x:c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36" t="str">
        <x:f>IF(C398="","",IFERROR(VLOOKUP(C398,'SẢN_PHẨM'!$A$2:$G$500,2,FALSE),""))</x:f>
      </x:c>
      <x:c r="E398" s="36" t="str">
        <x:f>IF(C398="","",IFERROR(VLOOKUP(C398,'SẢN_PHẨM'!$A$2:$G$500,3,FALSE),""))</x:f>
      </x:c>
      <x:c r="F398" s="39"/>
      <x:c r="G398" s="44"/>
      <x:c r="H398" s="35" t="str">
        <x:f>IF(OR(F398="",G398=""),"",F398*G398)</x:f>
      </x:c>
      <x:c r="I398" s="36" t="str">
        <x:f>IF(A398="","",SUMIFS('CHI_TIẾT_GIAO_HÀNG'!$D$2:$D$500,'CHI_TIẾT_GIAO_HÀNG'!$C$2:$C$500,A398,'CHI_TIẾT_GIAO_HÀNG'!$E$2:$E$500,"ĐÃ GIAO"))</x:f>
      </x:c>
      <x:c r="J398" s="36" t="str">
        <x:f>IF(A398="","",MAX(0,F398-I398))</x:f>
      </x:c>
      <x:c r="K398" s="35" t="str">
        <x:f>IF(A398="","",H398-(F398*IFERROR(VLOOKUP(C398,'SẢN_PHẨM'!$A$2:$G$500,5,FALSE),0)))</x:f>
      </x:c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36" t="str">
        <x:f>IF(C399="","",IFERROR(VLOOKUP(C399,'SẢN_PHẨM'!$A$2:$G$500,2,FALSE),""))</x:f>
      </x:c>
      <x:c r="E399" s="36" t="str">
        <x:f>IF(C399="","",IFERROR(VLOOKUP(C399,'SẢN_PHẨM'!$A$2:$G$500,3,FALSE),""))</x:f>
      </x:c>
      <x:c r="F399" s="39"/>
      <x:c r="G399" s="44"/>
      <x:c r="H399" s="35" t="str">
        <x:f>IF(OR(F399="",G399=""),"",F399*G399)</x:f>
      </x:c>
      <x:c r="I399" s="36" t="str">
        <x:f>IF(A399="","",SUMIFS('CHI_TIẾT_GIAO_HÀNG'!$D$2:$D$500,'CHI_TIẾT_GIAO_HÀNG'!$C$2:$C$500,A399,'CHI_TIẾT_GIAO_HÀNG'!$E$2:$E$500,"ĐÃ GIAO"))</x:f>
      </x:c>
      <x:c r="J399" s="36" t="str">
        <x:f>IF(A399="","",MAX(0,F399-I399))</x:f>
      </x:c>
      <x:c r="K399" s="35" t="str">
        <x:f>IF(A399="","",H399-(F399*IFERROR(VLOOKUP(C399,'SẢN_PHẨM'!$A$2:$G$500,5,FALSE),0)))</x:f>
      </x:c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36" t="str">
        <x:f>IF(C400="","",IFERROR(VLOOKUP(C400,'SẢN_PHẨM'!$A$2:$G$500,2,FALSE),""))</x:f>
      </x:c>
      <x:c r="E400" s="36" t="str">
        <x:f>IF(C400="","",IFERROR(VLOOKUP(C400,'SẢN_PHẨM'!$A$2:$G$500,3,FALSE),""))</x:f>
      </x:c>
      <x:c r="F400" s="39"/>
      <x:c r="G400" s="44"/>
      <x:c r="H400" s="35" t="str">
        <x:f>IF(OR(F400="",G400=""),"",F400*G400)</x:f>
      </x:c>
      <x:c r="I400" s="36" t="str">
        <x:f>IF(A400="","",SUMIFS('CHI_TIẾT_GIAO_HÀNG'!$D$2:$D$500,'CHI_TIẾT_GIAO_HÀNG'!$C$2:$C$500,A400,'CHI_TIẾT_GIAO_HÀNG'!$E$2:$E$500,"ĐÃ GIAO"))</x:f>
      </x:c>
      <x:c r="J400" s="36" t="str">
        <x:f>IF(A400="","",MAX(0,F400-I400))</x:f>
      </x:c>
      <x:c r="K400" s="35" t="str">
        <x:f>IF(A400="","",H400-(F400*IFERROR(VLOOKUP(C400,'SẢN_PHẨM'!$A$2:$G$500,5,FALSE),0)))</x:f>
      </x:c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36" t="str">
        <x:f>IF(C401="","",IFERROR(VLOOKUP(C401,'SẢN_PHẨM'!$A$2:$G$500,2,FALSE),""))</x:f>
      </x:c>
      <x:c r="E401" s="36" t="str">
        <x:f>IF(C401="","",IFERROR(VLOOKUP(C401,'SẢN_PHẨM'!$A$2:$G$500,3,FALSE),""))</x:f>
      </x:c>
      <x:c r="F401" s="39"/>
      <x:c r="G401" s="44"/>
      <x:c r="H401" s="35" t="str">
        <x:f>IF(OR(F401="",G401=""),"",F401*G401)</x:f>
      </x:c>
      <x:c r="I401" s="36" t="str">
        <x:f>IF(A401="","",SUMIFS('CHI_TIẾT_GIAO_HÀNG'!$D$2:$D$500,'CHI_TIẾT_GIAO_HÀNG'!$C$2:$C$500,A401,'CHI_TIẾT_GIAO_HÀNG'!$E$2:$E$500,"ĐÃ GIAO"))</x:f>
      </x:c>
      <x:c r="J401" s="36" t="str">
        <x:f>IF(A401="","",MAX(0,F401-I401))</x:f>
      </x:c>
      <x:c r="K401" s="35" t="str">
        <x:f>IF(A401="","",H401-(F401*IFERROR(VLOOKUP(C401,'SẢN_PHẨM'!$A$2:$G$500,5,FALSE),0)))</x:f>
      </x:c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36" t="str">
        <x:f>IF(C402="","",IFERROR(VLOOKUP(C402,'SẢN_PHẨM'!$A$2:$G$500,2,FALSE),""))</x:f>
      </x:c>
      <x:c r="E402" s="36" t="str">
        <x:f>IF(C402="","",IFERROR(VLOOKUP(C402,'SẢN_PHẨM'!$A$2:$G$500,3,FALSE),""))</x:f>
      </x:c>
      <x:c r="F402" s="39"/>
      <x:c r="G402" s="44"/>
      <x:c r="H402" s="35" t="str">
        <x:f>IF(OR(F402="",G402=""),"",F402*G402)</x:f>
      </x:c>
      <x:c r="I402" s="36" t="str">
        <x:f>IF(A402="","",SUMIFS('CHI_TIẾT_GIAO_HÀNG'!$D$2:$D$500,'CHI_TIẾT_GIAO_HÀNG'!$C$2:$C$500,A402,'CHI_TIẾT_GIAO_HÀNG'!$E$2:$E$500,"ĐÃ GIAO"))</x:f>
      </x:c>
      <x:c r="J402" s="36" t="str">
        <x:f>IF(A402="","",MAX(0,F402-I402))</x:f>
      </x:c>
      <x:c r="K402" s="35" t="str">
        <x:f>IF(A402="","",H402-(F402*IFERROR(VLOOKUP(C402,'SẢN_PHẨM'!$A$2:$G$500,5,FALSE),0)))</x:f>
      </x:c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36" t="str">
        <x:f>IF(C403="","",IFERROR(VLOOKUP(C403,'SẢN_PHẨM'!$A$2:$G$500,2,FALSE),""))</x:f>
      </x:c>
      <x:c r="E403" s="36" t="str">
        <x:f>IF(C403="","",IFERROR(VLOOKUP(C403,'SẢN_PHẨM'!$A$2:$G$500,3,FALSE),""))</x:f>
      </x:c>
      <x:c r="F403" s="39"/>
      <x:c r="G403" s="44"/>
      <x:c r="H403" s="35" t="str">
        <x:f>IF(OR(F403="",G403=""),"",F403*G403)</x:f>
      </x:c>
      <x:c r="I403" s="36" t="str">
        <x:f>IF(A403="","",SUMIFS('CHI_TIẾT_GIAO_HÀNG'!$D$2:$D$500,'CHI_TIẾT_GIAO_HÀNG'!$C$2:$C$500,A403,'CHI_TIẾT_GIAO_HÀNG'!$E$2:$E$500,"ĐÃ GIAO"))</x:f>
      </x:c>
      <x:c r="J403" s="36" t="str">
        <x:f>IF(A403="","",MAX(0,F403-I403))</x:f>
      </x:c>
      <x:c r="K403" s="35" t="str">
        <x:f>IF(A403="","",H403-(F403*IFERROR(VLOOKUP(C403,'SẢN_PHẨM'!$A$2:$G$500,5,FALSE),0)))</x:f>
      </x:c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36" t="str">
        <x:f>IF(C404="","",IFERROR(VLOOKUP(C404,'SẢN_PHẨM'!$A$2:$G$500,2,FALSE),""))</x:f>
      </x:c>
      <x:c r="E404" s="36" t="str">
        <x:f>IF(C404="","",IFERROR(VLOOKUP(C404,'SẢN_PHẨM'!$A$2:$G$500,3,FALSE),""))</x:f>
      </x:c>
      <x:c r="F404" s="39"/>
      <x:c r="G404" s="44"/>
      <x:c r="H404" s="35" t="str">
        <x:f>IF(OR(F404="",G404=""),"",F404*G404)</x:f>
      </x:c>
      <x:c r="I404" s="36" t="str">
        <x:f>IF(A404="","",SUMIFS('CHI_TIẾT_GIAO_HÀNG'!$D$2:$D$500,'CHI_TIẾT_GIAO_HÀNG'!$C$2:$C$500,A404,'CHI_TIẾT_GIAO_HÀNG'!$E$2:$E$500,"ĐÃ GIAO"))</x:f>
      </x:c>
      <x:c r="J404" s="36" t="str">
        <x:f>IF(A404="","",MAX(0,F404-I404))</x:f>
      </x:c>
      <x:c r="K404" s="35" t="str">
        <x:f>IF(A404="","",H404-(F404*IFERROR(VLOOKUP(C404,'SẢN_PHẨM'!$A$2:$G$500,5,FALSE),0)))</x:f>
      </x:c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36" t="str">
        <x:f>IF(C405="","",IFERROR(VLOOKUP(C405,'SẢN_PHẨM'!$A$2:$G$500,2,FALSE),""))</x:f>
      </x:c>
      <x:c r="E405" s="36" t="str">
        <x:f>IF(C405="","",IFERROR(VLOOKUP(C405,'SẢN_PHẨM'!$A$2:$G$500,3,FALSE),""))</x:f>
      </x:c>
      <x:c r="F405" s="39"/>
      <x:c r="G405" s="44"/>
      <x:c r="H405" s="35" t="str">
        <x:f>IF(OR(F405="",G405=""),"",F405*G405)</x:f>
      </x:c>
      <x:c r="I405" s="36" t="str">
        <x:f>IF(A405="","",SUMIFS('CHI_TIẾT_GIAO_HÀNG'!$D$2:$D$500,'CHI_TIẾT_GIAO_HÀNG'!$C$2:$C$500,A405,'CHI_TIẾT_GIAO_HÀNG'!$E$2:$E$500,"ĐÃ GIAO"))</x:f>
      </x:c>
      <x:c r="J405" s="36" t="str">
        <x:f>IF(A405="","",MAX(0,F405-I405))</x:f>
      </x:c>
      <x:c r="K405" s="35" t="str">
        <x:f>IF(A405="","",H405-(F405*IFERROR(VLOOKUP(C405,'SẢN_PHẨM'!$A$2:$G$500,5,FALSE),0)))</x:f>
      </x:c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36" t="str">
        <x:f>IF(C406="","",IFERROR(VLOOKUP(C406,'SẢN_PHẨM'!$A$2:$G$500,2,FALSE),""))</x:f>
      </x:c>
      <x:c r="E406" s="36" t="str">
        <x:f>IF(C406="","",IFERROR(VLOOKUP(C406,'SẢN_PHẨM'!$A$2:$G$500,3,FALSE),""))</x:f>
      </x:c>
      <x:c r="F406" s="39"/>
      <x:c r="G406" s="44"/>
      <x:c r="H406" s="35" t="str">
        <x:f>IF(OR(F406="",G406=""),"",F406*G406)</x:f>
      </x:c>
      <x:c r="I406" s="36" t="str">
        <x:f>IF(A406="","",SUMIFS('CHI_TIẾT_GIAO_HÀNG'!$D$2:$D$500,'CHI_TIẾT_GIAO_HÀNG'!$C$2:$C$500,A406,'CHI_TIẾT_GIAO_HÀNG'!$E$2:$E$500,"ĐÃ GIAO"))</x:f>
      </x:c>
      <x:c r="J406" s="36" t="str">
        <x:f>IF(A406="","",MAX(0,F406-I406))</x:f>
      </x:c>
      <x:c r="K406" s="35" t="str">
        <x:f>IF(A406="","",H406-(F406*IFERROR(VLOOKUP(C406,'SẢN_PHẨM'!$A$2:$G$500,5,FALSE),0)))</x:f>
      </x:c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36" t="str">
        <x:f>IF(C407="","",IFERROR(VLOOKUP(C407,'SẢN_PHẨM'!$A$2:$G$500,2,FALSE),""))</x:f>
      </x:c>
      <x:c r="E407" s="36" t="str">
        <x:f>IF(C407="","",IFERROR(VLOOKUP(C407,'SẢN_PHẨM'!$A$2:$G$500,3,FALSE),""))</x:f>
      </x:c>
      <x:c r="F407" s="39"/>
      <x:c r="G407" s="44"/>
      <x:c r="H407" s="35" t="str">
        <x:f>IF(OR(F407="",G407=""),"",F407*G407)</x:f>
      </x:c>
      <x:c r="I407" s="36" t="str">
        <x:f>IF(A407="","",SUMIFS('CHI_TIẾT_GIAO_HÀNG'!$D$2:$D$500,'CHI_TIẾT_GIAO_HÀNG'!$C$2:$C$500,A407,'CHI_TIẾT_GIAO_HÀNG'!$E$2:$E$500,"ĐÃ GIAO"))</x:f>
      </x:c>
      <x:c r="J407" s="36" t="str">
        <x:f>IF(A407="","",MAX(0,F407-I407))</x:f>
      </x:c>
      <x:c r="K407" s="35" t="str">
        <x:f>IF(A407="","",H407-(F407*IFERROR(VLOOKUP(C407,'SẢN_PHẨM'!$A$2:$G$500,5,FALSE),0)))</x:f>
      </x:c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36" t="str">
        <x:f>IF(C408="","",IFERROR(VLOOKUP(C408,'SẢN_PHẨM'!$A$2:$G$500,2,FALSE),""))</x:f>
      </x:c>
      <x:c r="E408" s="36" t="str">
        <x:f>IF(C408="","",IFERROR(VLOOKUP(C408,'SẢN_PHẨM'!$A$2:$G$500,3,FALSE),""))</x:f>
      </x:c>
      <x:c r="F408" s="39"/>
      <x:c r="G408" s="44"/>
      <x:c r="H408" s="35" t="str">
        <x:f>IF(OR(F408="",G408=""),"",F408*G408)</x:f>
      </x:c>
      <x:c r="I408" s="36" t="str">
        <x:f>IF(A408="","",SUMIFS('CHI_TIẾT_GIAO_HÀNG'!$D$2:$D$500,'CHI_TIẾT_GIAO_HÀNG'!$C$2:$C$500,A408,'CHI_TIẾT_GIAO_HÀNG'!$E$2:$E$500,"ĐÃ GIAO"))</x:f>
      </x:c>
      <x:c r="J408" s="36" t="str">
        <x:f>IF(A408="","",MAX(0,F408-I408))</x:f>
      </x:c>
      <x:c r="K408" s="35" t="str">
        <x:f>IF(A408="","",H408-(F408*IFERROR(VLOOKUP(C408,'SẢN_PHẨM'!$A$2:$G$500,5,FALSE),0)))</x:f>
      </x:c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36" t="str">
        <x:f>IF(C409="","",IFERROR(VLOOKUP(C409,'SẢN_PHẨM'!$A$2:$G$500,2,FALSE),""))</x:f>
      </x:c>
      <x:c r="E409" s="36" t="str">
        <x:f>IF(C409="","",IFERROR(VLOOKUP(C409,'SẢN_PHẨM'!$A$2:$G$500,3,FALSE),""))</x:f>
      </x:c>
      <x:c r="F409" s="39"/>
      <x:c r="G409" s="44"/>
      <x:c r="H409" s="35" t="str">
        <x:f>IF(OR(F409="",G409=""),"",F409*G409)</x:f>
      </x:c>
      <x:c r="I409" s="36" t="str">
        <x:f>IF(A409="","",SUMIFS('CHI_TIẾT_GIAO_HÀNG'!$D$2:$D$500,'CHI_TIẾT_GIAO_HÀNG'!$C$2:$C$500,A409,'CHI_TIẾT_GIAO_HÀNG'!$E$2:$E$500,"ĐÃ GIAO"))</x:f>
      </x:c>
      <x:c r="J409" s="36" t="str">
        <x:f>IF(A409="","",MAX(0,F409-I409))</x:f>
      </x:c>
      <x:c r="K409" s="35" t="str">
        <x:f>IF(A409="","",H409-(F409*IFERROR(VLOOKUP(C409,'SẢN_PHẨM'!$A$2:$G$500,5,FALSE),0)))</x:f>
      </x:c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36" t="str">
        <x:f>IF(C410="","",IFERROR(VLOOKUP(C410,'SẢN_PHẨM'!$A$2:$G$500,2,FALSE),""))</x:f>
      </x:c>
      <x:c r="E410" s="36" t="str">
        <x:f>IF(C410="","",IFERROR(VLOOKUP(C410,'SẢN_PHẨM'!$A$2:$G$500,3,FALSE),""))</x:f>
      </x:c>
      <x:c r="F410" s="39"/>
      <x:c r="G410" s="44"/>
      <x:c r="H410" s="35" t="str">
        <x:f>IF(OR(F410="",G410=""),"",F410*G410)</x:f>
      </x:c>
      <x:c r="I410" s="36" t="str">
        <x:f>IF(A410="","",SUMIFS('CHI_TIẾT_GIAO_HÀNG'!$D$2:$D$500,'CHI_TIẾT_GIAO_HÀNG'!$C$2:$C$500,A410,'CHI_TIẾT_GIAO_HÀNG'!$E$2:$E$500,"ĐÃ GIAO"))</x:f>
      </x:c>
      <x:c r="J410" s="36" t="str">
        <x:f>IF(A410="","",MAX(0,F410-I410))</x:f>
      </x:c>
      <x:c r="K410" s="35" t="str">
        <x:f>IF(A410="","",H410-(F410*IFERROR(VLOOKUP(C410,'SẢN_PHẨM'!$A$2:$G$500,5,FALSE),0)))</x:f>
      </x:c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36" t="str">
        <x:f>IF(C411="","",IFERROR(VLOOKUP(C411,'SẢN_PHẨM'!$A$2:$G$500,2,FALSE),""))</x:f>
      </x:c>
      <x:c r="E411" s="36" t="str">
        <x:f>IF(C411="","",IFERROR(VLOOKUP(C411,'SẢN_PHẨM'!$A$2:$G$500,3,FALSE),""))</x:f>
      </x:c>
      <x:c r="F411" s="39"/>
      <x:c r="G411" s="44"/>
      <x:c r="H411" s="35" t="str">
        <x:f>IF(OR(F411="",G411=""),"",F411*G411)</x:f>
      </x:c>
      <x:c r="I411" s="36" t="str">
        <x:f>IF(A411="","",SUMIFS('CHI_TIẾT_GIAO_HÀNG'!$D$2:$D$500,'CHI_TIẾT_GIAO_HÀNG'!$C$2:$C$500,A411,'CHI_TIẾT_GIAO_HÀNG'!$E$2:$E$500,"ĐÃ GIAO"))</x:f>
      </x:c>
      <x:c r="J411" s="36" t="str">
        <x:f>IF(A411="","",MAX(0,F411-I411))</x:f>
      </x:c>
      <x:c r="K411" s="35" t="str">
        <x:f>IF(A411="","",H411-(F411*IFERROR(VLOOKUP(C411,'SẢN_PHẨM'!$A$2:$G$500,5,FALSE),0)))</x:f>
      </x:c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36" t="str">
        <x:f>IF(C412="","",IFERROR(VLOOKUP(C412,'SẢN_PHẨM'!$A$2:$G$500,2,FALSE),""))</x:f>
      </x:c>
      <x:c r="E412" s="36" t="str">
        <x:f>IF(C412="","",IFERROR(VLOOKUP(C412,'SẢN_PHẨM'!$A$2:$G$500,3,FALSE),""))</x:f>
      </x:c>
      <x:c r="F412" s="39"/>
      <x:c r="G412" s="44"/>
      <x:c r="H412" s="35" t="str">
        <x:f>IF(OR(F412="",G412=""),"",F412*G412)</x:f>
      </x:c>
      <x:c r="I412" s="36" t="str">
        <x:f>IF(A412="","",SUMIFS('CHI_TIẾT_GIAO_HÀNG'!$D$2:$D$500,'CHI_TIẾT_GIAO_HÀNG'!$C$2:$C$500,A412,'CHI_TIẾT_GIAO_HÀNG'!$E$2:$E$500,"ĐÃ GIAO"))</x:f>
      </x:c>
      <x:c r="J412" s="36" t="str">
        <x:f>IF(A412="","",MAX(0,F412-I412))</x:f>
      </x:c>
      <x:c r="K412" s="35" t="str">
        <x:f>IF(A412="","",H412-(F412*IFERROR(VLOOKUP(C412,'SẢN_PHẨM'!$A$2:$G$500,5,FALSE),0)))</x:f>
      </x:c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36" t="str">
        <x:f>IF(C413="","",IFERROR(VLOOKUP(C413,'SẢN_PHẨM'!$A$2:$G$500,2,FALSE),""))</x:f>
      </x:c>
      <x:c r="E413" s="36" t="str">
        <x:f>IF(C413="","",IFERROR(VLOOKUP(C413,'SẢN_PHẨM'!$A$2:$G$500,3,FALSE),""))</x:f>
      </x:c>
      <x:c r="F413" s="39"/>
      <x:c r="G413" s="44"/>
      <x:c r="H413" s="35" t="str">
        <x:f>IF(OR(F413="",G413=""),"",F413*G413)</x:f>
      </x:c>
      <x:c r="I413" s="36" t="str">
        <x:f>IF(A413="","",SUMIFS('CHI_TIẾT_GIAO_HÀNG'!$D$2:$D$500,'CHI_TIẾT_GIAO_HÀNG'!$C$2:$C$500,A413,'CHI_TIẾT_GIAO_HÀNG'!$E$2:$E$500,"ĐÃ GIAO"))</x:f>
      </x:c>
      <x:c r="J413" s="36" t="str">
        <x:f>IF(A413="","",MAX(0,F413-I413))</x:f>
      </x:c>
      <x:c r="K413" s="35" t="str">
        <x:f>IF(A413="","",H413-(F413*IFERROR(VLOOKUP(C413,'SẢN_PHẨM'!$A$2:$G$500,5,FALSE),0)))</x:f>
      </x:c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36" t="str">
        <x:f>IF(C414="","",IFERROR(VLOOKUP(C414,'SẢN_PHẨM'!$A$2:$G$500,2,FALSE),""))</x:f>
      </x:c>
      <x:c r="E414" s="36" t="str">
        <x:f>IF(C414="","",IFERROR(VLOOKUP(C414,'SẢN_PHẨM'!$A$2:$G$500,3,FALSE),""))</x:f>
      </x:c>
      <x:c r="F414" s="39"/>
      <x:c r="G414" s="44"/>
      <x:c r="H414" s="35" t="str">
        <x:f>IF(OR(F414="",G414=""),"",F414*G414)</x:f>
      </x:c>
      <x:c r="I414" s="36" t="str">
        <x:f>IF(A414="","",SUMIFS('CHI_TIẾT_GIAO_HÀNG'!$D$2:$D$500,'CHI_TIẾT_GIAO_HÀNG'!$C$2:$C$500,A414,'CHI_TIẾT_GIAO_HÀNG'!$E$2:$E$500,"ĐÃ GIAO"))</x:f>
      </x:c>
      <x:c r="J414" s="36" t="str">
        <x:f>IF(A414="","",MAX(0,F414-I414))</x:f>
      </x:c>
      <x:c r="K414" s="35" t="str">
        <x:f>IF(A414="","",H414-(F414*IFERROR(VLOOKUP(C414,'SẢN_PHẨM'!$A$2:$G$500,5,FALSE),0)))</x:f>
      </x:c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36" t="str">
        <x:f>IF(C415="","",IFERROR(VLOOKUP(C415,'SẢN_PHẨM'!$A$2:$G$500,2,FALSE),""))</x:f>
      </x:c>
      <x:c r="E415" s="36" t="str">
        <x:f>IF(C415="","",IFERROR(VLOOKUP(C415,'SẢN_PHẨM'!$A$2:$G$500,3,FALSE),""))</x:f>
      </x:c>
      <x:c r="F415" s="39"/>
      <x:c r="G415" s="44"/>
      <x:c r="H415" s="35" t="str">
        <x:f>IF(OR(F415="",G415=""),"",F415*G415)</x:f>
      </x:c>
      <x:c r="I415" s="36" t="str">
        <x:f>IF(A415="","",SUMIFS('CHI_TIẾT_GIAO_HÀNG'!$D$2:$D$500,'CHI_TIẾT_GIAO_HÀNG'!$C$2:$C$500,A415,'CHI_TIẾT_GIAO_HÀNG'!$E$2:$E$500,"ĐÃ GIAO"))</x:f>
      </x:c>
      <x:c r="J415" s="36" t="str">
        <x:f>IF(A415="","",MAX(0,F415-I415))</x:f>
      </x:c>
      <x:c r="K415" s="35" t="str">
        <x:f>IF(A415="","",H415-(F415*IFERROR(VLOOKUP(C415,'SẢN_PHẨM'!$A$2:$G$500,5,FALSE),0)))</x:f>
      </x:c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36" t="str">
        <x:f>IF(C416="","",IFERROR(VLOOKUP(C416,'SẢN_PHẨM'!$A$2:$G$500,2,FALSE),""))</x:f>
      </x:c>
      <x:c r="E416" s="36" t="str">
        <x:f>IF(C416="","",IFERROR(VLOOKUP(C416,'SẢN_PHẨM'!$A$2:$G$500,3,FALSE),""))</x:f>
      </x:c>
      <x:c r="F416" s="39"/>
      <x:c r="G416" s="44"/>
      <x:c r="H416" s="35" t="str">
        <x:f>IF(OR(F416="",G416=""),"",F416*G416)</x:f>
      </x:c>
      <x:c r="I416" s="36" t="str">
        <x:f>IF(A416="","",SUMIFS('CHI_TIẾT_GIAO_HÀNG'!$D$2:$D$500,'CHI_TIẾT_GIAO_HÀNG'!$C$2:$C$500,A416,'CHI_TIẾT_GIAO_HÀNG'!$E$2:$E$500,"ĐÃ GIAO"))</x:f>
      </x:c>
      <x:c r="J416" s="36" t="str">
        <x:f>IF(A416="","",MAX(0,F416-I416))</x:f>
      </x:c>
      <x:c r="K416" s="35" t="str">
        <x:f>IF(A416="","",H416-(F416*IFERROR(VLOOKUP(C416,'SẢN_PHẨM'!$A$2:$G$500,5,FALSE),0)))</x:f>
      </x:c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36" t="str">
        <x:f>IF(C417="","",IFERROR(VLOOKUP(C417,'SẢN_PHẨM'!$A$2:$G$500,2,FALSE),""))</x:f>
      </x:c>
      <x:c r="E417" s="36" t="str">
        <x:f>IF(C417="","",IFERROR(VLOOKUP(C417,'SẢN_PHẨM'!$A$2:$G$500,3,FALSE),""))</x:f>
      </x:c>
      <x:c r="F417" s="39"/>
      <x:c r="G417" s="44"/>
      <x:c r="H417" s="35" t="str">
        <x:f>IF(OR(F417="",G417=""),"",F417*G417)</x:f>
      </x:c>
      <x:c r="I417" s="36" t="str">
        <x:f>IF(A417="","",SUMIFS('CHI_TIẾT_GIAO_HÀNG'!$D$2:$D$500,'CHI_TIẾT_GIAO_HÀNG'!$C$2:$C$500,A417,'CHI_TIẾT_GIAO_HÀNG'!$E$2:$E$500,"ĐÃ GIAO"))</x:f>
      </x:c>
      <x:c r="J417" s="36" t="str">
        <x:f>IF(A417="","",MAX(0,F417-I417))</x:f>
      </x:c>
      <x:c r="K417" s="35" t="str">
        <x:f>IF(A417="","",H417-(F417*IFERROR(VLOOKUP(C417,'SẢN_PHẨM'!$A$2:$G$500,5,FALSE),0)))</x:f>
      </x:c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36" t="str">
        <x:f>IF(C418="","",IFERROR(VLOOKUP(C418,'SẢN_PHẨM'!$A$2:$G$500,2,FALSE),""))</x:f>
      </x:c>
      <x:c r="E418" s="36" t="str">
        <x:f>IF(C418="","",IFERROR(VLOOKUP(C418,'SẢN_PHẨM'!$A$2:$G$500,3,FALSE),""))</x:f>
      </x:c>
      <x:c r="F418" s="39"/>
      <x:c r="G418" s="44"/>
      <x:c r="H418" s="35" t="str">
        <x:f>IF(OR(F418="",G418=""),"",F418*G418)</x:f>
      </x:c>
      <x:c r="I418" s="36" t="str">
        <x:f>IF(A418="","",SUMIFS('CHI_TIẾT_GIAO_HÀNG'!$D$2:$D$500,'CHI_TIẾT_GIAO_HÀNG'!$C$2:$C$500,A418,'CHI_TIẾT_GIAO_HÀNG'!$E$2:$E$500,"ĐÃ GIAO"))</x:f>
      </x:c>
      <x:c r="J418" s="36" t="str">
        <x:f>IF(A418="","",MAX(0,F418-I418))</x:f>
      </x:c>
      <x:c r="K418" s="35" t="str">
        <x:f>IF(A418="","",H418-(F418*IFERROR(VLOOKUP(C418,'SẢN_PHẨM'!$A$2:$G$500,5,FALSE),0)))</x:f>
      </x:c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36" t="str">
        <x:f>IF(C419="","",IFERROR(VLOOKUP(C419,'SẢN_PHẨM'!$A$2:$G$500,2,FALSE),""))</x:f>
      </x:c>
      <x:c r="E419" s="36" t="str">
        <x:f>IF(C419="","",IFERROR(VLOOKUP(C419,'SẢN_PHẨM'!$A$2:$G$500,3,FALSE),""))</x:f>
      </x:c>
      <x:c r="F419" s="39"/>
      <x:c r="G419" s="44"/>
      <x:c r="H419" s="35" t="str">
        <x:f>IF(OR(F419="",G419=""),"",F419*G419)</x:f>
      </x:c>
      <x:c r="I419" s="36" t="str">
        <x:f>IF(A419="","",SUMIFS('CHI_TIẾT_GIAO_HÀNG'!$D$2:$D$500,'CHI_TIẾT_GIAO_HÀNG'!$C$2:$C$500,A419,'CHI_TIẾT_GIAO_HÀNG'!$E$2:$E$500,"ĐÃ GIAO"))</x:f>
      </x:c>
      <x:c r="J419" s="36" t="str">
        <x:f>IF(A419="","",MAX(0,F419-I419))</x:f>
      </x:c>
      <x:c r="K419" s="35" t="str">
        <x:f>IF(A419="","",H419-(F419*IFERROR(VLOOKUP(C419,'SẢN_PHẨM'!$A$2:$G$500,5,FALSE),0)))</x:f>
      </x:c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36" t="str">
        <x:f>IF(C420="","",IFERROR(VLOOKUP(C420,'SẢN_PHẨM'!$A$2:$G$500,2,FALSE),""))</x:f>
      </x:c>
      <x:c r="E420" s="36" t="str">
        <x:f>IF(C420="","",IFERROR(VLOOKUP(C420,'SẢN_PHẨM'!$A$2:$G$500,3,FALSE),""))</x:f>
      </x:c>
      <x:c r="F420" s="39"/>
      <x:c r="G420" s="44"/>
      <x:c r="H420" s="35" t="str">
        <x:f>IF(OR(F420="",G420=""),"",F420*G420)</x:f>
      </x:c>
      <x:c r="I420" s="36" t="str">
        <x:f>IF(A420="","",SUMIFS('CHI_TIẾT_GIAO_HÀNG'!$D$2:$D$500,'CHI_TIẾT_GIAO_HÀNG'!$C$2:$C$500,A420,'CHI_TIẾT_GIAO_HÀNG'!$E$2:$E$500,"ĐÃ GIAO"))</x:f>
      </x:c>
      <x:c r="J420" s="36" t="str">
        <x:f>IF(A420="","",MAX(0,F420-I420))</x:f>
      </x:c>
      <x:c r="K420" s="35" t="str">
        <x:f>IF(A420="","",H420-(F420*IFERROR(VLOOKUP(C420,'SẢN_PHẨM'!$A$2:$G$500,5,FALSE),0)))</x:f>
      </x:c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36" t="str">
        <x:f>IF(C421="","",IFERROR(VLOOKUP(C421,'SẢN_PHẨM'!$A$2:$G$500,2,FALSE),""))</x:f>
      </x:c>
      <x:c r="E421" s="36" t="str">
        <x:f>IF(C421="","",IFERROR(VLOOKUP(C421,'SẢN_PHẨM'!$A$2:$G$500,3,FALSE),""))</x:f>
      </x:c>
      <x:c r="F421" s="39"/>
      <x:c r="G421" s="44"/>
      <x:c r="H421" s="35" t="str">
        <x:f>IF(OR(F421="",G421=""),"",F421*G421)</x:f>
      </x:c>
      <x:c r="I421" s="36" t="str">
        <x:f>IF(A421="","",SUMIFS('CHI_TIẾT_GIAO_HÀNG'!$D$2:$D$500,'CHI_TIẾT_GIAO_HÀNG'!$C$2:$C$500,A421,'CHI_TIẾT_GIAO_HÀNG'!$E$2:$E$500,"ĐÃ GIAO"))</x:f>
      </x:c>
      <x:c r="J421" s="36" t="str">
        <x:f>IF(A421="","",MAX(0,F421-I421))</x:f>
      </x:c>
      <x:c r="K421" s="35" t="str">
        <x:f>IF(A421="","",H421-(F421*IFERROR(VLOOKUP(C421,'SẢN_PHẨM'!$A$2:$G$500,5,FALSE),0)))</x:f>
      </x:c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36" t="str">
        <x:f>IF(C422="","",IFERROR(VLOOKUP(C422,'SẢN_PHẨM'!$A$2:$G$500,2,FALSE),""))</x:f>
      </x:c>
      <x:c r="E422" s="36" t="str">
        <x:f>IF(C422="","",IFERROR(VLOOKUP(C422,'SẢN_PHẨM'!$A$2:$G$500,3,FALSE),""))</x:f>
      </x:c>
      <x:c r="F422" s="39"/>
      <x:c r="G422" s="44"/>
      <x:c r="H422" s="35" t="str">
        <x:f>IF(OR(F422="",G422=""),"",F422*G422)</x:f>
      </x:c>
      <x:c r="I422" s="36" t="str">
        <x:f>IF(A422="","",SUMIFS('CHI_TIẾT_GIAO_HÀNG'!$D$2:$D$500,'CHI_TIẾT_GIAO_HÀNG'!$C$2:$C$500,A422,'CHI_TIẾT_GIAO_HÀNG'!$E$2:$E$500,"ĐÃ GIAO"))</x:f>
      </x:c>
      <x:c r="J422" s="36" t="str">
        <x:f>IF(A422="","",MAX(0,F422-I422))</x:f>
      </x:c>
      <x:c r="K422" s="35" t="str">
        <x:f>IF(A422="","",H422-(F422*IFERROR(VLOOKUP(C422,'SẢN_PHẨM'!$A$2:$G$500,5,FALSE),0)))</x:f>
      </x:c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36" t="str">
        <x:f>IF(C423="","",IFERROR(VLOOKUP(C423,'SẢN_PHẨM'!$A$2:$G$500,2,FALSE),""))</x:f>
      </x:c>
      <x:c r="E423" s="36" t="str">
        <x:f>IF(C423="","",IFERROR(VLOOKUP(C423,'SẢN_PHẨM'!$A$2:$G$500,3,FALSE),""))</x:f>
      </x:c>
      <x:c r="F423" s="39"/>
      <x:c r="G423" s="44"/>
      <x:c r="H423" s="35" t="str">
        <x:f>IF(OR(F423="",G423=""),"",F423*G423)</x:f>
      </x:c>
      <x:c r="I423" s="36" t="str">
        <x:f>IF(A423="","",SUMIFS('CHI_TIẾT_GIAO_HÀNG'!$D$2:$D$500,'CHI_TIẾT_GIAO_HÀNG'!$C$2:$C$500,A423,'CHI_TIẾT_GIAO_HÀNG'!$E$2:$E$500,"ĐÃ GIAO"))</x:f>
      </x:c>
      <x:c r="J423" s="36" t="str">
        <x:f>IF(A423="","",MAX(0,F423-I423))</x:f>
      </x:c>
      <x:c r="K423" s="35" t="str">
        <x:f>IF(A423="","",H423-(F423*IFERROR(VLOOKUP(C423,'SẢN_PHẨM'!$A$2:$G$500,5,FALSE),0)))</x:f>
      </x:c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36" t="str">
        <x:f>IF(C424="","",IFERROR(VLOOKUP(C424,'SẢN_PHẨM'!$A$2:$G$500,2,FALSE),""))</x:f>
      </x:c>
      <x:c r="E424" s="36" t="str">
        <x:f>IF(C424="","",IFERROR(VLOOKUP(C424,'SẢN_PHẨM'!$A$2:$G$500,3,FALSE),""))</x:f>
      </x:c>
      <x:c r="F424" s="39"/>
      <x:c r="G424" s="44"/>
      <x:c r="H424" s="35" t="str">
        <x:f>IF(OR(F424="",G424=""),"",F424*G424)</x:f>
      </x:c>
      <x:c r="I424" s="36" t="str">
        <x:f>IF(A424="","",SUMIFS('CHI_TIẾT_GIAO_HÀNG'!$D$2:$D$500,'CHI_TIẾT_GIAO_HÀNG'!$C$2:$C$500,A424,'CHI_TIẾT_GIAO_HÀNG'!$E$2:$E$500,"ĐÃ GIAO"))</x:f>
      </x:c>
      <x:c r="J424" s="36" t="str">
        <x:f>IF(A424="","",MAX(0,F424-I424))</x:f>
      </x:c>
      <x:c r="K424" s="35" t="str">
        <x:f>IF(A424="","",H424-(F424*IFERROR(VLOOKUP(C424,'SẢN_PHẨM'!$A$2:$G$500,5,FALSE),0)))</x:f>
      </x:c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36" t="str">
        <x:f>IF(C425="","",IFERROR(VLOOKUP(C425,'SẢN_PHẨM'!$A$2:$G$500,2,FALSE),""))</x:f>
      </x:c>
      <x:c r="E425" s="36" t="str">
        <x:f>IF(C425="","",IFERROR(VLOOKUP(C425,'SẢN_PHẨM'!$A$2:$G$500,3,FALSE),""))</x:f>
      </x:c>
      <x:c r="F425" s="39"/>
      <x:c r="G425" s="44"/>
      <x:c r="H425" s="35" t="str">
        <x:f>IF(OR(F425="",G425=""),"",F425*G425)</x:f>
      </x:c>
      <x:c r="I425" s="36" t="str">
        <x:f>IF(A425="","",SUMIFS('CHI_TIẾT_GIAO_HÀNG'!$D$2:$D$500,'CHI_TIẾT_GIAO_HÀNG'!$C$2:$C$500,A425,'CHI_TIẾT_GIAO_HÀNG'!$E$2:$E$500,"ĐÃ GIAO"))</x:f>
      </x:c>
      <x:c r="J425" s="36" t="str">
        <x:f>IF(A425="","",MAX(0,F425-I425))</x:f>
      </x:c>
      <x:c r="K425" s="35" t="str">
        <x:f>IF(A425="","",H425-(F425*IFERROR(VLOOKUP(C425,'SẢN_PHẨM'!$A$2:$G$500,5,FALSE),0)))</x:f>
      </x:c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36" t="str">
        <x:f>IF(C426="","",IFERROR(VLOOKUP(C426,'SẢN_PHẨM'!$A$2:$G$500,2,FALSE),""))</x:f>
      </x:c>
      <x:c r="E426" s="36" t="str">
        <x:f>IF(C426="","",IFERROR(VLOOKUP(C426,'SẢN_PHẨM'!$A$2:$G$500,3,FALSE),""))</x:f>
      </x:c>
      <x:c r="F426" s="39"/>
      <x:c r="G426" s="44"/>
      <x:c r="H426" s="35" t="str">
        <x:f>IF(OR(F426="",G426=""),"",F426*G426)</x:f>
      </x:c>
      <x:c r="I426" s="36" t="str">
        <x:f>IF(A426="","",SUMIFS('CHI_TIẾT_GIAO_HÀNG'!$D$2:$D$500,'CHI_TIẾT_GIAO_HÀNG'!$C$2:$C$500,A426,'CHI_TIẾT_GIAO_HÀNG'!$E$2:$E$500,"ĐÃ GIAO"))</x:f>
      </x:c>
      <x:c r="J426" s="36" t="str">
        <x:f>IF(A426="","",MAX(0,F426-I426))</x:f>
      </x:c>
      <x:c r="K426" s="35" t="str">
        <x:f>IF(A426="","",H426-(F426*IFERROR(VLOOKUP(C426,'SẢN_PHẨM'!$A$2:$G$500,5,FALSE),0)))</x:f>
      </x:c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36" t="str">
        <x:f>IF(C427="","",IFERROR(VLOOKUP(C427,'SẢN_PHẨM'!$A$2:$G$500,2,FALSE),""))</x:f>
      </x:c>
      <x:c r="E427" s="36" t="str">
        <x:f>IF(C427="","",IFERROR(VLOOKUP(C427,'SẢN_PHẨM'!$A$2:$G$500,3,FALSE),""))</x:f>
      </x:c>
      <x:c r="F427" s="39"/>
      <x:c r="G427" s="44"/>
      <x:c r="H427" s="35" t="str">
        <x:f>IF(OR(F427="",G427=""),"",F427*G427)</x:f>
      </x:c>
      <x:c r="I427" s="36" t="str">
        <x:f>IF(A427="","",SUMIFS('CHI_TIẾT_GIAO_HÀNG'!$D$2:$D$500,'CHI_TIẾT_GIAO_HÀNG'!$C$2:$C$500,A427,'CHI_TIẾT_GIAO_HÀNG'!$E$2:$E$500,"ĐÃ GIAO"))</x:f>
      </x:c>
      <x:c r="J427" s="36" t="str">
        <x:f>IF(A427="","",MAX(0,F427-I427))</x:f>
      </x:c>
      <x:c r="K427" s="35" t="str">
        <x:f>IF(A427="","",H427-(F427*IFERROR(VLOOKUP(C427,'SẢN_PHẨM'!$A$2:$G$500,5,FALSE),0)))</x:f>
      </x:c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36" t="str">
        <x:f>IF(C428="","",IFERROR(VLOOKUP(C428,'SẢN_PHẨM'!$A$2:$G$500,2,FALSE),""))</x:f>
      </x:c>
      <x:c r="E428" s="36" t="str">
        <x:f>IF(C428="","",IFERROR(VLOOKUP(C428,'SẢN_PHẨM'!$A$2:$G$500,3,FALSE),""))</x:f>
      </x:c>
      <x:c r="F428" s="39"/>
      <x:c r="G428" s="44"/>
      <x:c r="H428" s="35" t="str">
        <x:f>IF(OR(F428="",G428=""),"",F428*G428)</x:f>
      </x:c>
      <x:c r="I428" s="36" t="str">
        <x:f>IF(A428="","",SUMIFS('CHI_TIẾT_GIAO_HÀNG'!$D$2:$D$500,'CHI_TIẾT_GIAO_HÀNG'!$C$2:$C$500,A428,'CHI_TIẾT_GIAO_HÀNG'!$E$2:$E$500,"ĐÃ GIAO"))</x:f>
      </x:c>
      <x:c r="J428" s="36" t="str">
        <x:f>IF(A428="","",MAX(0,F428-I428))</x:f>
      </x:c>
      <x:c r="K428" s="35" t="str">
        <x:f>IF(A428="","",H428-(F428*IFERROR(VLOOKUP(C428,'SẢN_PHẨM'!$A$2:$G$500,5,FALSE),0)))</x:f>
      </x:c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36" t="str">
        <x:f>IF(C429="","",IFERROR(VLOOKUP(C429,'SẢN_PHẨM'!$A$2:$G$500,2,FALSE),""))</x:f>
      </x:c>
      <x:c r="E429" s="36" t="str">
        <x:f>IF(C429="","",IFERROR(VLOOKUP(C429,'SẢN_PHẨM'!$A$2:$G$500,3,FALSE),""))</x:f>
      </x:c>
      <x:c r="F429" s="39"/>
      <x:c r="G429" s="44"/>
      <x:c r="H429" s="35" t="str">
        <x:f>IF(OR(F429="",G429=""),"",F429*G429)</x:f>
      </x:c>
      <x:c r="I429" s="36" t="str">
        <x:f>IF(A429="","",SUMIFS('CHI_TIẾT_GIAO_HÀNG'!$D$2:$D$500,'CHI_TIẾT_GIAO_HÀNG'!$C$2:$C$500,A429,'CHI_TIẾT_GIAO_HÀNG'!$E$2:$E$500,"ĐÃ GIAO"))</x:f>
      </x:c>
      <x:c r="J429" s="36" t="str">
        <x:f>IF(A429="","",MAX(0,F429-I429))</x:f>
      </x:c>
      <x:c r="K429" s="35" t="str">
        <x:f>IF(A429="","",H429-(F429*IFERROR(VLOOKUP(C429,'SẢN_PHẨM'!$A$2:$G$500,5,FALSE),0)))</x:f>
      </x:c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36" t="str">
        <x:f>IF(C430="","",IFERROR(VLOOKUP(C430,'SẢN_PHẨM'!$A$2:$G$500,2,FALSE),""))</x:f>
      </x:c>
      <x:c r="E430" s="36" t="str">
        <x:f>IF(C430="","",IFERROR(VLOOKUP(C430,'SẢN_PHẨM'!$A$2:$G$500,3,FALSE),""))</x:f>
      </x:c>
      <x:c r="F430" s="39"/>
      <x:c r="G430" s="44"/>
      <x:c r="H430" s="35" t="str">
        <x:f>IF(OR(F430="",G430=""),"",F430*G430)</x:f>
      </x:c>
      <x:c r="I430" s="36" t="str">
        <x:f>IF(A430="","",SUMIFS('CHI_TIẾT_GIAO_HÀNG'!$D$2:$D$500,'CHI_TIẾT_GIAO_HÀNG'!$C$2:$C$500,A430,'CHI_TIẾT_GIAO_HÀNG'!$E$2:$E$500,"ĐÃ GIAO"))</x:f>
      </x:c>
      <x:c r="J430" s="36" t="str">
        <x:f>IF(A430="","",MAX(0,F430-I430))</x:f>
      </x:c>
      <x:c r="K430" s="35" t="str">
        <x:f>IF(A430="","",H430-(F430*IFERROR(VLOOKUP(C430,'SẢN_PHẨM'!$A$2:$G$500,5,FALSE),0)))</x:f>
      </x:c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36" t="str">
        <x:f>IF(C431="","",IFERROR(VLOOKUP(C431,'SẢN_PHẨM'!$A$2:$G$500,2,FALSE),""))</x:f>
      </x:c>
      <x:c r="E431" s="36" t="str">
        <x:f>IF(C431="","",IFERROR(VLOOKUP(C431,'SẢN_PHẨM'!$A$2:$G$500,3,FALSE),""))</x:f>
      </x:c>
      <x:c r="F431" s="39"/>
      <x:c r="G431" s="44"/>
      <x:c r="H431" s="35" t="str">
        <x:f>IF(OR(F431="",G431=""),"",F431*G431)</x:f>
      </x:c>
      <x:c r="I431" s="36" t="str">
        <x:f>IF(A431="","",SUMIFS('CHI_TIẾT_GIAO_HÀNG'!$D$2:$D$500,'CHI_TIẾT_GIAO_HÀNG'!$C$2:$C$500,A431,'CHI_TIẾT_GIAO_HÀNG'!$E$2:$E$500,"ĐÃ GIAO"))</x:f>
      </x:c>
      <x:c r="J431" s="36" t="str">
        <x:f>IF(A431="","",MAX(0,F431-I431))</x:f>
      </x:c>
      <x:c r="K431" s="35" t="str">
        <x:f>IF(A431="","",H431-(F431*IFERROR(VLOOKUP(C431,'SẢN_PHẨM'!$A$2:$G$500,5,FALSE),0)))</x:f>
      </x:c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36" t="str">
        <x:f>IF(C432="","",IFERROR(VLOOKUP(C432,'SẢN_PHẨM'!$A$2:$G$500,2,FALSE),""))</x:f>
      </x:c>
      <x:c r="E432" s="36" t="str">
        <x:f>IF(C432="","",IFERROR(VLOOKUP(C432,'SẢN_PHẨM'!$A$2:$G$500,3,FALSE),""))</x:f>
      </x:c>
      <x:c r="F432" s="39"/>
      <x:c r="G432" s="44"/>
      <x:c r="H432" s="35" t="str">
        <x:f>IF(OR(F432="",G432=""),"",F432*G432)</x:f>
      </x:c>
      <x:c r="I432" s="36" t="str">
        <x:f>IF(A432="","",SUMIFS('CHI_TIẾT_GIAO_HÀNG'!$D$2:$D$500,'CHI_TIẾT_GIAO_HÀNG'!$C$2:$C$500,A432,'CHI_TIẾT_GIAO_HÀNG'!$E$2:$E$500,"ĐÃ GIAO"))</x:f>
      </x:c>
      <x:c r="J432" s="36" t="str">
        <x:f>IF(A432="","",MAX(0,F432-I432))</x:f>
      </x:c>
      <x:c r="K432" s="35" t="str">
        <x:f>IF(A432="","",H432-(F432*IFERROR(VLOOKUP(C432,'SẢN_PHẨM'!$A$2:$G$500,5,FALSE),0)))</x:f>
      </x:c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36" t="str">
        <x:f>IF(C433="","",IFERROR(VLOOKUP(C433,'SẢN_PHẨM'!$A$2:$G$500,2,FALSE),""))</x:f>
      </x:c>
      <x:c r="E433" s="36" t="str">
        <x:f>IF(C433="","",IFERROR(VLOOKUP(C433,'SẢN_PHẨM'!$A$2:$G$500,3,FALSE),""))</x:f>
      </x:c>
      <x:c r="F433" s="39"/>
      <x:c r="G433" s="44"/>
      <x:c r="H433" s="35" t="str">
        <x:f>IF(OR(F433="",G433=""),"",F433*G433)</x:f>
      </x:c>
      <x:c r="I433" s="36" t="str">
        <x:f>IF(A433="","",SUMIFS('CHI_TIẾT_GIAO_HÀNG'!$D$2:$D$500,'CHI_TIẾT_GIAO_HÀNG'!$C$2:$C$500,A433,'CHI_TIẾT_GIAO_HÀNG'!$E$2:$E$500,"ĐÃ GIAO"))</x:f>
      </x:c>
      <x:c r="J433" s="36" t="str">
        <x:f>IF(A433="","",MAX(0,F433-I433))</x:f>
      </x:c>
      <x:c r="K433" s="35" t="str">
        <x:f>IF(A433="","",H433-(F433*IFERROR(VLOOKUP(C433,'SẢN_PHẨM'!$A$2:$G$500,5,FALSE),0)))</x:f>
      </x:c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36" t="str">
        <x:f>IF(C434="","",IFERROR(VLOOKUP(C434,'SẢN_PHẨM'!$A$2:$G$500,2,FALSE),""))</x:f>
      </x:c>
      <x:c r="E434" s="36" t="str">
        <x:f>IF(C434="","",IFERROR(VLOOKUP(C434,'SẢN_PHẨM'!$A$2:$G$500,3,FALSE),""))</x:f>
      </x:c>
      <x:c r="F434" s="39"/>
      <x:c r="G434" s="44"/>
      <x:c r="H434" s="35" t="str">
        <x:f>IF(OR(F434="",G434=""),"",F434*G434)</x:f>
      </x:c>
      <x:c r="I434" s="36" t="str">
        <x:f>IF(A434="","",SUMIFS('CHI_TIẾT_GIAO_HÀNG'!$D$2:$D$500,'CHI_TIẾT_GIAO_HÀNG'!$C$2:$C$500,A434,'CHI_TIẾT_GIAO_HÀNG'!$E$2:$E$500,"ĐÃ GIAO"))</x:f>
      </x:c>
      <x:c r="J434" s="36" t="str">
        <x:f>IF(A434="","",MAX(0,F434-I434))</x:f>
      </x:c>
      <x:c r="K434" s="35" t="str">
        <x:f>IF(A434="","",H434-(F434*IFERROR(VLOOKUP(C434,'SẢN_PHẨM'!$A$2:$G$500,5,FALSE),0)))</x:f>
      </x:c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36" t="str">
        <x:f>IF(C435="","",IFERROR(VLOOKUP(C435,'SẢN_PHẨM'!$A$2:$G$500,2,FALSE),""))</x:f>
      </x:c>
      <x:c r="E435" s="36" t="str">
        <x:f>IF(C435="","",IFERROR(VLOOKUP(C435,'SẢN_PHẨM'!$A$2:$G$500,3,FALSE),""))</x:f>
      </x:c>
      <x:c r="F435" s="39"/>
      <x:c r="G435" s="44"/>
      <x:c r="H435" s="35" t="str">
        <x:f>IF(OR(F435="",G435=""),"",F435*G435)</x:f>
      </x:c>
      <x:c r="I435" s="36" t="str">
        <x:f>IF(A435="","",SUMIFS('CHI_TIẾT_GIAO_HÀNG'!$D$2:$D$500,'CHI_TIẾT_GIAO_HÀNG'!$C$2:$C$500,A435,'CHI_TIẾT_GIAO_HÀNG'!$E$2:$E$500,"ĐÃ GIAO"))</x:f>
      </x:c>
      <x:c r="J435" s="36" t="str">
        <x:f>IF(A435="","",MAX(0,F435-I435))</x:f>
      </x:c>
      <x:c r="K435" s="35" t="str">
        <x:f>IF(A435="","",H435-(F435*IFERROR(VLOOKUP(C435,'SẢN_PHẨM'!$A$2:$G$500,5,FALSE),0)))</x:f>
      </x:c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36" t="str">
        <x:f>IF(C436="","",IFERROR(VLOOKUP(C436,'SẢN_PHẨM'!$A$2:$G$500,2,FALSE),""))</x:f>
      </x:c>
      <x:c r="E436" s="36" t="str">
        <x:f>IF(C436="","",IFERROR(VLOOKUP(C436,'SẢN_PHẨM'!$A$2:$G$500,3,FALSE),""))</x:f>
      </x:c>
      <x:c r="F436" s="39"/>
      <x:c r="G436" s="44"/>
      <x:c r="H436" s="35" t="str">
        <x:f>IF(OR(F436="",G436=""),"",F436*G436)</x:f>
      </x:c>
      <x:c r="I436" s="36" t="str">
        <x:f>IF(A436="","",SUMIFS('CHI_TIẾT_GIAO_HÀNG'!$D$2:$D$500,'CHI_TIẾT_GIAO_HÀNG'!$C$2:$C$500,A436,'CHI_TIẾT_GIAO_HÀNG'!$E$2:$E$500,"ĐÃ GIAO"))</x:f>
      </x:c>
      <x:c r="J436" s="36" t="str">
        <x:f>IF(A436="","",MAX(0,F436-I436))</x:f>
      </x:c>
      <x:c r="K436" s="35" t="str">
        <x:f>IF(A436="","",H436-(F436*IFERROR(VLOOKUP(C436,'SẢN_PHẨM'!$A$2:$G$500,5,FALSE),0)))</x:f>
      </x:c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36" t="str">
        <x:f>IF(C437="","",IFERROR(VLOOKUP(C437,'SẢN_PHẨM'!$A$2:$G$500,2,FALSE),""))</x:f>
      </x:c>
      <x:c r="E437" s="36" t="str">
        <x:f>IF(C437="","",IFERROR(VLOOKUP(C437,'SẢN_PHẨM'!$A$2:$G$500,3,FALSE),""))</x:f>
      </x:c>
      <x:c r="F437" s="39"/>
      <x:c r="G437" s="44"/>
      <x:c r="H437" s="35" t="str">
        <x:f>IF(OR(F437="",G437=""),"",F437*G437)</x:f>
      </x:c>
      <x:c r="I437" s="36" t="str">
        <x:f>IF(A437="","",SUMIFS('CHI_TIẾT_GIAO_HÀNG'!$D$2:$D$500,'CHI_TIẾT_GIAO_HÀNG'!$C$2:$C$500,A437,'CHI_TIẾT_GIAO_HÀNG'!$E$2:$E$500,"ĐÃ GIAO"))</x:f>
      </x:c>
      <x:c r="J437" s="36" t="str">
        <x:f>IF(A437="","",MAX(0,F437-I437))</x:f>
      </x:c>
      <x:c r="K437" s="35" t="str">
        <x:f>IF(A437="","",H437-(F437*IFERROR(VLOOKUP(C437,'SẢN_PHẨM'!$A$2:$G$500,5,FALSE),0)))</x:f>
      </x:c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36" t="str">
        <x:f>IF(C438="","",IFERROR(VLOOKUP(C438,'SẢN_PHẨM'!$A$2:$G$500,2,FALSE),""))</x:f>
      </x:c>
      <x:c r="E438" s="36" t="str">
        <x:f>IF(C438="","",IFERROR(VLOOKUP(C438,'SẢN_PHẨM'!$A$2:$G$500,3,FALSE),""))</x:f>
      </x:c>
      <x:c r="F438" s="39"/>
      <x:c r="G438" s="44"/>
      <x:c r="H438" s="35" t="str">
        <x:f>IF(OR(F438="",G438=""),"",F438*G438)</x:f>
      </x:c>
      <x:c r="I438" s="36" t="str">
        <x:f>IF(A438="","",SUMIFS('CHI_TIẾT_GIAO_HÀNG'!$D$2:$D$500,'CHI_TIẾT_GIAO_HÀNG'!$C$2:$C$500,A438,'CHI_TIẾT_GIAO_HÀNG'!$E$2:$E$500,"ĐÃ GIAO"))</x:f>
      </x:c>
      <x:c r="J438" s="36" t="str">
        <x:f>IF(A438="","",MAX(0,F438-I438))</x:f>
      </x:c>
      <x:c r="K438" s="35" t="str">
        <x:f>IF(A438="","",H438-(F438*IFERROR(VLOOKUP(C438,'SẢN_PHẨM'!$A$2:$G$500,5,FALSE),0)))</x:f>
      </x:c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36" t="str">
        <x:f>IF(C439="","",IFERROR(VLOOKUP(C439,'SẢN_PHẨM'!$A$2:$G$500,2,FALSE),""))</x:f>
      </x:c>
      <x:c r="E439" s="36" t="str">
        <x:f>IF(C439="","",IFERROR(VLOOKUP(C439,'SẢN_PHẨM'!$A$2:$G$500,3,FALSE),""))</x:f>
      </x:c>
      <x:c r="F439" s="39"/>
      <x:c r="G439" s="44"/>
      <x:c r="H439" s="35" t="str">
        <x:f>IF(OR(F439="",G439=""),"",F439*G439)</x:f>
      </x:c>
      <x:c r="I439" s="36" t="str">
        <x:f>IF(A439="","",SUMIFS('CHI_TIẾT_GIAO_HÀNG'!$D$2:$D$500,'CHI_TIẾT_GIAO_HÀNG'!$C$2:$C$500,A439,'CHI_TIẾT_GIAO_HÀNG'!$E$2:$E$500,"ĐÃ GIAO"))</x:f>
      </x:c>
      <x:c r="J439" s="36" t="str">
        <x:f>IF(A439="","",MAX(0,F439-I439))</x:f>
      </x:c>
      <x:c r="K439" s="35" t="str">
        <x:f>IF(A439="","",H439-(F439*IFERROR(VLOOKUP(C439,'SẢN_PHẨM'!$A$2:$G$500,5,FALSE),0)))</x:f>
      </x:c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36" t="str">
        <x:f>IF(C440="","",IFERROR(VLOOKUP(C440,'SẢN_PHẨM'!$A$2:$G$500,2,FALSE),""))</x:f>
      </x:c>
      <x:c r="E440" s="36" t="str">
        <x:f>IF(C440="","",IFERROR(VLOOKUP(C440,'SẢN_PHẨM'!$A$2:$G$500,3,FALSE),""))</x:f>
      </x:c>
      <x:c r="F440" s="39"/>
      <x:c r="G440" s="44"/>
      <x:c r="H440" s="35" t="str">
        <x:f>IF(OR(F440="",G440=""),"",F440*G440)</x:f>
      </x:c>
      <x:c r="I440" s="36" t="str">
        <x:f>IF(A440="","",SUMIFS('CHI_TIẾT_GIAO_HÀNG'!$D$2:$D$500,'CHI_TIẾT_GIAO_HÀNG'!$C$2:$C$500,A440,'CHI_TIẾT_GIAO_HÀNG'!$E$2:$E$500,"ĐÃ GIAO"))</x:f>
      </x:c>
      <x:c r="J440" s="36" t="str">
        <x:f>IF(A440="","",MAX(0,F440-I440))</x:f>
      </x:c>
      <x:c r="K440" s="35" t="str">
        <x:f>IF(A440="","",H440-(F440*IFERROR(VLOOKUP(C440,'SẢN_PHẨM'!$A$2:$G$500,5,FALSE),0)))</x:f>
      </x:c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36" t="str">
        <x:f>IF(C441="","",IFERROR(VLOOKUP(C441,'SẢN_PHẨM'!$A$2:$G$500,2,FALSE),""))</x:f>
      </x:c>
      <x:c r="E441" s="36" t="str">
        <x:f>IF(C441="","",IFERROR(VLOOKUP(C441,'SẢN_PHẨM'!$A$2:$G$500,3,FALSE),""))</x:f>
      </x:c>
      <x:c r="F441" s="39"/>
      <x:c r="G441" s="44"/>
      <x:c r="H441" s="35" t="str">
        <x:f>IF(OR(F441="",G441=""),"",F441*G441)</x:f>
      </x:c>
      <x:c r="I441" s="36" t="str">
        <x:f>IF(A441="","",SUMIFS('CHI_TIẾT_GIAO_HÀNG'!$D$2:$D$500,'CHI_TIẾT_GIAO_HÀNG'!$C$2:$C$500,A441,'CHI_TIẾT_GIAO_HÀNG'!$E$2:$E$500,"ĐÃ GIAO"))</x:f>
      </x:c>
      <x:c r="J441" s="36" t="str">
        <x:f>IF(A441="","",MAX(0,F441-I441))</x:f>
      </x:c>
      <x:c r="K441" s="35" t="str">
        <x:f>IF(A441="","",H441-(F441*IFERROR(VLOOKUP(C441,'SẢN_PHẨM'!$A$2:$G$500,5,FALSE),0)))</x:f>
      </x:c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36" t="str">
        <x:f>IF(C442="","",IFERROR(VLOOKUP(C442,'SẢN_PHẨM'!$A$2:$G$500,2,FALSE),""))</x:f>
      </x:c>
      <x:c r="E442" s="36" t="str">
        <x:f>IF(C442="","",IFERROR(VLOOKUP(C442,'SẢN_PHẨM'!$A$2:$G$500,3,FALSE),""))</x:f>
      </x:c>
      <x:c r="F442" s="39"/>
      <x:c r="G442" s="44"/>
      <x:c r="H442" s="35" t="str">
        <x:f>IF(OR(F442="",G442=""),"",F442*G442)</x:f>
      </x:c>
      <x:c r="I442" s="36" t="str">
        <x:f>IF(A442="","",SUMIFS('CHI_TIẾT_GIAO_HÀNG'!$D$2:$D$500,'CHI_TIẾT_GIAO_HÀNG'!$C$2:$C$500,A442,'CHI_TIẾT_GIAO_HÀNG'!$E$2:$E$500,"ĐÃ GIAO"))</x:f>
      </x:c>
      <x:c r="J442" s="36" t="str">
        <x:f>IF(A442="","",MAX(0,F442-I442))</x:f>
      </x:c>
      <x:c r="K442" s="35" t="str">
        <x:f>IF(A442="","",H442-(F442*IFERROR(VLOOKUP(C442,'SẢN_PHẨM'!$A$2:$G$500,5,FALSE),0)))</x:f>
      </x:c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36" t="str">
        <x:f>IF(C443="","",IFERROR(VLOOKUP(C443,'SẢN_PHẨM'!$A$2:$G$500,2,FALSE),""))</x:f>
      </x:c>
      <x:c r="E443" s="36" t="str">
        <x:f>IF(C443="","",IFERROR(VLOOKUP(C443,'SẢN_PHẨM'!$A$2:$G$500,3,FALSE),""))</x:f>
      </x:c>
      <x:c r="F443" s="39"/>
      <x:c r="G443" s="44"/>
      <x:c r="H443" s="35" t="str">
        <x:f>IF(OR(F443="",G443=""),"",F443*G443)</x:f>
      </x:c>
      <x:c r="I443" s="36" t="str">
        <x:f>IF(A443="","",SUMIFS('CHI_TIẾT_GIAO_HÀNG'!$D$2:$D$500,'CHI_TIẾT_GIAO_HÀNG'!$C$2:$C$500,A443,'CHI_TIẾT_GIAO_HÀNG'!$E$2:$E$500,"ĐÃ GIAO"))</x:f>
      </x:c>
      <x:c r="J443" s="36" t="str">
        <x:f>IF(A443="","",MAX(0,F443-I443))</x:f>
      </x:c>
      <x:c r="K443" s="35" t="str">
        <x:f>IF(A443="","",H443-(F443*IFERROR(VLOOKUP(C443,'SẢN_PHẨM'!$A$2:$G$500,5,FALSE),0)))</x:f>
      </x:c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36" t="str">
        <x:f>IF(C444="","",IFERROR(VLOOKUP(C444,'SẢN_PHẨM'!$A$2:$G$500,2,FALSE),""))</x:f>
      </x:c>
      <x:c r="E444" s="36" t="str">
        <x:f>IF(C444="","",IFERROR(VLOOKUP(C444,'SẢN_PHẨM'!$A$2:$G$500,3,FALSE),""))</x:f>
      </x:c>
      <x:c r="F444" s="39"/>
      <x:c r="G444" s="44"/>
      <x:c r="H444" s="35" t="str">
        <x:f>IF(OR(F444="",G444=""),"",F444*G444)</x:f>
      </x:c>
      <x:c r="I444" s="36" t="str">
        <x:f>IF(A444="","",SUMIFS('CHI_TIẾT_GIAO_HÀNG'!$D$2:$D$500,'CHI_TIẾT_GIAO_HÀNG'!$C$2:$C$500,A444,'CHI_TIẾT_GIAO_HÀNG'!$E$2:$E$500,"ĐÃ GIAO"))</x:f>
      </x:c>
      <x:c r="J444" s="36" t="str">
        <x:f>IF(A444="","",MAX(0,F444-I444))</x:f>
      </x:c>
      <x:c r="K444" s="35" t="str">
        <x:f>IF(A444="","",H444-(F444*IFERROR(VLOOKUP(C444,'SẢN_PHẨM'!$A$2:$G$500,5,FALSE),0)))</x:f>
      </x:c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36" t="str">
        <x:f>IF(C445="","",IFERROR(VLOOKUP(C445,'SẢN_PHẨM'!$A$2:$G$500,2,FALSE),""))</x:f>
      </x:c>
      <x:c r="E445" s="36" t="str">
        <x:f>IF(C445="","",IFERROR(VLOOKUP(C445,'SẢN_PHẨM'!$A$2:$G$500,3,FALSE),""))</x:f>
      </x:c>
      <x:c r="F445" s="39"/>
      <x:c r="G445" s="44"/>
      <x:c r="H445" s="35" t="str">
        <x:f>IF(OR(F445="",G445=""),"",F445*G445)</x:f>
      </x:c>
      <x:c r="I445" s="36" t="str">
        <x:f>IF(A445="","",SUMIFS('CHI_TIẾT_GIAO_HÀNG'!$D$2:$D$500,'CHI_TIẾT_GIAO_HÀNG'!$C$2:$C$500,A445,'CHI_TIẾT_GIAO_HÀNG'!$E$2:$E$500,"ĐÃ GIAO"))</x:f>
      </x:c>
      <x:c r="J445" s="36" t="str">
        <x:f>IF(A445="","",MAX(0,F445-I445))</x:f>
      </x:c>
      <x:c r="K445" s="35" t="str">
        <x:f>IF(A445="","",H445-(F445*IFERROR(VLOOKUP(C445,'SẢN_PHẨM'!$A$2:$G$500,5,FALSE),0)))</x:f>
      </x:c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36" t="str">
        <x:f>IF(C446="","",IFERROR(VLOOKUP(C446,'SẢN_PHẨM'!$A$2:$G$500,2,FALSE),""))</x:f>
      </x:c>
      <x:c r="E446" s="36" t="str">
        <x:f>IF(C446="","",IFERROR(VLOOKUP(C446,'SẢN_PHẨM'!$A$2:$G$500,3,FALSE),""))</x:f>
      </x:c>
      <x:c r="F446" s="39"/>
      <x:c r="G446" s="44"/>
      <x:c r="H446" s="35" t="str">
        <x:f>IF(OR(F446="",G446=""),"",F446*G446)</x:f>
      </x:c>
      <x:c r="I446" s="36" t="str">
        <x:f>IF(A446="","",SUMIFS('CHI_TIẾT_GIAO_HÀNG'!$D$2:$D$500,'CHI_TIẾT_GIAO_HÀNG'!$C$2:$C$500,A446,'CHI_TIẾT_GIAO_HÀNG'!$E$2:$E$500,"ĐÃ GIAO"))</x:f>
      </x:c>
      <x:c r="J446" s="36" t="str">
        <x:f>IF(A446="","",MAX(0,F446-I446))</x:f>
      </x:c>
      <x:c r="K446" s="35" t="str">
        <x:f>IF(A446="","",H446-(F446*IFERROR(VLOOKUP(C446,'SẢN_PHẨM'!$A$2:$G$500,5,FALSE),0)))</x:f>
      </x:c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36" t="str">
        <x:f>IF(C447="","",IFERROR(VLOOKUP(C447,'SẢN_PHẨM'!$A$2:$G$500,2,FALSE),""))</x:f>
      </x:c>
      <x:c r="E447" s="36" t="str">
        <x:f>IF(C447="","",IFERROR(VLOOKUP(C447,'SẢN_PHẨM'!$A$2:$G$500,3,FALSE),""))</x:f>
      </x:c>
      <x:c r="F447" s="39"/>
      <x:c r="G447" s="44"/>
      <x:c r="H447" s="35" t="str">
        <x:f>IF(OR(F447="",G447=""),"",F447*G447)</x:f>
      </x:c>
      <x:c r="I447" s="36" t="str">
        <x:f>IF(A447="","",SUMIFS('CHI_TIẾT_GIAO_HÀNG'!$D$2:$D$500,'CHI_TIẾT_GIAO_HÀNG'!$C$2:$C$500,A447,'CHI_TIẾT_GIAO_HÀNG'!$E$2:$E$500,"ĐÃ GIAO"))</x:f>
      </x:c>
      <x:c r="J447" s="36" t="str">
        <x:f>IF(A447="","",MAX(0,F447-I447))</x:f>
      </x:c>
      <x:c r="K447" s="35" t="str">
        <x:f>IF(A447="","",H447-(F447*IFERROR(VLOOKUP(C447,'SẢN_PHẨM'!$A$2:$G$500,5,FALSE),0)))</x:f>
      </x:c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36" t="str">
        <x:f>IF(C448="","",IFERROR(VLOOKUP(C448,'SẢN_PHẨM'!$A$2:$G$500,2,FALSE),""))</x:f>
      </x:c>
      <x:c r="E448" s="36" t="str">
        <x:f>IF(C448="","",IFERROR(VLOOKUP(C448,'SẢN_PHẨM'!$A$2:$G$500,3,FALSE),""))</x:f>
      </x:c>
      <x:c r="F448" s="39"/>
      <x:c r="G448" s="44"/>
      <x:c r="H448" s="35" t="str">
        <x:f>IF(OR(F448="",G448=""),"",F448*G448)</x:f>
      </x:c>
      <x:c r="I448" s="36" t="str">
        <x:f>IF(A448="","",SUMIFS('CHI_TIẾT_GIAO_HÀNG'!$D$2:$D$500,'CHI_TIẾT_GIAO_HÀNG'!$C$2:$C$500,A448,'CHI_TIẾT_GIAO_HÀNG'!$E$2:$E$500,"ĐÃ GIAO"))</x:f>
      </x:c>
      <x:c r="J448" s="36" t="str">
        <x:f>IF(A448="","",MAX(0,F448-I448))</x:f>
      </x:c>
      <x:c r="K448" s="35" t="str">
        <x:f>IF(A448="","",H448-(F448*IFERROR(VLOOKUP(C448,'SẢN_PHẨM'!$A$2:$G$500,5,FALSE),0)))</x:f>
      </x:c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36" t="str">
        <x:f>IF(C449="","",IFERROR(VLOOKUP(C449,'SẢN_PHẨM'!$A$2:$G$500,2,FALSE),""))</x:f>
      </x:c>
      <x:c r="E449" s="36" t="str">
        <x:f>IF(C449="","",IFERROR(VLOOKUP(C449,'SẢN_PHẨM'!$A$2:$G$500,3,FALSE),""))</x:f>
      </x:c>
      <x:c r="F449" s="39"/>
      <x:c r="G449" s="44"/>
      <x:c r="H449" s="35" t="str">
        <x:f>IF(OR(F449="",G449=""),"",F449*G449)</x:f>
      </x:c>
      <x:c r="I449" s="36" t="str">
        <x:f>IF(A449="","",SUMIFS('CHI_TIẾT_GIAO_HÀNG'!$D$2:$D$500,'CHI_TIẾT_GIAO_HÀNG'!$C$2:$C$500,A449,'CHI_TIẾT_GIAO_HÀNG'!$E$2:$E$500,"ĐÃ GIAO"))</x:f>
      </x:c>
      <x:c r="J449" s="36" t="str">
        <x:f>IF(A449="","",MAX(0,F449-I449))</x:f>
      </x:c>
      <x:c r="K449" s="35" t="str">
        <x:f>IF(A449="","",H449-(F449*IFERROR(VLOOKUP(C449,'SẢN_PHẨM'!$A$2:$G$500,5,FALSE),0)))</x:f>
      </x:c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36" t="str">
        <x:f>IF(C450="","",IFERROR(VLOOKUP(C450,'SẢN_PHẨM'!$A$2:$G$500,2,FALSE),""))</x:f>
      </x:c>
      <x:c r="E450" s="36" t="str">
        <x:f>IF(C450="","",IFERROR(VLOOKUP(C450,'SẢN_PHẨM'!$A$2:$G$500,3,FALSE),""))</x:f>
      </x:c>
      <x:c r="F450" s="39"/>
      <x:c r="G450" s="44"/>
      <x:c r="H450" s="35" t="str">
        <x:f>IF(OR(F450="",G450=""),"",F450*G450)</x:f>
      </x:c>
      <x:c r="I450" s="36" t="str">
        <x:f>IF(A450="","",SUMIFS('CHI_TIẾT_GIAO_HÀNG'!$D$2:$D$500,'CHI_TIẾT_GIAO_HÀNG'!$C$2:$C$500,A450,'CHI_TIẾT_GIAO_HÀNG'!$E$2:$E$500,"ĐÃ GIAO"))</x:f>
      </x:c>
      <x:c r="J450" s="36" t="str">
        <x:f>IF(A450="","",MAX(0,F450-I450))</x:f>
      </x:c>
      <x:c r="K450" s="35" t="str">
        <x:f>IF(A450="","",H450-(F450*IFERROR(VLOOKUP(C450,'SẢN_PHẨM'!$A$2:$G$500,5,FALSE),0)))</x:f>
      </x:c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36" t="str">
        <x:f>IF(C451="","",IFERROR(VLOOKUP(C451,'SẢN_PHẨM'!$A$2:$G$500,2,FALSE),""))</x:f>
      </x:c>
      <x:c r="E451" s="36" t="str">
        <x:f>IF(C451="","",IFERROR(VLOOKUP(C451,'SẢN_PHẨM'!$A$2:$G$500,3,FALSE),""))</x:f>
      </x:c>
      <x:c r="F451" s="39"/>
      <x:c r="G451" s="44"/>
      <x:c r="H451" s="35" t="str">
        <x:f>IF(OR(F451="",G451=""),"",F451*G451)</x:f>
      </x:c>
      <x:c r="I451" s="36" t="str">
        <x:f>IF(A451="","",SUMIFS('CHI_TIẾT_GIAO_HÀNG'!$D$2:$D$500,'CHI_TIẾT_GIAO_HÀNG'!$C$2:$C$500,A451,'CHI_TIẾT_GIAO_HÀNG'!$E$2:$E$500,"ĐÃ GIAO"))</x:f>
      </x:c>
      <x:c r="J451" s="36" t="str">
        <x:f>IF(A451="","",MAX(0,F451-I451))</x:f>
      </x:c>
      <x:c r="K451" s="35" t="str">
        <x:f>IF(A451="","",H451-(F451*IFERROR(VLOOKUP(C451,'SẢN_PHẨM'!$A$2:$G$500,5,FALSE),0)))</x:f>
      </x:c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36" t="str">
        <x:f>IF(C452="","",IFERROR(VLOOKUP(C452,'SẢN_PHẨM'!$A$2:$G$500,2,FALSE),""))</x:f>
      </x:c>
      <x:c r="E452" s="36" t="str">
        <x:f>IF(C452="","",IFERROR(VLOOKUP(C452,'SẢN_PHẨM'!$A$2:$G$500,3,FALSE),""))</x:f>
      </x:c>
      <x:c r="F452" s="39"/>
      <x:c r="G452" s="44"/>
      <x:c r="H452" s="35" t="str">
        <x:f>IF(OR(F452="",G452=""),"",F452*G452)</x:f>
      </x:c>
      <x:c r="I452" s="36" t="str">
        <x:f>IF(A452="","",SUMIFS('CHI_TIẾT_GIAO_HÀNG'!$D$2:$D$500,'CHI_TIẾT_GIAO_HÀNG'!$C$2:$C$500,A452,'CHI_TIẾT_GIAO_HÀNG'!$E$2:$E$500,"ĐÃ GIAO"))</x:f>
      </x:c>
      <x:c r="J452" s="36" t="str">
        <x:f>IF(A452="","",MAX(0,F452-I452))</x:f>
      </x:c>
      <x:c r="K452" s="35" t="str">
        <x:f>IF(A452="","",H452-(F452*IFERROR(VLOOKUP(C452,'SẢN_PHẨM'!$A$2:$G$500,5,FALSE),0)))</x:f>
      </x:c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36" t="str">
        <x:f>IF(C453="","",IFERROR(VLOOKUP(C453,'SẢN_PHẨM'!$A$2:$G$500,2,FALSE),""))</x:f>
      </x:c>
      <x:c r="E453" s="36" t="str">
        <x:f>IF(C453="","",IFERROR(VLOOKUP(C453,'SẢN_PHẨM'!$A$2:$G$500,3,FALSE),""))</x:f>
      </x:c>
      <x:c r="F453" s="39"/>
      <x:c r="G453" s="44"/>
      <x:c r="H453" s="35" t="str">
        <x:f>IF(OR(F453="",G453=""),"",F453*G453)</x:f>
      </x:c>
      <x:c r="I453" s="36" t="str">
        <x:f>IF(A453="","",SUMIFS('CHI_TIẾT_GIAO_HÀNG'!$D$2:$D$500,'CHI_TIẾT_GIAO_HÀNG'!$C$2:$C$500,A453,'CHI_TIẾT_GIAO_HÀNG'!$E$2:$E$500,"ĐÃ GIAO"))</x:f>
      </x:c>
      <x:c r="J453" s="36" t="str">
        <x:f>IF(A453="","",MAX(0,F453-I453))</x:f>
      </x:c>
      <x:c r="K453" s="35" t="str">
        <x:f>IF(A453="","",H453-(F453*IFERROR(VLOOKUP(C453,'SẢN_PHẨM'!$A$2:$G$500,5,FALSE),0)))</x:f>
      </x:c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36" t="str">
        <x:f>IF(C454="","",IFERROR(VLOOKUP(C454,'SẢN_PHẨM'!$A$2:$G$500,2,FALSE),""))</x:f>
      </x:c>
      <x:c r="E454" s="36" t="str">
        <x:f>IF(C454="","",IFERROR(VLOOKUP(C454,'SẢN_PHẨM'!$A$2:$G$500,3,FALSE),""))</x:f>
      </x:c>
      <x:c r="F454" s="39"/>
      <x:c r="G454" s="44"/>
      <x:c r="H454" s="35" t="str">
        <x:f>IF(OR(F454="",G454=""),"",F454*G454)</x:f>
      </x:c>
      <x:c r="I454" s="36" t="str">
        <x:f>IF(A454="","",SUMIFS('CHI_TIẾT_GIAO_HÀNG'!$D$2:$D$500,'CHI_TIẾT_GIAO_HÀNG'!$C$2:$C$500,A454,'CHI_TIẾT_GIAO_HÀNG'!$E$2:$E$500,"ĐÃ GIAO"))</x:f>
      </x:c>
      <x:c r="J454" s="36" t="str">
        <x:f>IF(A454="","",MAX(0,F454-I454))</x:f>
      </x:c>
      <x:c r="K454" s="35" t="str">
        <x:f>IF(A454="","",H454-(F454*IFERROR(VLOOKUP(C454,'SẢN_PHẨM'!$A$2:$G$500,5,FALSE),0)))</x:f>
      </x:c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36" t="str">
        <x:f>IF(C455="","",IFERROR(VLOOKUP(C455,'SẢN_PHẨM'!$A$2:$G$500,2,FALSE),""))</x:f>
      </x:c>
      <x:c r="E455" s="36" t="str">
        <x:f>IF(C455="","",IFERROR(VLOOKUP(C455,'SẢN_PHẨM'!$A$2:$G$500,3,FALSE),""))</x:f>
      </x:c>
      <x:c r="F455" s="39"/>
      <x:c r="G455" s="44"/>
      <x:c r="H455" s="35" t="str">
        <x:f>IF(OR(F455="",G455=""),"",F455*G455)</x:f>
      </x:c>
      <x:c r="I455" s="36" t="str">
        <x:f>IF(A455="","",SUMIFS('CHI_TIẾT_GIAO_HÀNG'!$D$2:$D$500,'CHI_TIẾT_GIAO_HÀNG'!$C$2:$C$500,A455,'CHI_TIẾT_GIAO_HÀNG'!$E$2:$E$500,"ĐÃ GIAO"))</x:f>
      </x:c>
      <x:c r="J455" s="36" t="str">
        <x:f>IF(A455="","",MAX(0,F455-I455))</x:f>
      </x:c>
      <x:c r="K455" s="35" t="str">
        <x:f>IF(A455="","",H455-(F455*IFERROR(VLOOKUP(C455,'SẢN_PHẨM'!$A$2:$G$500,5,FALSE),0)))</x:f>
      </x:c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36" t="str">
        <x:f>IF(C456="","",IFERROR(VLOOKUP(C456,'SẢN_PHẨM'!$A$2:$G$500,2,FALSE),""))</x:f>
      </x:c>
      <x:c r="E456" s="36" t="str">
        <x:f>IF(C456="","",IFERROR(VLOOKUP(C456,'SẢN_PHẨM'!$A$2:$G$500,3,FALSE),""))</x:f>
      </x:c>
      <x:c r="F456" s="39"/>
      <x:c r="G456" s="44"/>
      <x:c r="H456" s="35" t="str">
        <x:f>IF(OR(F456="",G456=""),"",F456*G456)</x:f>
      </x:c>
      <x:c r="I456" s="36" t="str">
        <x:f>IF(A456="","",SUMIFS('CHI_TIẾT_GIAO_HÀNG'!$D$2:$D$500,'CHI_TIẾT_GIAO_HÀNG'!$C$2:$C$500,A456,'CHI_TIẾT_GIAO_HÀNG'!$E$2:$E$500,"ĐÃ GIAO"))</x:f>
      </x:c>
      <x:c r="J456" s="36" t="str">
        <x:f>IF(A456="","",MAX(0,F456-I456))</x:f>
      </x:c>
      <x:c r="K456" s="35" t="str">
        <x:f>IF(A456="","",H456-(F456*IFERROR(VLOOKUP(C456,'SẢN_PHẨM'!$A$2:$G$500,5,FALSE),0)))</x:f>
      </x:c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36" t="str">
        <x:f>IF(C457="","",IFERROR(VLOOKUP(C457,'SẢN_PHẨM'!$A$2:$G$500,2,FALSE),""))</x:f>
      </x:c>
      <x:c r="E457" s="36" t="str">
        <x:f>IF(C457="","",IFERROR(VLOOKUP(C457,'SẢN_PHẨM'!$A$2:$G$500,3,FALSE),""))</x:f>
      </x:c>
      <x:c r="F457" s="39"/>
      <x:c r="G457" s="44"/>
      <x:c r="H457" s="35" t="str">
        <x:f>IF(OR(F457="",G457=""),"",F457*G457)</x:f>
      </x:c>
      <x:c r="I457" s="36" t="str">
        <x:f>IF(A457="","",SUMIFS('CHI_TIẾT_GIAO_HÀNG'!$D$2:$D$500,'CHI_TIẾT_GIAO_HÀNG'!$C$2:$C$500,A457,'CHI_TIẾT_GIAO_HÀNG'!$E$2:$E$500,"ĐÃ GIAO"))</x:f>
      </x:c>
      <x:c r="J457" s="36" t="str">
        <x:f>IF(A457="","",MAX(0,F457-I457))</x:f>
      </x:c>
      <x:c r="K457" s="35" t="str">
        <x:f>IF(A457="","",H457-(F457*IFERROR(VLOOKUP(C457,'SẢN_PHẨM'!$A$2:$G$500,5,FALSE),0)))</x:f>
      </x:c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36" t="str">
        <x:f>IF(C458="","",IFERROR(VLOOKUP(C458,'SẢN_PHẨM'!$A$2:$G$500,2,FALSE),""))</x:f>
      </x:c>
      <x:c r="E458" s="36" t="str">
        <x:f>IF(C458="","",IFERROR(VLOOKUP(C458,'SẢN_PHẨM'!$A$2:$G$500,3,FALSE),""))</x:f>
      </x:c>
      <x:c r="F458" s="39"/>
      <x:c r="G458" s="44"/>
      <x:c r="H458" s="35" t="str">
        <x:f>IF(OR(F458="",G458=""),"",F458*G458)</x:f>
      </x:c>
      <x:c r="I458" s="36" t="str">
        <x:f>IF(A458="","",SUMIFS('CHI_TIẾT_GIAO_HÀNG'!$D$2:$D$500,'CHI_TIẾT_GIAO_HÀNG'!$C$2:$C$500,A458,'CHI_TIẾT_GIAO_HÀNG'!$E$2:$E$500,"ĐÃ GIAO"))</x:f>
      </x:c>
      <x:c r="J458" s="36" t="str">
        <x:f>IF(A458="","",MAX(0,F458-I458))</x:f>
      </x:c>
      <x:c r="K458" s="35" t="str">
        <x:f>IF(A458="","",H458-(F458*IFERROR(VLOOKUP(C458,'SẢN_PHẨM'!$A$2:$G$500,5,FALSE),0)))</x:f>
      </x:c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36" t="str">
        <x:f>IF(C459="","",IFERROR(VLOOKUP(C459,'SẢN_PHẨM'!$A$2:$G$500,2,FALSE),""))</x:f>
      </x:c>
      <x:c r="E459" s="36" t="str">
        <x:f>IF(C459="","",IFERROR(VLOOKUP(C459,'SẢN_PHẨM'!$A$2:$G$500,3,FALSE),""))</x:f>
      </x:c>
      <x:c r="F459" s="39"/>
      <x:c r="G459" s="44"/>
      <x:c r="H459" s="35" t="str">
        <x:f>IF(OR(F459="",G459=""),"",F459*G459)</x:f>
      </x:c>
      <x:c r="I459" s="36" t="str">
        <x:f>IF(A459="","",SUMIFS('CHI_TIẾT_GIAO_HÀNG'!$D$2:$D$500,'CHI_TIẾT_GIAO_HÀNG'!$C$2:$C$500,A459,'CHI_TIẾT_GIAO_HÀNG'!$E$2:$E$500,"ĐÃ GIAO"))</x:f>
      </x:c>
      <x:c r="J459" s="36" t="str">
        <x:f>IF(A459="","",MAX(0,F459-I459))</x:f>
      </x:c>
      <x:c r="K459" s="35" t="str">
        <x:f>IF(A459="","",H459-(F459*IFERROR(VLOOKUP(C459,'SẢN_PHẨM'!$A$2:$G$500,5,FALSE),0)))</x:f>
      </x:c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36" t="str">
        <x:f>IF(C460="","",IFERROR(VLOOKUP(C460,'SẢN_PHẨM'!$A$2:$G$500,2,FALSE),""))</x:f>
      </x:c>
      <x:c r="E460" s="36" t="str">
        <x:f>IF(C460="","",IFERROR(VLOOKUP(C460,'SẢN_PHẨM'!$A$2:$G$500,3,FALSE),""))</x:f>
      </x:c>
      <x:c r="F460" s="39"/>
      <x:c r="G460" s="44"/>
      <x:c r="H460" s="35" t="str">
        <x:f>IF(OR(F460="",G460=""),"",F460*G460)</x:f>
      </x:c>
      <x:c r="I460" s="36" t="str">
        <x:f>IF(A460="","",SUMIFS('CHI_TIẾT_GIAO_HÀNG'!$D$2:$D$500,'CHI_TIẾT_GIAO_HÀNG'!$C$2:$C$500,A460,'CHI_TIẾT_GIAO_HÀNG'!$E$2:$E$500,"ĐÃ GIAO"))</x:f>
      </x:c>
      <x:c r="J460" s="36" t="str">
        <x:f>IF(A460="","",MAX(0,F460-I460))</x:f>
      </x:c>
      <x:c r="K460" s="35" t="str">
        <x:f>IF(A460="","",H460-(F460*IFERROR(VLOOKUP(C460,'SẢN_PHẨM'!$A$2:$G$500,5,FALSE),0)))</x:f>
      </x:c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36" t="str">
        <x:f>IF(C461="","",IFERROR(VLOOKUP(C461,'SẢN_PHẨM'!$A$2:$G$500,2,FALSE),""))</x:f>
      </x:c>
      <x:c r="E461" s="36" t="str">
        <x:f>IF(C461="","",IFERROR(VLOOKUP(C461,'SẢN_PHẨM'!$A$2:$G$500,3,FALSE),""))</x:f>
      </x:c>
      <x:c r="F461" s="39"/>
      <x:c r="G461" s="44"/>
      <x:c r="H461" s="35" t="str">
        <x:f>IF(OR(F461="",G461=""),"",F461*G461)</x:f>
      </x:c>
      <x:c r="I461" s="36" t="str">
        <x:f>IF(A461="","",SUMIFS('CHI_TIẾT_GIAO_HÀNG'!$D$2:$D$500,'CHI_TIẾT_GIAO_HÀNG'!$C$2:$C$500,A461,'CHI_TIẾT_GIAO_HÀNG'!$E$2:$E$500,"ĐÃ GIAO"))</x:f>
      </x:c>
      <x:c r="J461" s="36" t="str">
        <x:f>IF(A461="","",MAX(0,F461-I461))</x:f>
      </x:c>
      <x:c r="K461" s="35" t="str">
        <x:f>IF(A461="","",H461-(F461*IFERROR(VLOOKUP(C461,'SẢN_PHẨM'!$A$2:$G$500,5,FALSE),0)))</x:f>
      </x:c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36" t="str">
        <x:f>IF(C462="","",IFERROR(VLOOKUP(C462,'SẢN_PHẨM'!$A$2:$G$500,2,FALSE),""))</x:f>
      </x:c>
      <x:c r="E462" s="36" t="str">
        <x:f>IF(C462="","",IFERROR(VLOOKUP(C462,'SẢN_PHẨM'!$A$2:$G$500,3,FALSE),""))</x:f>
      </x:c>
      <x:c r="F462" s="39"/>
      <x:c r="G462" s="44"/>
      <x:c r="H462" s="35" t="str">
        <x:f>IF(OR(F462="",G462=""),"",F462*G462)</x:f>
      </x:c>
      <x:c r="I462" s="36" t="str">
        <x:f>IF(A462="","",SUMIFS('CHI_TIẾT_GIAO_HÀNG'!$D$2:$D$500,'CHI_TIẾT_GIAO_HÀNG'!$C$2:$C$500,A462,'CHI_TIẾT_GIAO_HÀNG'!$E$2:$E$500,"ĐÃ GIAO"))</x:f>
      </x:c>
      <x:c r="J462" s="36" t="str">
        <x:f>IF(A462="","",MAX(0,F462-I462))</x:f>
      </x:c>
      <x:c r="K462" s="35" t="str">
        <x:f>IF(A462="","",H462-(F462*IFERROR(VLOOKUP(C462,'SẢN_PHẨM'!$A$2:$G$500,5,FALSE),0)))</x:f>
      </x:c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36" t="str">
        <x:f>IF(C463="","",IFERROR(VLOOKUP(C463,'SẢN_PHẨM'!$A$2:$G$500,2,FALSE),""))</x:f>
      </x:c>
      <x:c r="E463" s="36" t="str">
        <x:f>IF(C463="","",IFERROR(VLOOKUP(C463,'SẢN_PHẨM'!$A$2:$G$500,3,FALSE),""))</x:f>
      </x:c>
      <x:c r="F463" s="39"/>
      <x:c r="G463" s="44"/>
      <x:c r="H463" s="35" t="str">
        <x:f>IF(OR(F463="",G463=""),"",F463*G463)</x:f>
      </x:c>
      <x:c r="I463" s="36" t="str">
        <x:f>IF(A463="","",SUMIFS('CHI_TIẾT_GIAO_HÀNG'!$D$2:$D$500,'CHI_TIẾT_GIAO_HÀNG'!$C$2:$C$500,A463,'CHI_TIẾT_GIAO_HÀNG'!$E$2:$E$500,"ĐÃ GIAO"))</x:f>
      </x:c>
      <x:c r="J463" s="36" t="str">
        <x:f>IF(A463="","",MAX(0,F463-I463))</x:f>
      </x:c>
      <x:c r="K463" s="35" t="str">
        <x:f>IF(A463="","",H463-(F463*IFERROR(VLOOKUP(C463,'SẢN_PHẨM'!$A$2:$G$500,5,FALSE),0)))</x:f>
      </x:c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36" t="str">
        <x:f>IF(C464="","",IFERROR(VLOOKUP(C464,'SẢN_PHẨM'!$A$2:$G$500,2,FALSE),""))</x:f>
      </x:c>
      <x:c r="E464" s="36" t="str">
        <x:f>IF(C464="","",IFERROR(VLOOKUP(C464,'SẢN_PHẨM'!$A$2:$G$500,3,FALSE),""))</x:f>
      </x:c>
      <x:c r="F464" s="39"/>
      <x:c r="G464" s="44"/>
      <x:c r="H464" s="35" t="str">
        <x:f>IF(OR(F464="",G464=""),"",F464*G464)</x:f>
      </x:c>
      <x:c r="I464" s="36" t="str">
        <x:f>IF(A464="","",SUMIFS('CHI_TIẾT_GIAO_HÀNG'!$D$2:$D$500,'CHI_TIẾT_GIAO_HÀNG'!$C$2:$C$500,A464,'CHI_TIẾT_GIAO_HÀNG'!$E$2:$E$500,"ĐÃ GIAO"))</x:f>
      </x:c>
      <x:c r="J464" s="36" t="str">
        <x:f>IF(A464="","",MAX(0,F464-I464))</x:f>
      </x:c>
      <x:c r="K464" s="35" t="str">
        <x:f>IF(A464="","",H464-(F464*IFERROR(VLOOKUP(C464,'SẢN_PHẨM'!$A$2:$G$500,5,FALSE),0)))</x:f>
      </x:c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36" t="str">
        <x:f>IF(C465="","",IFERROR(VLOOKUP(C465,'SẢN_PHẨM'!$A$2:$G$500,2,FALSE),""))</x:f>
      </x:c>
      <x:c r="E465" s="36" t="str">
        <x:f>IF(C465="","",IFERROR(VLOOKUP(C465,'SẢN_PHẨM'!$A$2:$G$500,3,FALSE),""))</x:f>
      </x:c>
      <x:c r="F465" s="39"/>
      <x:c r="G465" s="44"/>
      <x:c r="H465" s="35" t="str">
        <x:f>IF(OR(F465="",G465=""),"",F465*G465)</x:f>
      </x:c>
      <x:c r="I465" s="36" t="str">
        <x:f>IF(A465="","",SUMIFS('CHI_TIẾT_GIAO_HÀNG'!$D$2:$D$500,'CHI_TIẾT_GIAO_HÀNG'!$C$2:$C$500,A465,'CHI_TIẾT_GIAO_HÀNG'!$E$2:$E$500,"ĐÃ GIAO"))</x:f>
      </x:c>
      <x:c r="J465" s="36" t="str">
        <x:f>IF(A465="","",MAX(0,F465-I465))</x:f>
      </x:c>
      <x:c r="K465" s="35" t="str">
        <x:f>IF(A465="","",H465-(F465*IFERROR(VLOOKUP(C465,'SẢN_PHẨM'!$A$2:$G$500,5,FALSE),0)))</x:f>
      </x:c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36" t="str">
        <x:f>IF(C466="","",IFERROR(VLOOKUP(C466,'SẢN_PHẨM'!$A$2:$G$500,2,FALSE),""))</x:f>
      </x:c>
      <x:c r="E466" s="36" t="str">
        <x:f>IF(C466="","",IFERROR(VLOOKUP(C466,'SẢN_PHẨM'!$A$2:$G$500,3,FALSE),""))</x:f>
      </x:c>
      <x:c r="F466" s="39"/>
      <x:c r="G466" s="44"/>
      <x:c r="H466" s="35" t="str">
        <x:f>IF(OR(F466="",G466=""),"",F466*G466)</x:f>
      </x:c>
      <x:c r="I466" s="36" t="str">
        <x:f>IF(A466="","",SUMIFS('CHI_TIẾT_GIAO_HÀNG'!$D$2:$D$500,'CHI_TIẾT_GIAO_HÀNG'!$C$2:$C$500,A466,'CHI_TIẾT_GIAO_HÀNG'!$E$2:$E$500,"ĐÃ GIAO"))</x:f>
      </x:c>
      <x:c r="J466" s="36" t="str">
        <x:f>IF(A466="","",MAX(0,F466-I466))</x:f>
      </x:c>
      <x:c r="K466" s="35" t="str">
        <x:f>IF(A466="","",H466-(F466*IFERROR(VLOOKUP(C466,'SẢN_PHẨM'!$A$2:$G$500,5,FALSE),0)))</x:f>
      </x:c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36" t="str">
        <x:f>IF(C467="","",IFERROR(VLOOKUP(C467,'SẢN_PHẨM'!$A$2:$G$500,2,FALSE),""))</x:f>
      </x:c>
      <x:c r="E467" s="36" t="str">
        <x:f>IF(C467="","",IFERROR(VLOOKUP(C467,'SẢN_PHẨM'!$A$2:$G$500,3,FALSE),""))</x:f>
      </x:c>
      <x:c r="F467" s="39"/>
      <x:c r="G467" s="44"/>
      <x:c r="H467" s="35" t="str">
        <x:f>IF(OR(F467="",G467=""),"",F467*G467)</x:f>
      </x:c>
      <x:c r="I467" s="36" t="str">
        <x:f>IF(A467="","",SUMIFS('CHI_TIẾT_GIAO_HÀNG'!$D$2:$D$500,'CHI_TIẾT_GIAO_HÀNG'!$C$2:$C$500,A467,'CHI_TIẾT_GIAO_HÀNG'!$E$2:$E$500,"ĐÃ GIAO"))</x:f>
      </x:c>
      <x:c r="J467" s="36" t="str">
        <x:f>IF(A467="","",MAX(0,F467-I467))</x:f>
      </x:c>
      <x:c r="K467" s="35" t="str">
        <x:f>IF(A467="","",H467-(F467*IFERROR(VLOOKUP(C467,'SẢN_PHẨM'!$A$2:$G$500,5,FALSE),0)))</x:f>
      </x:c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36" t="str">
        <x:f>IF(C468="","",IFERROR(VLOOKUP(C468,'SẢN_PHẨM'!$A$2:$G$500,2,FALSE),""))</x:f>
      </x:c>
      <x:c r="E468" s="36" t="str">
        <x:f>IF(C468="","",IFERROR(VLOOKUP(C468,'SẢN_PHẨM'!$A$2:$G$500,3,FALSE),""))</x:f>
      </x:c>
      <x:c r="F468" s="39"/>
      <x:c r="G468" s="44"/>
      <x:c r="H468" s="35" t="str">
        <x:f>IF(OR(F468="",G468=""),"",F468*G468)</x:f>
      </x:c>
      <x:c r="I468" s="36" t="str">
        <x:f>IF(A468="","",SUMIFS('CHI_TIẾT_GIAO_HÀNG'!$D$2:$D$500,'CHI_TIẾT_GIAO_HÀNG'!$C$2:$C$500,A468,'CHI_TIẾT_GIAO_HÀNG'!$E$2:$E$500,"ĐÃ GIAO"))</x:f>
      </x:c>
      <x:c r="J468" s="36" t="str">
        <x:f>IF(A468="","",MAX(0,F468-I468))</x:f>
      </x:c>
      <x:c r="K468" s="35" t="str">
        <x:f>IF(A468="","",H468-(F468*IFERROR(VLOOKUP(C468,'SẢN_PHẨM'!$A$2:$G$500,5,FALSE),0)))</x:f>
      </x:c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36" t="str">
        <x:f>IF(C469="","",IFERROR(VLOOKUP(C469,'SẢN_PHẨM'!$A$2:$G$500,2,FALSE),""))</x:f>
      </x:c>
      <x:c r="E469" s="36" t="str">
        <x:f>IF(C469="","",IFERROR(VLOOKUP(C469,'SẢN_PHẨM'!$A$2:$G$500,3,FALSE),""))</x:f>
      </x:c>
      <x:c r="F469" s="39"/>
      <x:c r="G469" s="44"/>
      <x:c r="H469" s="35" t="str">
        <x:f>IF(OR(F469="",G469=""),"",F469*G469)</x:f>
      </x:c>
      <x:c r="I469" s="36" t="str">
        <x:f>IF(A469="","",SUMIFS('CHI_TIẾT_GIAO_HÀNG'!$D$2:$D$500,'CHI_TIẾT_GIAO_HÀNG'!$C$2:$C$500,A469,'CHI_TIẾT_GIAO_HÀNG'!$E$2:$E$500,"ĐÃ GIAO"))</x:f>
      </x:c>
      <x:c r="J469" s="36" t="str">
        <x:f>IF(A469="","",MAX(0,F469-I469))</x:f>
      </x:c>
      <x:c r="K469" s="35" t="str">
        <x:f>IF(A469="","",H469-(F469*IFERROR(VLOOKUP(C469,'SẢN_PHẨM'!$A$2:$G$500,5,FALSE),0)))</x:f>
      </x:c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36" t="str">
        <x:f>IF(C470="","",IFERROR(VLOOKUP(C470,'SẢN_PHẨM'!$A$2:$G$500,2,FALSE),""))</x:f>
      </x:c>
      <x:c r="E470" s="36" t="str">
        <x:f>IF(C470="","",IFERROR(VLOOKUP(C470,'SẢN_PHẨM'!$A$2:$G$500,3,FALSE),""))</x:f>
      </x:c>
      <x:c r="F470" s="39"/>
      <x:c r="G470" s="44"/>
      <x:c r="H470" s="35" t="str">
        <x:f>IF(OR(F470="",G470=""),"",F470*G470)</x:f>
      </x:c>
      <x:c r="I470" s="36" t="str">
        <x:f>IF(A470="","",SUMIFS('CHI_TIẾT_GIAO_HÀNG'!$D$2:$D$500,'CHI_TIẾT_GIAO_HÀNG'!$C$2:$C$500,A470,'CHI_TIẾT_GIAO_HÀNG'!$E$2:$E$500,"ĐÃ GIAO"))</x:f>
      </x:c>
      <x:c r="J470" s="36" t="str">
        <x:f>IF(A470="","",MAX(0,F470-I470))</x:f>
      </x:c>
      <x:c r="K470" s="35" t="str">
        <x:f>IF(A470="","",H470-(F470*IFERROR(VLOOKUP(C470,'SẢN_PHẨM'!$A$2:$G$500,5,FALSE),0)))</x:f>
      </x:c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36" t="str">
        <x:f>IF(C471="","",IFERROR(VLOOKUP(C471,'SẢN_PHẨM'!$A$2:$G$500,2,FALSE),""))</x:f>
      </x:c>
      <x:c r="E471" s="36" t="str">
        <x:f>IF(C471="","",IFERROR(VLOOKUP(C471,'SẢN_PHẨM'!$A$2:$G$500,3,FALSE),""))</x:f>
      </x:c>
      <x:c r="F471" s="39"/>
      <x:c r="G471" s="44"/>
      <x:c r="H471" s="35" t="str">
        <x:f>IF(OR(F471="",G471=""),"",F471*G471)</x:f>
      </x:c>
      <x:c r="I471" s="36" t="str">
        <x:f>IF(A471="","",SUMIFS('CHI_TIẾT_GIAO_HÀNG'!$D$2:$D$500,'CHI_TIẾT_GIAO_HÀNG'!$C$2:$C$500,A471,'CHI_TIẾT_GIAO_HÀNG'!$E$2:$E$500,"ĐÃ GIAO"))</x:f>
      </x:c>
      <x:c r="J471" s="36" t="str">
        <x:f>IF(A471="","",MAX(0,F471-I471))</x:f>
      </x:c>
      <x:c r="K471" s="35" t="str">
        <x:f>IF(A471="","",H471-(F471*IFERROR(VLOOKUP(C471,'SẢN_PHẨM'!$A$2:$G$500,5,FALSE),0)))</x:f>
      </x:c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36" t="str">
        <x:f>IF(C472="","",IFERROR(VLOOKUP(C472,'SẢN_PHẨM'!$A$2:$G$500,2,FALSE),""))</x:f>
      </x:c>
      <x:c r="E472" s="36" t="str">
        <x:f>IF(C472="","",IFERROR(VLOOKUP(C472,'SẢN_PHẨM'!$A$2:$G$500,3,FALSE),""))</x:f>
      </x:c>
      <x:c r="F472" s="39"/>
      <x:c r="G472" s="44"/>
      <x:c r="H472" s="35" t="str">
        <x:f>IF(OR(F472="",G472=""),"",F472*G472)</x:f>
      </x:c>
      <x:c r="I472" s="36" t="str">
        <x:f>IF(A472="","",SUMIFS('CHI_TIẾT_GIAO_HÀNG'!$D$2:$D$500,'CHI_TIẾT_GIAO_HÀNG'!$C$2:$C$500,A472,'CHI_TIẾT_GIAO_HÀNG'!$E$2:$E$500,"ĐÃ GIAO"))</x:f>
      </x:c>
      <x:c r="J472" s="36" t="str">
        <x:f>IF(A472="","",MAX(0,F472-I472))</x:f>
      </x:c>
      <x:c r="K472" s="35" t="str">
        <x:f>IF(A472="","",H472-(F472*IFERROR(VLOOKUP(C472,'SẢN_PHẨM'!$A$2:$G$500,5,FALSE),0)))</x:f>
      </x:c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36" t="str">
        <x:f>IF(C473="","",IFERROR(VLOOKUP(C473,'SẢN_PHẨM'!$A$2:$G$500,2,FALSE),""))</x:f>
      </x:c>
      <x:c r="E473" s="36" t="str">
        <x:f>IF(C473="","",IFERROR(VLOOKUP(C473,'SẢN_PHẨM'!$A$2:$G$500,3,FALSE),""))</x:f>
      </x:c>
      <x:c r="F473" s="39"/>
      <x:c r="G473" s="44"/>
      <x:c r="H473" s="35" t="str">
        <x:f>IF(OR(F473="",G473=""),"",F473*G473)</x:f>
      </x:c>
      <x:c r="I473" s="36" t="str">
        <x:f>IF(A473="","",SUMIFS('CHI_TIẾT_GIAO_HÀNG'!$D$2:$D$500,'CHI_TIẾT_GIAO_HÀNG'!$C$2:$C$500,A473,'CHI_TIẾT_GIAO_HÀNG'!$E$2:$E$500,"ĐÃ GIAO"))</x:f>
      </x:c>
      <x:c r="J473" s="36" t="str">
        <x:f>IF(A473="","",MAX(0,F473-I473))</x:f>
      </x:c>
      <x:c r="K473" s="35" t="str">
        <x:f>IF(A473="","",H473-(F473*IFERROR(VLOOKUP(C473,'SẢN_PHẨM'!$A$2:$G$500,5,FALSE),0)))</x:f>
      </x:c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36" t="str">
        <x:f>IF(C474="","",IFERROR(VLOOKUP(C474,'SẢN_PHẨM'!$A$2:$G$500,2,FALSE),""))</x:f>
      </x:c>
      <x:c r="E474" s="36" t="str">
        <x:f>IF(C474="","",IFERROR(VLOOKUP(C474,'SẢN_PHẨM'!$A$2:$G$500,3,FALSE),""))</x:f>
      </x:c>
      <x:c r="F474" s="39"/>
      <x:c r="G474" s="44"/>
      <x:c r="H474" s="35" t="str">
        <x:f>IF(OR(F474="",G474=""),"",F474*G474)</x:f>
      </x:c>
      <x:c r="I474" s="36" t="str">
        <x:f>IF(A474="","",SUMIFS('CHI_TIẾT_GIAO_HÀNG'!$D$2:$D$500,'CHI_TIẾT_GIAO_HÀNG'!$C$2:$C$500,A474,'CHI_TIẾT_GIAO_HÀNG'!$E$2:$E$500,"ĐÃ GIAO"))</x:f>
      </x:c>
      <x:c r="J474" s="36" t="str">
        <x:f>IF(A474="","",MAX(0,F474-I474))</x:f>
      </x:c>
      <x:c r="K474" s="35" t="str">
        <x:f>IF(A474="","",H474-(F474*IFERROR(VLOOKUP(C474,'SẢN_PHẨM'!$A$2:$G$500,5,FALSE),0)))</x:f>
      </x:c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36" t="str">
        <x:f>IF(C475="","",IFERROR(VLOOKUP(C475,'SẢN_PHẨM'!$A$2:$G$500,2,FALSE),""))</x:f>
      </x:c>
      <x:c r="E475" s="36" t="str">
        <x:f>IF(C475="","",IFERROR(VLOOKUP(C475,'SẢN_PHẨM'!$A$2:$G$500,3,FALSE),""))</x:f>
      </x:c>
      <x:c r="F475" s="39"/>
      <x:c r="G475" s="44"/>
      <x:c r="H475" s="35" t="str">
        <x:f>IF(OR(F475="",G475=""),"",F475*G475)</x:f>
      </x:c>
      <x:c r="I475" s="36" t="str">
        <x:f>IF(A475="","",SUMIFS('CHI_TIẾT_GIAO_HÀNG'!$D$2:$D$500,'CHI_TIẾT_GIAO_HÀNG'!$C$2:$C$500,A475,'CHI_TIẾT_GIAO_HÀNG'!$E$2:$E$500,"ĐÃ GIAO"))</x:f>
      </x:c>
      <x:c r="J475" s="36" t="str">
        <x:f>IF(A475="","",MAX(0,F475-I475))</x:f>
      </x:c>
      <x:c r="K475" s="35" t="str">
        <x:f>IF(A475="","",H475-(F475*IFERROR(VLOOKUP(C475,'SẢN_PHẨM'!$A$2:$G$500,5,FALSE),0)))</x:f>
      </x:c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36" t="str">
        <x:f>IF(C476="","",IFERROR(VLOOKUP(C476,'SẢN_PHẨM'!$A$2:$G$500,2,FALSE),""))</x:f>
      </x:c>
      <x:c r="E476" s="36" t="str">
        <x:f>IF(C476="","",IFERROR(VLOOKUP(C476,'SẢN_PHẨM'!$A$2:$G$500,3,FALSE),""))</x:f>
      </x:c>
      <x:c r="F476" s="39"/>
      <x:c r="G476" s="44"/>
      <x:c r="H476" s="35" t="str">
        <x:f>IF(OR(F476="",G476=""),"",F476*G476)</x:f>
      </x:c>
      <x:c r="I476" s="36" t="str">
        <x:f>IF(A476="","",SUMIFS('CHI_TIẾT_GIAO_HÀNG'!$D$2:$D$500,'CHI_TIẾT_GIAO_HÀNG'!$C$2:$C$500,A476,'CHI_TIẾT_GIAO_HÀNG'!$E$2:$E$500,"ĐÃ GIAO"))</x:f>
      </x:c>
      <x:c r="J476" s="36" t="str">
        <x:f>IF(A476="","",MAX(0,F476-I476))</x:f>
      </x:c>
      <x:c r="K476" s="35" t="str">
        <x:f>IF(A476="","",H476-(F476*IFERROR(VLOOKUP(C476,'SẢN_PHẨM'!$A$2:$G$500,5,FALSE),0)))</x:f>
      </x:c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36" t="str">
        <x:f>IF(C477="","",IFERROR(VLOOKUP(C477,'SẢN_PHẨM'!$A$2:$G$500,2,FALSE),""))</x:f>
      </x:c>
      <x:c r="E477" s="36" t="str">
        <x:f>IF(C477="","",IFERROR(VLOOKUP(C477,'SẢN_PHẨM'!$A$2:$G$500,3,FALSE),""))</x:f>
      </x:c>
      <x:c r="F477" s="39"/>
      <x:c r="G477" s="44"/>
      <x:c r="H477" s="35" t="str">
        <x:f>IF(OR(F477="",G477=""),"",F477*G477)</x:f>
      </x:c>
      <x:c r="I477" s="36" t="str">
        <x:f>IF(A477="","",SUMIFS('CHI_TIẾT_GIAO_HÀNG'!$D$2:$D$500,'CHI_TIẾT_GIAO_HÀNG'!$C$2:$C$500,A477,'CHI_TIẾT_GIAO_HÀNG'!$E$2:$E$500,"ĐÃ GIAO"))</x:f>
      </x:c>
      <x:c r="J477" s="36" t="str">
        <x:f>IF(A477="","",MAX(0,F477-I477))</x:f>
      </x:c>
      <x:c r="K477" s="35" t="str">
        <x:f>IF(A477="","",H477-(F477*IFERROR(VLOOKUP(C477,'SẢN_PHẨM'!$A$2:$G$500,5,FALSE),0)))</x:f>
      </x:c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36" t="str">
        <x:f>IF(C478="","",IFERROR(VLOOKUP(C478,'SẢN_PHẨM'!$A$2:$G$500,2,FALSE),""))</x:f>
      </x:c>
      <x:c r="E478" s="36" t="str">
        <x:f>IF(C478="","",IFERROR(VLOOKUP(C478,'SẢN_PHẨM'!$A$2:$G$500,3,FALSE),""))</x:f>
      </x:c>
      <x:c r="F478" s="39"/>
      <x:c r="G478" s="44"/>
      <x:c r="H478" s="35" t="str">
        <x:f>IF(OR(F478="",G478=""),"",F478*G478)</x:f>
      </x:c>
      <x:c r="I478" s="36" t="str">
        <x:f>IF(A478="","",SUMIFS('CHI_TIẾT_GIAO_HÀNG'!$D$2:$D$500,'CHI_TIẾT_GIAO_HÀNG'!$C$2:$C$500,A478,'CHI_TIẾT_GIAO_HÀNG'!$E$2:$E$500,"ĐÃ GIAO"))</x:f>
      </x:c>
      <x:c r="J478" s="36" t="str">
        <x:f>IF(A478="","",MAX(0,F478-I478))</x:f>
      </x:c>
      <x:c r="K478" s="35" t="str">
        <x:f>IF(A478="","",H478-(F478*IFERROR(VLOOKUP(C478,'SẢN_PHẨM'!$A$2:$G$500,5,FALSE),0)))</x:f>
      </x:c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36" t="str">
        <x:f>IF(C479="","",IFERROR(VLOOKUP(C479,'SẢN_PHẨM'!$A$2:$G$500,2,FALSE),""))</x:f>
      </x:c>
      <x:c r="E479" s="36" t="str">
        <x:f>IF(C479="","",IFERROR(VLOOKUP(C479,'SẢN_PHẨM'!$A$2:$G$500,3,FALSE),""))</x:f>
      </x:c>
      <x:c r="F479" s="39"/>
      <x:c r="G479" s="44"/>
      <x:c r="H479" s="35" t="str">
        <x:f>IF(OR(F479="",G479=""),"",F479*G479)</x:f>
      </x:c>
      <x:c r="I479" s="36" t="str">
        <x:f>IF(A479="","",SUMIFS('CHI_TIẾT_GIAO_HÀNG'!$D$2:$D$500,'CHI_TIẾT_GIAO_HÀNG'!$C$2:$C$500,A479,'CHI_TIẾT_GIAO_HÀNG'!$E$2:$E$500,"ĐÃ GIAO"))</x:f>
      </x:c>
      <x:c r="J479" s="36" t="str">
        <x:f>IF(A479="","",MAX(0,F479-I479))</x:f>
      </x:c>
      <x:c r="K479" s="35" t="str">
        <x:f>IF(A479="","",H479-(F479*IFERROR(VLOOKUP(C479,'SẢN_PHẨM'!$A$2:$G$500,5,FALSE),0)))</x:f>
      </x:c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36" t="str">
        <x:f>IF(C480="","",IFERROR(VLOOKUP(C480,'SẢN_PHẨM'!$A$2:$G$500,2,FALSE),""))</x:f>
      </x:c>
      <x:c r="E480" s="36" t="str">
        <x:f>IF(C480="","",IFERROR(VLOOKUP(C480,'SẢN_PHẨM'!$A$2:$G$500,3,FALSE),""))</x:f>
      </x:c>
      <x:c r="F480" s="39"/>
      <x:c r="G480" s="44"/>
      <x:c r="H480" s="35" t="str">
        <x:f>IF(OR(F480="",G480=""),"",F480*G480)</x:f>
      </x:c>
      <x:c r="I480" s="36" t="str">
        <x:f>IF(A480="","",SUMIFS('CHI_TIẾT_GIAO_HÀNG'!$D$2:$D$500,'CHI_TIẾT_GIAO_HÀNG'!$C$2:$C$500,A480,'CHI_TIẾT_GIAO_HÀNG'!$E$2:$E$500,"ĐÃ GIAO"))</x:f>
      </x:c>
      <x:c r="J480" s="36" t="str">
        <x:f>IF(A480="","",MAX(0,F480-I480))</x:f>
      </x:c>
      <x:c r="K480" s="35" t="str">
        <x:f>IF(A480="","",H480-(F480*IFERROR(VLOOKUP(C480,'SẢN_PHẨM'!$A$2:$G$500,5,FALSE),0)))</x:f>
      </x:c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36" t="str">
        <x:f>IF(C481="","",IFERROR(VLOOKUP(C481,'SẢN_PHẨM'!$A$2:$G$500,2,FALSE),""))</x:f>
      </x:c>
      <x:c r="E481" s="36" t="str">
        <x:f>IF(C481="","",IFERROR(VLOOKUP(C481,'SẢN_PHẨM'!$A$2:$G$500,3,FALSE),""))</x:f>
      </x:c>
      <x:c r="F481" s="39"/>
      <x:c r="G481" s="44"/>
      <x:c r="H481" s="35" t="str">
        <x:f>IF(OR(F481="",G481=""),"",F481*G481)</x:f>
      </x:c>
      <x:c r="I481" s="36" t="str">
        <x:f>IF(A481="","",SUMIFS('CHI_TIẾT_GIAO_HÀNG'!$D$2:$D$500,'CHI_TIẾT_GIAO_HÀNG'!$C$2:$C$500,A481,'CHI_TIẾT_GIAO_HÀNG'!$E$2:$E$500,"ĐÃ GIAO"))</x:f>
      </x:c>
      <x:c r="J481" s="36" t="str">
        <x:f>IF(A481="","",MAX(0,F481-I481))</x:f>
      </x:c>
      <x:c r="K481" s="35" t="str">
        <x:f>IF(A481="","",H481-(F481*IFERROR(VLOOKUP(C481,'SẢN_PHẨM'!$A$2:$G$500,5,FALSE),0)))</x:f>
      </x:c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36" t="str">
        <x:f>IF(C482="","",IFERROR(VLOOKUP(C482,'SẢN_PHẨM'!$A$2:$G$500,2,FALSE),""))</x:f>
      </x:c>
      <x:c r="E482" s="36" t="str">
        <x:f>IF(C482="","",IFERROR(VLOOKUP(C482,'SẢN_PHẨM'!$A$2:$G$500,3,FALSE),""))</x:f>
      </x:c>
      <x:c r="F482" s="39"/>
      <x:c r="G482" s="44"/>
      <x:c r="H482" s="35" t="str">
        <x:f>IF(OR(F482="",G482=""),"",F482*G482)</x:f>
      </x:c>
      <x:c r="I482" s="36" t="str">
        <x:f>IF(A482="","",SUMIFS('CHI_TIẾT_GIAO_HÀNG'!$D$2:$D$500,'CHI_TIẾT_GIAO_HÀNG'!$C$2:$C$500,A482,'CHI_TIẾT_GIAO_HÀNG'!$E$2:$E$500,"ĐÃ GIAO"))</x:f>
      </x:c>
      <x:c r="J482" s="36" t="str">
        <x:f>IF(A482="","",MAX(0,F482-I482))</x:f>
      </x:c>
      <x:c r="K482" s="35" t="str">
        <x:f>IF(A482="","",H482-(F482*IFERROR(VLOOKUP(C482,'SẢN_PHẨM'!$A$2:$G$500,5,FALSE),0)))</x:f>
      </x:c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36" t="str">
        <x:f>IF(C483="","",IFERROR(VLOOKUP(C483,'SẢN_PHẨM'!$A$2:$G$500,2,FALSE),""))</x:f>
      </x:c>
      <x:c r="E483" s="36" t="str">
        <x:f>IF(C483="","",IFERROR(VLOOKUP(C483,'SẢN_PHẨM'!$A$2:$G$500,3,FALSE),""))</x:f>
      </x:c>
      <x:c r="F483" s="39"/>
      <x:c r="G483" s="44"/>
      <x:c r="H483" s="35" t="str">
        <x:f>IF(OR(F483="",G483=""),"",F483*G483)</x:f>
      </x:c>
      <x:c r="I483" s="36" t="str">
        <x:f>IF(A483="","",SUMIFS('CHI_TIẾT_GIAO_HÀNG'!$D$2:$D$500,'CHI_TIẾT_GIAO_HÀNG'!$C$2:$C$500,A483,'CHI_TIẾT_GIAO_HÀNG'!$E$2:$E$500,"ĐÃ GIAO"))</x:f>
      </x:c>
      <x:c r="J483" s="36" t="str">
        <x:f>IF(A483="","",MAX(0,F483-I483))</x:f>
      </x:c>
      <x:c r="K483" s="35" t="str">
        <x:f>IF(A483="","",H483-(F483*IFERROR(VLOOKUP(C483,'SẢN_PHẨM'!$A$2:$G$500,5,FALSE),0)))</x:f>
      </x:c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36" t="str">
        <x:f>IF(C484="","",IFERROR(VLOOKUP(C484,'SẢN_PHẨM'!$A$2:$G$500,2,FALSE),""))</x:f>
      </x:c>
      <x:c r="E484" s="36" t="str">
        <x:f>IF(C484="","",IFERROR(VLOOKUP(C484,'SẢN_PHẨM'!$A$2:$G$500,3,FALSE),""))</x:f>
      </x:c>
      <x:c r="F484" s="39"/>
      <x:c r="G484" s="44"/>
      <x:c r="H484" s="35" t="str">
        <x:f>IF(OR(F484="",G484=""),"",F484*G484)</x:f>
      </x:c>
      <x:c r="I484" s="36" t="str">
        <x:f>IF(A484="","",SUMIFS('CHI_TIẾT_GIAO_HÀNG'!$D$2:$D$500,'CHI_TIẾT_GIAO_HÀNG'!$C$2:$C$500,A484,'CHI_TIẾT_GIAO_HÀNG'!$E$2:$E$500,"ĐÃ GIAO"))</x:f>
      </x:c>
      <x:c r="J484" s="36" t="str">
        <x:f>IF(A484="","",MAX(0,F484-I484))</x:f>
      </x:c>
      <x:c r="K484" s="35" t="str">
        <x:f>IF(A484="","",H484-(F484*IFERROR(VLOOKUP(C484,'SẢN_PHẨM'!$A$2:$G$500,5,FALSE),0)))</x:f>
      </x:c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36" t="str">
        <x:f>IF(C485="","",IFERROR(VLOOKUP(C485,'SẢN_PHẨM'!$A$2:$G$500,2,FALSE),""))</x:f>
      </x:c>
      <x:c r="E485" s="36" t="str">
        <x:f>IF(C485="","",IFERROR(VLOOKUP(C485,'SẢN_PHẨM'!$A$2:$G$500,3,FALSE),""))</x:f>
      </x:c>
      <x:c r="F485" s="39"/>
      <x:c r="G485" s="44"/>
      <x:c r="H485" s="35" t="str">
        <x:f>IF(OR(F485="",G485=""),"",F485*G485)</x:f>
      </x:c>
      <x:c r="I485" s="36" t="str">
        <x:f>IF(A485="","",SUMIFS('CHI_TIẾT_GIAO_HÀNG'!$D$2:$D$500,'CHI_TIẾT_GIAO_HÀNG'!$C$2:$C$500,A485,'CHI_TIẾT_GIAO_HÀNG'!$E$2:$E$500,"ĐÃ GIAO"))</x:f>
      </x:c>
      <x:c r="J485" s="36" t="str">
        <x:f>IF(A485="","",MAX(0,F485-I485))</x:f>
      </x:c>
      <x:c r="K485" s="35" t="str">
        <x:f>IF(A485="","",H485-(F485*IFERROR(VLOOKUP(C485,'SẢN_PHẨM'!$A$2:$G$500,5,FALSE),0)))</x:f>
      </x:c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36" t="str">
        <x:f>IF(C486="","",IFERROR(VLOOKUP(C486,'SẢN_PHẨM'!$A$2:$G$500,2,FALSE),""))</x:f>
      </x:c>
      <x:c r="E486" s="36" t="str">
        <x:f>IF(C486="","",IFERROR(VLOOKUP(C486,'SẢN_PHẨM'!$A$2:$G$500,3,FALSE),""))</x:f>
      </x:c>
      <x:c r="F486" s="39"/>
      <x:c r="G486" s="44"/>
      <x:c r="H486" s="35" t="str">
        <x:f>IF(OR(F486="",G486=""),"",F486*G486)</x:f>
      </x:c>
      <x:c r="I486" s="36" t="str">
        <x:f>IF(A486="","",SUMIFS('CHI_TIẾT_GIAO_HÀNG'!$D$2:$D$500,'CHI_TIẾT_GIAO_HÀNG'!$C$2:$C$500,A486,'CHI_TIẾT_GIAO_HÀNG'!$E$2:$E$500,"ĐÃ GIAO"))</x:f>
      </x:c>
      <x:c r="J486" s="36" t="str">
        <x:f>IF(A486="","",MAX(0,F486-I486))</x:f>
      </x:c>
      <x:c r="K486" s="35" t="str">
        <x:f>IF(A486="","",H486-(F486*IFERROR(VLOOKUP(C486,'SẢN_PHẨM'!$A$2:$G$500,5,FALSE),0)))</x:f>
      </x:c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36" t="str">
        <x:f>IF(C487="","",IFERROR(VLOOKUP(C487,'SẢN_PHẨM'!$A$2:$G$500,2,FALSE),""))</x:f>
      </x:c>
      <x:c r="E487" s="36" t="str">
        <x:f>IF(C487="","",IFERROR(VLOOKUP(C487,'SẢN_PHẨM'!$A$2:$G$500,3,FALSE),""))</x:f>
      </x:c>
      <x:c r="F487" s="39"/>
      <x:c r="G487" s="44"/>
      <x:c r="H487" s="35" t="str">
        <x:f>IF(OR(F487="",G487=""),"",F487*G487)</x:f>
      </x:c>
      <x:c r="I487" s="36" t="str">
        <x:f>IF(A487="","",SUMIFS('CHI_TIẾT_GIAO_HÀNG'!$D$2:$D$500,'CHI_TIẾT_GIAO_HÀNG'!$C$2:$C$500,A487,'CHI_TIẾT_GIAO_HÀNG'!$E$2:$E$500,"ĐÃ GIAO"))</x:f>
      </x:c>
      <x:c r="J487" s="36" t="str">
        <x:f>IF(A487="","",MAX(0,F487-I487))</x:f>
      </x:c>
      <x:c r="K487" s="35" t="str">
        <x:f>IF(A487="","",H487-(F487*IFERROR(VLOOKUP(C487,'SẢN_PHẨM'!$A$2:$G$500,5,FALSE),0)))</x:f>
      </x:c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36" t="str">
        <x:f>IF(C488="","",IFERROR(VLOOKUP(C488,'SẢN_PHẨM'!$A$2:$G$500,2,FALSE),""))</x:f>
      </x:c>
      <x:c r="E488" s="36" t="str">
        <x:f>IF(C488="","",IFERROR(VLOOKUP(C488,'SẢN_PHẨM'!$A$2:$G$500,3,FALSE),""))</x:f>
      </x:c>
      <x:c r="F488" s="39"/>
      <x:c r="G488" s="44"/>
      <x:c r="H488" s="35" t="str">
        <x:f>IF(OR(F488="",G488=""),"",F488*G488)</x:f>
      </x:c>
      <x:c r="I488" s="36" t="str">
        <x:f>IF(A488="","",SUMIFS('CHI_TIẾT_GIAO_HÀNG'!$D$2:$D$500,'CHI_TIẾT_GIAO_HÀNG'!$C$2:$C$500,A488,'CHI_TIẾT_GIAO_HÀNG'!$E$2:$E$500,"ĐÃ GIAO"))</x:f>
      </x:c>
      <x:c r="J488" s="36" t="str">
        <x:f>IF(A488="","",MAX(0,F488-I488))</x:f>
      </x:c>
      <x:c r="K488" s="35" t="str">
        <x:f>IF(A488="","",H488-(F488*IFERROR(VLOOKUP(C488,'SẢN_PHẨM'!$A$2:$G$500,5,FALSE),0)))</x:f>
      </x:c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36" t="str">
        <x:f>IF(C489="","",IFERROR(VLOOKUP(C489,'SẢN_PHẨM'!$A$2:$G$500,2,FALSE),""))</x:f>
      </x:c>
      <x:c r="E489" s="36" t="str">
        <x:f>IF(C489="","",IFERROR(VLOOKUP(C489,'SẢN_PHẨM'!$A$2:$G$500,3,FALSE),""))</x:f>
      </x:c>
      <x:c r="F489" s="39"/>
      <x:c r="G489" s="44"/>
      <x:c r="H489" s="35" t="str">
        <x:f>IF(OR(F489="",G489=""),"",F489*G489)</x:f>
      </x:c>
      <x:c r="I489" s="36" t="str">
        <x:f>IF(A489="","",SUMIFS('CHI_TIẾT_GIAO_HÀNG'!$D$2:$D$500,'CHI_TIẾT_GIAO_HÀNG'!$C$2:$C$500,A489,'CHI_TIẾT_GIAO_HÀNG'!$E$2:$E$500,"ĐÃ GIAO"))</x:f>
      </x:c>
      <x:c r="J489" s="36" t="str">
        <x:f>IF(A489="","",MAX(0,F489-I489))</x:f>
      </x:c>
      <x:c r="K489" s="35" t="str">
        <x:f>IF(A489="","",H489-(F489*IFERROR(VLOOKUP(C489,'SẢN_PHẨM'!$A$2:$G$500,5,FALSE),0)))</x:f>
      </x:c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36" t="str">
        <x:f>IF(C490="","",IFERROR(VLOOKUP(C490,'SẢN_PHẨM'!$A$2:$G$500,2,FALSE),""))</x:f>
      </x:c>
      <x:c r="E490" s="36" t="str">
        <x:f>IF(C490="","",IFERROR(VLOOKUP(C490,'SẢN_PHẨM'!$A$2:$G$500,3,FALSE),""))</x:f>
      </x:c>
      <x:c r="F490" s="39"/>
      <x:c r="G490" s="44"/>
      <x:c r="H490" s="35" t="str">
        <x:f>IF(OR(F490="",G490=""),"",F490*G490)</x:f>
      </x:c>
      <x:c r="I490" s="36" t="str">
        <x:f>IF(A490="","",SUMIFS('CHI_TIẾT_GIAO_HÀNG'!$D$2:$D$500,'CHI_TIẾT_GIAO_HÀNG'!$C$2:$C$500,A490,'CHI_TIẾT_GIAO_HÀNG'!$E$2:$E$500,"ĐÃ GIAO"))</x:f>
      </x:c>
      <x:c r="J490" s="36" t="str">
        <x:f>IF(A490="","",MAX(0,F490-I490))</x:f>
      </x:c>
      <x:c r="K490" s="35" t="str">
        <x:f>IF(A490="","",H490-(F490*IFERROR(VLOOKUP(C490,'SẢN_PHẨM'!$A$2:$G$500,5,FALSE),0)))</x:f>
      </x:c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36" t="str">
        <x:f>IF(C491="","",IFERROR(VLOOKUP(C491,'SẢN_PHẨM'!$A$2:$G$500,2,FALSE),""))</x:f>
      </x:c>
      <x:c r="E491" s="36" t="str">
        <x:f>IF(C491="","",IFERROR(VLOOKUP(C491,'SẢN_PHẨM'!$A$2:$G$500,3,FALSE),""))</x:f>
      </x:c>
      <x:c r="F491" s="39"/>
      <x:c r="G491" s="44"/>
      <x:c r="H491" s="35" t="str">
        <x:f>IF(OR(F491="",G491=""),"",F491*G491)</x:f>
      </x:c>
      <x:c r="I491" s="36" t="str">
        <x:f>IF(A491="","",SUMIFS('CHI_TIẾT_GIAO_HÀNG'!$D$2:$D$500,'CHI_TIẾT_GIAO_HÀNG'!$C$2:$C$500,A491,'CHI_TIẾT_GIAO_HÀNG'!$E$2:$E$500,"ĐÃ GIAO"))</x:f>
      </x:c>
      <x:c r="J491" s="36" t="str">
        <x:f>IF(A491="","",MAX(0,F491-I491))</x:f>
      </x:c>
      <x:c r="K491" s="35" t="str">
        <x:f>IF(A491="","",H491-(F491*IFERROR(VLOOKUP(C491,'SẢN_PHẨM'!$A$2:$G$500,5,FALSE),0)))</x:f>
      </x:c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36" t="str">
        <x:f>IF(C492="","",IFERROR(VLOOKUP(C492,'SẢN_PHẨM'!$A$2:$G$500,2,FALSE),""))</x:f>
      </x:c>
      <x:c r="E492" s="36" t="str">
        <x:f>IF(C492="","",IFERROR(VLOOKUP(C492,'SẢN_PHẨM'!$A$2:$G$500,3,FALSE),""))</x:f>
      </x:c>
      <x:c r="F492" s="39"/>
      <x:c r="G492" s="44"/>
      <x:c r="H492" s="35" t="str">
        <x:f>IF(OR(F492="",G492=""),"",F492*G492)</x:f>
      </x:c>
      <x:c r="I492" s="36" t="str">
        <x:f>IF(A492="","",SUMIFS('CHI_TIẾT_GIAO_HÀNG'!$D$2:$D$500,'CHI_TIẾT_GIAO_HÀNG'!$C$2:$C$500,A492,'CHI_TIẾT_GIAO_HÀNG'!$E$2:$E$500,"ĐÃ GIAO"))</x:f>
      </x:c>
      <x:c r="J492" s="36" t="str">
        <x:f>IF(A492="","",MAX(0,F492-I492))</x:f>
      </x:c>
      <x:c r="K492" s="35" t="str">
        <x:f>IF(A492="","",H492-(F492*IFERROR(VLOOKUP(C492,'SẢN_PHẨM'!$A$2:$G$500,5,FALSE),0)))</x:f>
      </x:c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36" t="str">
        <x:f>IF(C493="","",IFERROR(VLOOKUP(C493,'SẢN_PHẨM'!$A$2:$G$500,2,FALSE),""))</x:f>
      </x:c>
      <x:c r="E493" s="36" t="str">
        <x:f>IF(C493="","",IFERROR(VLOOKUP(C493,'SẢN_PHẨM'!$A$2:$G$500,3,FALSE),""))</x:f>
      </x:c>
      <x:c r="F493" s="39"/>
      <x:c r="G493" s="44"/>
      <x:c r="H493" s="35" t="str">
        <x:f>IF(OR(F493="",G493=""),"",F493*G493)</x:f>
      </x:c>
      <x:c r="I493" s="36" t="str">
        <x:f>IF(A493="","",SUMIFS('CHI_TIẾT_GIAO_HÀNG'!$D$2:$D$500,'CHI_TIẾT_GIAO_HÀNG'!$C$2:$C$500,A493,'CHI_TIẾT_GIAO_HÀNG'!$E$2:$E$500,"ĐÃ GIAO"))</x:f>
      </x:c>
      <x:c r="J493" s="36" t="str">
        <x:f>IF(A493="","",MAX(0,F493-I493))</x:f>
      </x:c>
      <x:c r="K493" s="35" t="str">
        <x:f>IF(A493="","",H493-(F493*IFERROR(VLOOKUP(C493,'SẢN_PHẨM'!$A$2:$G$500,5,FALSE),0)))</x:f>
      </x:c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36" t="str">
        <x:f>IF(C494="","",IFERROR(VLOOKUP(C494,'SẢN_PHẨM'!$A$2:$G$500,2,FALSE),""))</x:f>
      </x:c>
      <x:c r="E494" s="36" t="str">
        <x:f>IF(C494="","",IFERROR(VLOOKUP(C494,'SẢN_PHẨM'!$A$2:$G$500,3,FALSE),""))</x:f>
      </x:c>
      <x:c r="F494" s="39"/>
      <x:c r="G494" s="44"/>
      <x:c r="H494" s="35" t="str">
        <x:f>IF(OR(F494="",G494=""),"",F494*G494)</x:f>
      </x:c>
      <x:c r="I494" s="36" t="str">
        <x:f>IF(A494="","",SUMIFS('CHI_TIẾT_GIAO_HÀNG'!$D$2:$D$500,'CHI_TIẾT_GIAO_HÀNG'!$C$2:$C$500,A494,'CHI_TIẾT_GIAO_HÀNG'!$E$2:$E$500,"ĐÃ GIAO"))</x:f>
      </x:c>
      <x:c r="J494" s="36" t="str">
        <x:f>IF(A494="","",MAX(0,F494-I494))</x:f>
      </x:c>
      <x:c r="K494" s="35" t="str">
        <x:f>IF(A494="","",H494-(F494*IFERROR(VLOOKUP(C494,'SẢN_PHẨM'!$A$2:$G$500,5,FALSE),0)))</x:f>
      </x:c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36" t="str">
        <x:f>IF(C495="","",IFERROR(VLOOKUP(C495,'SẢN_PHẨM'!$A$2:$G$500,2,FALSE),""))</x:f>
      </x:c>
      <x:c r="E495" s="36" t="str">
        <x:f>IF(C495="","",IFERROR(VLOOKUP(C495,'SẢN_PHẨM'!$A$2:$G$500,3,FALSE),""))</x:f>
      </x:c>
      <x:c r="F495" s="39"/>
      <x:c r="G495" s="44"/>
      <x:c r="H495" s="35" t="str">
        <x:f>IF(OR(F495="",G495=""),"",F495*G495)</x:f>
      </x:c>
      <x:c r="I495" s="36" t="str">
        <x:f>IF(A495="","",SUMIFS('CHI_TIẾT_GIAO_HÀNG'!$D$2:$D$500,'CHI_TIẾT_GIAO_HÀNG'!$C$2:$C$500,A495,'CHI_TIẾT_GIAO_HÀNG'!$E$2:$E$500,"ĐÃ GIAO"))</x:f>
      </x:c>
      <x:c r="J495" s="36" t="str">
        <x:f>IF(A495="","",MAX(0,F495-I495))</x:f>
      </x:c>
      <x:c r="K495" s="35" t="str">
        <x:f>IF(A495="","",H495-(F495*IFERROR(VLOOKUP(C495,'SẢN_PHẨM'!$A$2:$G$500,5,FALSE),0)))</x:f>
      </x:c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36" t="str">
        <x:f>IF(C496="","",IFERROR(VLOOKUP(C496,'SẢN_PHẨM'!$A$2:$G$500,2,FALSE),""))</x:f>
      </x:c>
      <x:c r="E496" s="36" t="str">
        <x:f>IF(C496="","",IFERROR(VLOOKUP(C496,'SẢN_PHẨM'!$A$2:$G$500,3,FALSE),""))</x:f>
      </x:c>
      <x:c r="F496" s="39"/>
      <x:c r="G496" s="44"/>
      <x:c r="H496" s="35" t="str">
        <x:f>IF(OR(F496="",G496=""),"",F496*G496)</x:f>
      </x:c>
      <x:c r="I496" s="36" t="str">
        <x:f>IF(A496="","",SUMIFS('CHI_TIẾT_GIAO_HÀNG'!$D$2:$D$500,'CHI_TIẾT_GIAO_HÀNG'!$C$2:$C$500,A496,'CHI_TIẾT_GIAO_HÀNG'!$E$2:$E$500,"ĐÃ GIAO"))</x:f>
      </x:c>
      <x:c r="J496" s="36" t="str">
        <x:f>IF(A496="","",MAX(0,F496-I496))</x:f>
      </x:c>
      <x:c r="K496" s="35" t="str">
        <x:f>IF(A496="","",H496-(F496*IFERROR(VLOOKUP(C496,'SẢN_PHẨM'!$A$2:$G$500,5,FALSE),0)))</x:f>
      </x:c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36" t="str">
        <x:f>IF(C497="","",IFERROR(VLOOKUP(C497,'SẢN_PHẨM'!$A$2:$G$500,2,FALSE),""))</x:f>
      </x:c>
      <x:c r="E497" s="36" t="str">
        <x:f>IF(C497="","",IFERROR(VLOOKUP(C497,'SẢN_PHẨM'!$A$2:$G$500,3,FALSE),""))</x:f>
      </x:c>
      <x:c r="F497" s="39"/>
      <x:c r="G497" s="44"/>
      <x:c r="H497" s="35" t="str">
        <x:f>IF(OR(F497="",G497=""),"",F497*G497)</x:f>
      </x:c>
      <x:c r="I497" s="36" t="str">
        <x:f>IF(A497="","",SUMIFS('CHI_TIẾT_GIAO_HÀNG'!$D$2:$D$500,'CHI_TIẾT_GIAO_HÀNG'!$C$2:$C$500,A497,'CHI_TIẾT_GIAO_HÀNG'!$E$2:$E$500,"ĐÃ GIAO"))</x:f>
      </x:c>
      <x:c r="J497" s="36" t="str">
        <x:f>IF(A497="","",MAX(0,F497-I497))</x:f>
      </x:c>
      <x:c r="K497" s="35" t="str">
        <x:f>IF(A497="","",H497-(F497*IFERROR(VLOOKUP(C497,'SẢN_PHẨM'!$A$2:$G$500,5,FALSE),0)))</x:f>
      </x:c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36" t="str">
        <x:f>IF(C498="","",IFERROR(VLOOKUP(C498,'SẢN_PHẨM'!$A$2:$G$500,2,FALSE),""))</x:f>
      </x:c>
      <x:c r="E498" s="36" t="str">
        <x:f>IF(C498="","",IFERROR(VLOOKUP(C498,'SẢN_PHẨM'!$A$2:$G$500,3,FALSE),""))</x:f>
      </x:c>
      <x:c r="F498" s="39"/>
      <x:c r="G498" s="44"/>
      <x:c r="H498" s="35" t="str">
        <x:f>IF(OR(F498="",G498=""),"",F498*G498)</x:f>
      </x:c>
      <x:c r="I498" s="36" t="str">
        <x:f>IF(A498="","",SUMIFS('CHI_TIẾT_GIAO_HÀNG'!$D$2:$D$500,'CHI_TIẾT_GIAO_HÀNG'!$C$2:$C$500,A498,'CHI_TIẾT_GIAO_HÀNG'!$E$2:$E$500,"ĐÃ GIAO"))</x:f>
      </x:c>
      <x:c r="J498" s="36" t="str">
        <x:f>IF(A498="","",MAX(0,F498-I498))</x:f>
      </x:c>
      <x:c r="K498" s="35" t="str">
        <x:f>IF(A498="","",H498-(F498*IFERROR(VLOOKUP(C498,'SẢN_PHẨM'!$A$2:$G$500,5,FALSE),0)))</x:f>
      </x:c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36" t="str">
        <x:f>IF(C499="","",IFERROR(VLOOKUP(C499,'SẢN_PHẨM'!$A$2:$G$500,2,FALSE),""))</x:f>
      </x:c>
      <x:c r="E499" s="36" t="str">
        <x:f>IF(C499="","",IFERROR(VLOOKUP(C499,'SẢN_PHẨM'!$A$2:$G$500,3,FALSE),""))</x:f>
      </x:c>
      <x:c r="F499" s="39"/>
      <x:c r="G499" s="44"/>
      <x:c r="H499" s="35" t="str">
        <x:f>IF(OR(F499="",G499=""),"",F499*G499)</x:f>
      </x:c>
      <x:c r="I499" s="36" t="str">
        <x:f>IF(A499="","",SUMIFS('CHI_TIẾT_GIAO_HÀNG'!$D$2:$D$500,'CHI_TIẾT_GIAO_HÀNG'!$C$2:$C$500,A499,'CHI_TIẾT_GIAO_HÀNG'!$E$2:$E$500,"ĐÃ GIAO"))</x:f>
      </x:c>
      <x:c r="J499" s="36" t="str">
        <x:f>IF(A499="","",MAX(0,F499-I499))</x:f>
      </x:c>
      <x:c r="K499" s="35" t="str">
        <x:f>IF(A499="","",H499-(F499*IFERROR(VLOOKUP(C499,'SẢN_PHẨM'!$A$2:$G$500,5,FALSE),0)))</x:f>
      </x:c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36" t="str">
        <x:f>IF(C500="","",IFERROR(VLOOKUP(C500,'SẢN_PHẨM'!$A$2:$G$500,2,FALSE),""))</x:f>
      </x:c>
      <x:c r="E500" s="36" t="str">
        <x:f>IF(C500="","",IFERROR(VLOOKUP(C500,'SẢN_PHẨM'!$A$2:$G$500,3,FALSE),""))</x:f>
      </x:c>
      <x:c r="F500" s="39"/>
      <x:c r="G500" s="44"/>
      <x:c r="H500" s="35" t="str">
        <x:f>IF(OR(F500="",G500=""),"",F500*G500)</x:f>
      </x:c>
      <x:c r="I500" s="36" t="str">
        <x:f>IF(A500="","",SUMIFS('CHI_TIẾT_GIAO_HÀNG'!$D$2:$D$500,'CHI_TIẾT_GIAO_HÀNG'!$C$2:$C$500,A500,'CHI_TIẾT_GIAO_HÀNG'!$E$2:$E$500,"ĐÃ GIAO"))</x:f>
      </x:c>
      <x:c r="J500" s="36" t="str">
        <x:f>IF(A500="","",MAX(0,F500-I500))</x:f>
      </x:c>
      <x:c r="K500" s="35" t="str">
        <x:f>IF(A500="","",H500-(F500*IFERROR(VLOOKUP(C500,'SẢN_PHẨM'!$A$2:$G$500,5,FALSE),0)))</x:f>
      </x:c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</x:cols>
  <x:sheetData>
    <x:row r="1" ht="27" customHeight="1">
      <x:c r="A1" s="6" t="str">
        <x:v>Mã giao hàng</x:v>
      </x:c>
      <x:c r="B1" s="6" t="str">
        <x:v>Mã đơn hàng</x:v>
      </x:c>
      <x:c r="C1" s="6" t="str">
        <x:v>Ngày giao</x:v>
      </x:c>
      <x:c r="D1" s="6" t="str">
        <x:v>Đợt giao</x:v>
      </x:c>
      <x:c r="E1" s="6" t="str">
        <x:v>Trạng thái</x:v>
      </x:c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GH-001</x:v>
      </x:c>
      <x:c r="B2" s="39" t="str">
        <x:v>DH-002</x:v>
      </x:c>
      <x:c r="C2" s="41" t="d">
        <x:v>2026-09-20T00:00:00.000Z</x:v>
      </x:c>
      <x:c r="D2" s="39" t="n">
        <x:v>1</x:v>
      </x:c>
      <x:c r="E2" s="39" t="str">
        <x:v>ĐÃ GIAO</x:v>
      </x:c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GH-002</x:v>
      </x:c>
      <x:c r="B3" s="39" t="str">
        <x:v>DH-002</x:v>
      </x:c>
      <x:c r="C3" s="41" t="d">
        <x:v>2026-09-27T00:00:00.000Z</x:v>
      </x:c>
      <x:c r="D3" s="39" t="n">
        <x:v>2</x:v>
      </x:c>
      <x:c r="E3" s="39" t="str">
        <x:v>ĐÃ GIAO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/>
      <x:c r="B4" s="39"/>
      <x:c r="C4" s="41"/>
      <x:c r="D4" s="39"/>
      <x:c r="E4" s="39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/>
      <x:c r="B5" s="39"/>
      <x:c r="C5" s="41"/>
      <x:c r="D5" s="39"/>
      <x:c r="E5" s="39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/>
      <x:c r="B6" s="39"/>
      <x:c r="C6" s="41"/>
      <x:c r="D6" s="39"/>
      <x:c r="E6" s="39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/>
      <x:c r="B7" s="39"/>
      <x:c r="C7" s="41"/>
      <x:c r="D7" s="39"/>
      <x:c r="E7" s="39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41"/>
      <x:c r="D8" s="39"/>
      <x:c r="E8" s="39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41"/>
      <x:c r="D9" s="39"/>
      <x:c r="E9" s="39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41"/>
      <x:c r="D10" s="39"/>
      <x:c r="E10" s="39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41"/>
      <x:c r="D11" s="39"/>
      <x:c r="E11" s="39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41"/>
      <x:c r="D12" s="39"/>
      <x:c r="E12" s="39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41"/>
      <x:c r="D13" s="39"/>
      <x:c r="E13" s="39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41"/>
      <x:c r="D14" s="39"/>
      <x:c r="E14" s="39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41"/>
      <x:c r="D15" s="39"/>
      <x:c r="E15" s="39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41"/>
      <x:c r="D16" s="39"/>
      <x:c r="E16" s="39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41"/>
      <x:c r="D17" s="39"/>
      <x:c r="E17" s="39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41"/>
      <x:c r="D18" s="39"/>
      <x:c r="E18" s="39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41"/>
      <x:c r="D19" s="39"/>
      <x:c r="E19" s="39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41"/>
      <x:c r="D20" s="39"/>
      <x:c r="E20" s="39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41"/>
      <x:c r="D21" s="39"/>
      <x:c r="E21" s="39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41"/>
      <x:c r="D22" s="39"/>
      <x:c r="E22" s="39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41"/>
      <x:c r="D23" s="39"/>
      <x:c r="E23" s="39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41"/>
      <x:c r="D24" s="39"/>
      <x:c r="E24" s="39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41"/>
      <x:c r="D25" s="39"/>
      <x:c r="E25" s="39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41"/>
      <x:c r="D26" s="39"/>
      <x:c r="E26" s="39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41"/>
      <x:c r="D27" s="39"/>
      <x:c r="E27" s="39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41"/>
      <x:c r="D28" s="39"/>
      <x:c r="E28" s="39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41"/>
      <x:c r="D29" s="39"/>
      <x:c r="E29" s="39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41"/>
      <x:c r="D30" s="39"/>
      <x:c r="E30" s="39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41"/>
      <x:c r="D31" s="39"/>
      <x:c r="E31" s="39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41"/>
      <x:c r="D32" s="39"/>
      <x:c r="E32" s="39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41"/>
      <x:c r="D33" s="39"/>
      <x:c r="E33" s="39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41"/>
      <x:c r="D34" s="39"/>
      <x:c r="E34" s="39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41"/>
      <x:c r="D35" s="39"/>
      <x:c r="E35" s="39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41"/>
      <x:c r="D36" s="39"/>
      <x:c r="E36" s="39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41"/>
      <x:c r="D37" s="39"/>
      <x:c r="E37" s="39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41"/>
      <x:c r="D38" s="39"/>
      <x:c r="E38" s="39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41"/>
      <x:c r="D39" s="39"/>
      <x:c r="E39" s="39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41"/>
      <x:c r="D40" s="39"/>
      <x:c r="E40" s="39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41"/>
      <x:c r="D41" s="39"/>
      <x:c r="E41" s="39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41"/>
      <x:c r="D42" s="39"/>
      <x:c r="E42" s="39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41"/>
      <x:c r="D43" s="39"/>
      <x:c r="E43" s="39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41"/>
      <x:c r="D44" s="39"/>
      <x:c r="E44" s="39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41"/>
      <x:c r="D45" s="39"/>
      <x:c r="E45" s="39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41"/>
      <x:c r="D46" s="39"/>
      <x:c r="E46" s="39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41"/>
      <x:c r="D47" s="39"/>
      <x:c r="E47" s="39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41"/>
      <x:c r="D48" s="39"/>
      <x:c r="E48" s="39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41"/>
      <x:c r="D49" s="39"/>
      <x:c r="E49" s="39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41"/>
      <x:c r="D50" s="39"/>
      <x:c r="E50" s="39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41"/>
      <x:c r="D51" s="39"/>
      <x:c r="E51" s="39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41"/>
      <x:c r="D52" s="39"/>
      <x:c r="E52" s="39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41"/>
      <x:c r="D53" s="39"/>
      <x:c r="E53" s="39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41"/>
      <x:c r="D54" s="39"/>
      <x:c r="E54" s="39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41"/>
      <x:c r="D55" s="39"/>
      <x:c r="E55" s="39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41"/>
      <x:c r="D56" s="39"/>
      <x:c r="E56" s="39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41"/>
      <x:c r="D57" s="39"/>
      <x:c r="E57" s="39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41"/>
      <x:c r="D58" s="39"/>
      <x:c r="E58" s="39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41"/>
      <x:c r="D59" s="39"/>
      <x:c r="E59" s="39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41"/>
      <x:c r="D60" s="39"/>
      <x:c r="E60" s="39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41"/>
      <x:c r="D61" s="39"/>
      <x:c r="E61" s="39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41"/>
      <x:c r="D62" s="39"/>
      <x:c r="E62" s="39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41"/>
      <x:c r="D63" s="39"/>
      <x:c r="E63" s="39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41"/>
      <x:c r="D64" s="39"/>
      <x:c r="E64" s="39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41"/>
      <x:c r="D65" s="39"/>
      <x:c r="E65" s="39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41"/>
      <x:c r="D66" s="39"/>
      <x:c r="E66" s="39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41"/>
      <x:c r="D67" s="39"/>
      <x:c r="E67" s="39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41"/>
      <x:c r="D68" s="39"/>
      <x:c r="E68" s="39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41"/>
      <x:c r="D69" s="39"/>
      <x:c r="E69" s="39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41"/>
      <x:c r="D70" s="39"/>
      <x:c r="E70" s="39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41"/>
      <x:c r="D71" s="39"/>
      <x:c r="E71" s="39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41"/>
      <x:c r="D72" s="39"/>
      <x:c r="E72" s="39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41"/>
      <x:c r="D73" s="39"/>
      <x:c r="E73" s="39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41"/>
      <x:c r="D74" s="39"/>
      <x:c r="E74" s="39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41"/>
      <x:c r="D75" s="39"/>
      <x:c r="E75" s="39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41"/>
      <x:c r="D76" s="39"/>
      <x:c r="E76" s="39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41"/>
      <x:c r="D77" s="39"/>
      <x:c r="E77" s="39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41"/>
      <x:c r="D78" s="39"/>
      <x:c r="E78" s="39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41"/>
      <x:c r="D79" s="39"/>
      <x:c r="E79" s="39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41"/>
      <x:c r="D80" s="39"/>
      <x:c r="E80" s="39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41"/>
      <x:c r="D81" s="39"/>
      <x:c r="E81" s="39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41"/>
      <x:c r="D82" s="39"/>
      <x:c r="E82" s="39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41"/>
      <x:c r="D83" s="39"/>
      <x:c r="E83" s="39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41"/>
      <x:c r="D84" s="39"/>
      <x:c r="E84" s="39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41"/>
      <x:c r="D85" s="39"/>
      <x:c r="E85" s="39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41"/>
      <x:c r="D86" s="39"/>
      <x:c r="E86" s="39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41"/>
      <x:c r="D87" s="39"/>
      <x:c r="E87" s="39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41"/>
      <x:c r="D88" s="39"/>
      <x:c r="E88" s="39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41"/>
      <x:c r="D89" s="39"/>
      <x:c r="E89" s="39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41"/>
      <x:c r="D90" s="39"/>
      <x:c r="E90" s="39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41"/>
      <x:c r="D91" s="39"/>
      <x:c r="E91" s="39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41"/>
      <x:c r="D92" s="39"/>
      <x:c r="E92" s="39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41"/>
      <x:c r="D93" s="39"/>
      <x:c r="E93" s="39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41"/>
      <x:c r="D94" s="39"/>
      <x:c r="E94" s="39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41"/>
      <x:c r="D95" s="39"/>
      <x:c r="E95" s="39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41"/>
      <x:c r="D96" s="39"/>
      <x:c r="E96" s="39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41"/>
      <x:c r="D97" s="39"/>
      <x:c r="E97" s="39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41"/>
      <x:c r="D98" s="39"/>
      <x:c r="E98" s="39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41"/>
      <x:c r="D99" s="39"/>
      <x:c r="E99" s="39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41"/>
      <x:c r="D100" s="39"/>
      <x:c r="E100" s="39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41"/>
      <x:c r="D101" s="39"/>
      <x:c r="E101" s="39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41"/>
      <x:c r="D102" s="39"/>
      <x:c r="E102" s="39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41"/>
      <x:c r="D103" s="39"/>
      <x:c r="E103" s="39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41"/>
      <x:c r="D104" s="39"/>
      <x:c r="E104" s="39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41"/>
      <x:c r="D105" s="39"/>
      <x:c r="E105" s="39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41"/>
      <x:c r="D106" s="39"/>
      <x:c r="E106" s="39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41"/>
      <x:c r="D107" s="39"/>
      <x:c r="E107" s="39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41"/>
      <x:c r="D108" s="39"/>
      <x:c r="E108" s="39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41"/>
      <x:c r="D109" s="39"/>
      <x:c r="E109" s="39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41"/>
      <x:c r="D110" s="39"/>
      <x:c r="E110" s="39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41"/>
      <x:c r="D111" s="39"/>
      <x:c r="E111" s="39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41"/>
      <x:c r="D112" s="39"/>
      <x:c r="E112" s="39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41"/>
      <x:c r="D113" s="39"/>
      <x:c r="E113" s="39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41"/>
      <x:c r="D114" s="39"/>
      <x:c r="E114" s="39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41"/>
      <x:c r="D115" s="39"/>
      <x:c r="E115" s="39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41"/>
      <x:c r="D116" s="39"/>
      <x:c r="E116" s="39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41"/>
      <x:c r="D117" s="39"/>
      <x:c r="E117" s="39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41"/>
      <x:c r="D118" s="39"/>
      <x:c r="E118" s="39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41"/>
      <x:c r="D119" s="39"/>
      <x:c r="E119" s="39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41"/>
      <x:c r="D120" s="39"/>
      <x:c r="E120" s="39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41"/>
      <x:c r="D121" s="39"/>
      <x:c r="E121" s="39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41"/>
      <x:c r="D122" s="39"/>
      <x:c r="E122" s="39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41"/>
      <x:c r="D123" s="39"/>
      <x:c r="E123" s="39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41"/>
      <x:c r="D124" s="39"/>
      <x:c r="E124" s="39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41"/>
      <x:c r="D125" s="39"/>
      <x:c r="E125" s="39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41"/>
      <x:c r="D126" s="39"/>
      <x:c r="E126" s="39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41"/>
      <x:c r="D127" s="39"/>
      <x:c r="E127" s="39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41"/>
      <x:c r="D128" s="39"/>
      <x:c r="E128" s="39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41"/>
      <x:c r="D129" s="39"/>
      <x:c r="E129" s="39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41"/>
      <x:c r="D130" s="39"/>
      <x:c r="E130" s="39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41"/>
      <x:c r="D131" s="39"/>
      <x:c r="E131" s="39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41"/>
      <x:c r="D132" s="39"/>
      <x:c r="E132" s="39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41"/>
      <x:c r="D133" s="39"/>
      <x:c r="E133" s="39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41"/>
      <x:c r="D134" s="39"/>
      <x:c r="E134" s="39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41"/>
      <x:c r="D135" s="39"/>
      <x:c r="E135" s="39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41"/>
      <x:c r="D136" s="39"/>
      <x:c r="E136" s="39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41"/>
      <x:c r="D137" s="39"/>
      <x:c r="E137" s="39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41"/>
      <x:c r="D138" s="39"/>
      <x:c r="E138" s="39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41"/>
      <x:c r="D139" s="39"/>
      <x:c r="E139" s="39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41"/>
      <x:c r="D140" s="39"/>
      <x:c r="E140" s="39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41"/>
      <x:c r="D141" s="39"/>
      <x:c r="E141" s="39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41"/>
      <x:c r="D142" s="39"/>
      <x:c r="E142" s="39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41"/>
      <x:c r="D143" s="39"/>
      <x:c r="E143" s="39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41"/>
      <x:c r="D144" s="39"/>
      <x:c r="E144" s="39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41"/>
      <x:c r="D145" s="39"/>
      <x:c r="E145" s="39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41"/>
      <x:c r="D146" s="39"/>
      <x:c r="E146" s="39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41"/>
      <x:c r="D147" s="39"/>
      <x:c r="E147" s="39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41"/>
      <x:c r="D148" s="39"/>
      <x:c r="E148" s="39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41"/>
      <x:c r="D149" s="39"/>
      <x:c r="E149" s="39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41"/>
      <x:c r="D150" s="39"/>
      <x:c r="E150" s="39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41"/>
      <x:c r="D151" s="39"/>
      <x:c r="E151" s="39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41"/>
      <x:c r="D152" s="39"/>
      <x:c r="E152" s="39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41"/>
      <x:c r="D153" s="39"/>
      <x:c r="E153" s="39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41"/>
      <x:c r="D154" s="39"/>
      <x:c r="E154" s="39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41"/>
      <x:c r="D155" s="39"/>
      <x:c r="E155" s="39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41"/>
      <x:c r="D156" s="39"/>
      <x:c r="E156" s="39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41"/>
      <x:c r="D157" s="39"/>
      <x:c r="E157" s="39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41"/>
      <x:c r="D158" s="39"/>
      <x:c r="E158" s="39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41"/>
      <x:c r="D159" s="39"/>
      <x:c r="E159" s="39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41"/>
      <x:c r="D160" s="39"/>
      <x:c r="E160" s="39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41"/>
      <x:c r="D161" s="39"/>
      <x:c r="E161" s="39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41"/>
      <x:c r="D162" s="39"/>
      <x:c r="E162" s="39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41"/>
      <x:c r="D163" s="39"/>
      <x:c r="E163" s="39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41"/>
      <x:c r="D164" s="39"/>
      <x:c r="E164" s="39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41"/>
      <x:c r="D165" s="39"/>
      <x:c r="E165" s="39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41"/>
      <x:c r="D166" s="39"/>
      <x:c r="E166" s="39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41"/>
      <x:c r="D167" s="39"/>
      <x:c r="E167" s="39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41"/>
      <x:c r="D168" s="39"/>
      <x:c r="E168" s="39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41"/>
      <x:c r="D169" s="39"/>
      <x:c r="E169" s="39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41"/>
      <x:c r="D170" s="39"/>
      <x:c r="E170" s="39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41"/>
      <x:c r="D171" s="39"/>
      <x:c r="E171" s="39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41"/>
      <x:c r="D172" s="39"/>
      <x:c r="E172" s="39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41"/>
      <x:c r="D173" s="39"/>
      <x:c r="E173" s="39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41"/>
      <x:c r="D174" s="39"/>
      <x:c r="E174" s="39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41"/>
      <x:c r="D175" s="39"/>
      <x:c r="E175" s="39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41"/>
      <x:c r="D176" s="39"/>
      <x:c r="E176" s="39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41"/>
      <x:c r="D177" s="39"/>
      <x:c r="E177" s="39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41"/>
      <x:c r="D178" s="39"/>
      <x:c r="E178" s="39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41"/>
      <x:c r="D179" s="39"/>
      <x:c r="E179" s="39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41"/>
      <x:c r="D180" s="39"/>
      <x:c r="E180" s="39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41"/>
      <x:c r="D181" s="39"/>
      <x:c r="E181" s="39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41"/>
      <x:c r="D182" s="39"/>
      <x:c r="E182" s="39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41"/>
      <x:c r="D183" s="39"/>
      <x:c r="E183" s="39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41"/>
      <x:c r="D184" s="39"/>
      <x:c r="E184" s="39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41"/>
      <x:c r="D185" s="39"/>
      <x:c r="E185" s="39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41"/>
      <x:c r="D186" s="39"/>
      <x:c r="E186" s="39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41"/>
      <x:c r="D187" s="39"/>
      <x:c r="E187" s="39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41"/>
      <x:c r="D188" s="39"/>
      <x:c r="E188" s="39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41"/>
      <x:c r="D189" s="39"/>
      <x:c r="E189" s="39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41"/>
      <x:c r="D190" s="39"/>
      <x:c r="E190" s="39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41"/>
      <x:c r="D191" s="39"/>
      <x:c r="E191" s="39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41"/>
      <x:c r="D192" s="39"/>
      <x:c r="E192" s="39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41"/>
      <x:c r="D193" s="39"/>
      <x:c r="E193" s="39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41"/>
      <x:c r="D194" s="39"/>
      <x:c r="E194" s="39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41"/>
      <x:c r="D195" s="39"/>
      <x:c r="E195" s="39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41"/>
      <x:c r="D196" s="39"/>
      <x:c r="E196" s="39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41"/>
      <x:c r="D197" s="39"/>
      <x:c r="E197" s="39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41"/>
      <x:c r="D198" s="39"/>
      <x:c r="E198" s="39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41"/>
      <x:c r="D199" s="39"/>
      <x:c r="E199" s="39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41"/>
      <x:c r="D200" s="39"/>
      <x:c r="E200" s="39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41"/>
      <x:c r="D201" s="39"/>
      <x:c r="E201" s="39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41"/>
      <x:c r="D202" s="39"/>
      <x:c r="E202" s="39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41"/>
      <x:c r="D203" s="39"/>
      <x:c r="E203" s="39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41"/>
      <x:c r="D204" s="39"/>
      <x:c r="E204" s="39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41"/>
      <x:c r="D205" s="39"/>
      <x:c r="E205" s="39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41"/>
      <x:c r="D206" s="39"/>
      <x:c r="E206" s="39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41"/>
      <x:c r="D207" s="39"/>
      <x:c r="E207" s="39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41"/>
      <x:c r="D208" s="39"/>
      <x:c r="E208" s="39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41"/>
      <x:c r="D209" s="39"/>
      <x:c r="E209" s="39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41"/>
      <x:c r="D210" s="39"/>
      <x:c r="E210" s="39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41"/>
      <x:c r="D211" s="39"/>
      <x:c r="E211" s="39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41"/>
      <x:c r="D212" s="39"/>
      <x:c r="E212" s="39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41"/>
      <x:c r="D213" s="39"/>
      <x:c r="E213" s="39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41"/>
      <x:c r="D214" s="39"/>
      <x:c r="E214" s="39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41"/>
      <x:c r="D215" s="39"/>
      <x:c r="E215" s="39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41"/>
      <x:c r="D216" s="39"/>
      <x:c r="E216" s="39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41"/>
      <x:c r="D217" s="39"/>
      <x:c r="E217" s="39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41"/>
      <x:c r="D218" s="39"/>
      <x:c r="E218" s="39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41"/>
      <x:c r="D219" s="39"/>
      <x:c r="E219" s="39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41"/>
      <x:c r="D220" s="39"/>
      <x:c r="E220" s="39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41"/>
      <x:c r="D221" s="39"/>
      <x:c r="E221" s="39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41"/>
      <x:c r="D222" s="39"/>
      <x:c r="E222" s="39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41"/>
      <x:c r="D223" s="39"/>
      <x:c r="E223" s="39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41"/>
      <x:c r="D224" s="39"/>
      <x:c r="E224" s="39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41"/>
      <x:c r="D225" s="39"/>
      <x:c r="E225" s="39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41"/>
      <x:c r="D226" s="39"/>
      <x:c r="E226" s="39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41"/>
      <x:c r="D227" s="39"/>
      <x:c r="E227" s="39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41"/>
      <x:c r="D228" s="39"/>
      <x:c r="E228" s="39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41"/>
      <x:c r="D229" s="39"/>
      <x:c r="E229" s="39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41"/>
      <x:c r="D230" s="39"/>
      <x:c r="E230" s="39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41"/>
      <x:c r="D231" s="39"/>
      <x:c r="E231" s="39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41"/>
      <x:c r="D232" s="39"/>
      <x:c r="E232" s="39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41"/>
      <x:c r="D233" s="39"/>
      <x:c r="E233" s="39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41"/>
      <x:c r="D234" s="39"/>
      <x:c r="E234" s="39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41"/>
      <x:c r="D235" s="39"/>
      <x:c r="E235" s="39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41"/>
      <x:c r="D236" s="39"/>
      <x:c r="E236" s="39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41"/>
      <x:c r="D237" s="39"/>
      <x:c r="E237" s="39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41"/>
      <x:c r="D238" s="39"/>
      <x:c r="E238" s="39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41"/>
      <x:c r="D239" s="39"/>
      <x:c r="E239" s="39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41"/>
      <x:c r="D240" s="39"/>
      <x:c r="E240" s="39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41"/>
      <x:c r="D241" s="39"/>
      <x:c r="E241" s="39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41"/>
      <x:c r="D242" s="39"/>
      <x:c r="E242" s="39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41"/>
      <x:c r="D243" s="39"/>
      <x:c r="E243" s="39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41"/>
      <x:c r="D244" s="39"/>
      <x:c r="E244" s="39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41"/>
      <x:c r="D245" s="39"/>
      <x:c r="E245" s="39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41"/>
      <x:c r="D246" s="39"/>
      <x:c r="E246" s="39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41"/>
      <x:c r="D247" s="39"/>
      <x:c r="E247" s="39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41"/>
      <x:c r="D248" s="39"/>
      <x:c r="E248" s="39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41"/>
      <x:c r="D249" s="39"/>
      <x:c r="E249" s="39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41"/>
      <x:c r="D250" s="39"/>
      <x:c r="E250" s="39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41"/>
      <x:c r="D251" s="39"/>
      <x:c r="E251" s="39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41"/>
      <x:c r="D252" s="39"/>
      <x:c r="E252" s="39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41"/>
      <x:c r="D253" s="39"/>
      <x:c r="E253" s="39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41"/>
      <x:c r="D254" s="39"/>
      <x:c r="E254" s="39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41"/>
      <x:c r="D255" s="39"/>
      <x:c r="E255" s="39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41"/>
      <x:c r="D256" s="39"/>
      <x:c r="E256" s="39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41"/>
      <x:c r="D257" s="39"/>
      <x:c r="E257" s="39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41"/>
      <x:c r="D258" s="39"/>
      <x:c r="E258" s="39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41"/>
      <x:c r="D259" s="39"/>
      <x:c r="E259" s="39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41"/>
      <x:c r="D260" s="39"/>
      <x:c r="E260" s="39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41"/>
      <x:c r="D261" s="39"/>
      <x:c r="E261" s="39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41"/>
      <x:c r="D262" s="39"/>
      <x:c r="E262" s="39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41"/>
      <x:c r="D263" s="39"/>
      <x:c r="E263" s="39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41"/>
      <x:c r="D264" s="39"/>
      <x:c r="E264" s="39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41"/>
      <x:c r="D265" s="39"/>
      <x:c r="E265" s="39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41"/>
      <x:c r="D266" s="39"/>
      <x:c r="E266" s="39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41"/>
      <x:c r="D267" s="39"/>
      <x:c r="E267" s="39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41"/>
      <x:c r="D268" s="39"/>
      <x:c r="E268" s="39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41"/>
      <x:c r="D269" s="39"/>
      <x:c r="E269" s="39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41"/>
      <x:c r="D270" s="39"/>
      <x:c r="E270" s="39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41"/>
      <x:c r="D271" s="39"/>
      <x:c r="E271" s="39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41"/>
      <x:c r="D272" s="39"/>
      <x:c r="E272" s="39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41"/>
      <x:c r="D273" s="39"/>
      <x:c r="E273" s="39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41"/>
      <x:c r="D274" s="39"/>
      <x:c r="E274" s="39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41"/>
      <x:c r="D275" s="39"/>
      <x:c r="E275" s="39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41"/>
      <x:c r="D276" s="39"/>
      <x:c r="E276" s="39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41"/>
      <x:c r="D277" s="39"/>
      <x:c r="E277" s="39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41"/>
      <x:c r="D278" s="39"/>
      <x:c r="E278" s="39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41"/>
      <x:c r="D279" s="39"/>
      <x:c r="E279" s="39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41"/>
      <x:c r="D280" s="39"/>
      <x:c r="E280" s="39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41"/>
      <x:c r="D281" s="39"/>
      <x:c r="E281" s="39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41"/>
      <x:c r="D282" s="39"/>
      <x:c r="E282" s="39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41"/>
      <x:c r="D283" s="39"/>
      <x:c r="E283" s="39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41"/>
      <x:c r="D284" s="39"/>
      <x:c r="E284" s="39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41"/>
      <x:c r="D285" s="39"/>
      <x:c r="E285" s="39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41"/>
      <x:c r="D286" s="39"/>
      <x:c r="E286" s="39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41"/>
      <x:c r="D287" s="39"/>
      <x:c r="E287" s="39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41"/>
      <x:c r="D288" s="39"/>
      <x:c r="E288" s="39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41"/>
      <x:c r="D289" s="39"/>
      <x:c r="E289" s="39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41"/>
      <x:c r="D290" s="39"/>
      <x:c r="E290" s="39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41"/>
      <x:c r="D291" s="39"/>
      <x:c r="E291" s="39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41"/>
      <x:c r="D292" s="39"/>
      <x:c r="E292" s="39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41"/>
      <x:c r="D293" s="39"/>
      <x:c r="E293" s="39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41"/>
      <x:c r="D294" s="39"/>
      <x:c r="E294" s="39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41"/>
      <x:c r="D295" s="39"/>
      <x:c r="E295" s="39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41"/>
      <x:c r="D296" s="39"/>
      <x:c r="E296" s="39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41"/>
      <x:c r="D297" s="39"/>
      <x:c r="E297" s="39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41"/>
      <x:c r="D298" s="39"/>
      <x:c r="E298" s="39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41"/>
      <x:c r="D299" s="39"/>
      <x:c r="E299" s="39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41"/>
      <x:c r="D300" s="39"/>
      <x:c r="E300" s="39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41"/>
      <x:c r="D301" s="39"/>
      <x:c r="E301" s="39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41"/>
      <x:c r="D302" s="39"/>
      <x:c r="E302" s="39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41"/>
      <x:c r="D303" s="39"/>
      <x:c r="E303" s="39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41"/>
      <x:c r="D304" s="39"/>
      <x:c r="E304" s="39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41"/>
      <x:c r="D305" s="39"/>
      <x:c r="E305" s="39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41"/>
      <x:c r="D306" s="39"/>
      <x:c r="E306" s="39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41"/>
      <x:c r="D307" s="39"/>
      <x:c r="E307" s="39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41"/>
      <x:c r="D308" s="39"/>
      <x:c r="E308" s="39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41"/>
      <x:c r="D309" s="39"/>
      <x:c r="E309" s="39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41"/>
      <x:c r="D310" s="39"/>
      <x:c r="E310" s="39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41"/>
      <x:c r="D311" s="39"/>
      <x:c r="E311" s="39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41"/>
      <x:c r="D312" s="39"/>
      <x:c r="E312" s="39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41"/>
      <x:c r="D313" s="39"/>
      <x:c r="E313" s="39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41"/>
      <x:c r="D314" s="39"/>
      <x:c r="E314" s="39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41"/>
      <x:c r="D315" s="39"/>
      <x:c r="E315" s="39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41"/>
      <x:c r="D316" s="39"/>
      <x:c r="E316" s="39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41"/>
      <x:c r="D317" s="39"/>
      <x:c r="E317" s="39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41"/>
      <x:c r="D318" s="39"/>
      <x:c r="E318" s="39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41"/>
      <x:c r="D319" s="39"/>
      <x:c r="E319" s="39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41"/>
      <x:c r="D320" s="39"/>
      <x:c r="E320" s="39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41"/>
      <x:c r="D321" s="39"/>
      <x:c r="E321" s="39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41"/>
      <x:c r="D322" s="39"/>
      <x:c r="E322" s="39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41"/>
      <x:c r="D323" s="39"/>
      <x:c r="E323" s="39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41"/>
      <x:c r="D324" s="39"/>
      <x:c r="E324" s="39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41"/>
      <x:c r="D325" s="39"/>
      <x:c r="E325" s="39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41"/>
      <x:c r="D326" s="39"/>
      <x:c r="E326" s="39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41"/>
      <x:c r="D327" s="39"/>
      <x:c r="E327" s="39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41"/>
      <x:c r="D328" s="39"/>
      <x:c r="E328" s="39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41"/>
      <x:c r="D329" s="39"/>
      <x:c r="E329" s="39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41"/>
      <x:c r="D330" s="39"/>
      <x:c r="E330" s="39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41"/>
      <x:c r="D331" s="39"/>
      <x:c r="E331" s="39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41"/>
      <x:c r="D332" s="39"/>
      <x:c r="E332" s="39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41"/>
      <x:c r="D333" s="39"/>
      <x:c r="E333" s="39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41"/>
      <x:c r="D334" s="39"/>
      <x:c r="E334" s="39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41"/>
      <x:c r="D335" s="39"/>
      <x:c r="E335" s="39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41"/>
      <x:c r="D336" s="39"/>
      <x:c r="E336" s="39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41"/>
      <x:c r="D337" s="39"/>
      <x:c r="E337" s="39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41"/>
      <x:c r="D338" s="39"/>
      <x:c r="E338" s="39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41"/>
      <x:c r="D339" s="39"/>
      <x:c r="E339" s="39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41"/>
      <x:c r="D340" s="39"/>
      <x:c r="E340" s="39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41"/>
      <x:c r="D341" s="39"/>
      <x:c r="E341" s="39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41"/>
      <x:c r="D342" s="39"/>
      <x:c r="E342" s="39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41"/>
      <x:c r="D343" s="39"/>
      <x:c r="E343" s="39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41"/>
      <x:c r="D344" s="39"/>
      <x:c r="E344" s="39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41"/>
      <x:c r="D345" s="39"/>
      <x:c r="E345" s="39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41"/>
      <x:c r="D346" s="39"/>
      <x:c r="E346" s="39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41"/>
      <x:c r="D347" s="39"/>
      <x:c r="E347" s="39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41"/>
      <x:c r="D348" s="39"/>
      <x:c r="E348" s="39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41"/>
      <x:c r="D349" s="39"/>
      <x:c r="E349" s="39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41"/>
      <x:c r="D350" s="39"/>
      <x:c r="E350" s="39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41"/>
      <x:c r="D351" s="39"/>
      <x:c r="E351" s="39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41"/>
      <x:c r="D352" s="39"/>
      <x:c r="E352" s="39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41"/>
      <x:c r="D353" s="39"/>
      <x:c r="E353" s="39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41"/>
      <x:c r="D354" s="39"/>
      <x:c r="E354" s="39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41"/>
      <x:c r="D355" s="39"/>
      <x:c r="E355" s="39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41"/>
      <x:c r="D356" s="39"/>
      <x:c r="E356" s="39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41"/>
      <x:c r="D357" s="39"/>
      <x:c r="E357" s="39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41"/>
      <x:c r="D358" s="39"/>
      <x:c r="E358" s="39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41"/>
      <x:c r="D359" s="39"/>
      <x:c r="E359" s="39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41"/>
      <x:c r="D360" s="39"/>
      <x:c r="E360" s="39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41"/>
      <x:c r="D361" s="39"/>
      <x:c r="E361" s="39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41"/>
      <x:c r="D362" s="39"/>
      <x:c r="E362" s="39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41"/>
      <x:c r="D363" s="39"/>
      <x:c r="E363" s="39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41"/>
      <x:c r="D364" s="39"/>
      <x:c r="E364" s="39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41"/>
      <x:c r="D365" s="39"/>
      <x:c r="E365" s="39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41"/>
      <x:c r="D366" s="39"/>
      <x:c r="E366" s="39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41"/>
      <x:c r="D367" s="39"/>
      <x:c r="E367" s="39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41"/>
      <x:c r="D368" s="39"/>
      <x:c r="E368" s="39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41"/>
      <x:c r="D369" s="39"/>
      <x:c r="E369" s="39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41"/>
      <x:c r="D370" s="39"/>
      <x:c r="E370" s="39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41"/>
      <x:c r="D371" s="39"/>
      <x:c r="E371" s="39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41"/>
      <x:c r="D372" s="39"/>
      <x:c r="E372" s="39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41"/>
      <x:c r="D373" s="39"/>
      <x:c r="E373" s="39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41"/>
      <x:c r="D374" s="39"/>
      <x:c r="E374" s="39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41"/>
      <x:c r="D375" s="39"/>
      <x:c r="E375" s="39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41"/>
      <x:c r="D376" s="39"/>
      <x:c r="E376" s="39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41"/>
      <x:c r="D377" s="39"/>
      <x:c r="E377" s="39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41"/>
      <x:c r="D378" s="39"/>
      <x:c r="E378" s="39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41"/>
      <x:c r="D379" s="39"/>
      <x:c r="E379" s="39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41"/>
      <x:c r="D380" s="39"/>
      <x:c r="E380" s="39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41"/>
      <x:c r="D381" s="39"/>
      <x:c r="E381" s="39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41"/>
      <x:c r="D382" s="39"/>
      <x:c r="E382" s="39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41"/>
      <x:c r="D383" s="39"/>
      <x:c r="E383" s="39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41"/>
      <x:c r="D384" s="39"/>
      <x:c r="E384" s="39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41"/>
      <x:c r="D385" s="39"/>
      <x:c r="E385" s="39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41"/>
      <x:c r="D386" s="39"/>
      <x:c r="E386" s="39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41"/>
      <x:c r="D387" s="39"/>
      <x:c r="E387" s="39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41"/>
      <x:c r="D388" s="39"/>
      <x:c r="E388" s="39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41"/>
      <x:c r="D389" s="39"/>
      <x:c r="E389" s="39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41"/>
      <x:c r="D390" s="39"/>
      <x:c r="E390" s="39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41"/>
      <x:c r="D391" s="39"/>
      <x:c r="E391" s="39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41"/>
      <x:c r="D392" s="39"/>
      <x:c r="E392" s="39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41"/>
      <x:c r="D393" s="39"/>
      <x:c r="E393" s="39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41"/>
      <x:c r="D394" s="39"/>
      <x:c r="E394" s="39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41"/>
      <x:c r="D395" s="39"/>
      <x:c r="E395" s="39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41"/>
      <x:c r="D396" s="39"/>
      <x:c r="E396" s="39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41"/>
      <x:c r="D397" s="39"/>
      <x:c r="E397" s="39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41"/>
      <x:c r="D398" s="39"/>
      <x:c r="E398" s="39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41"/>
      <x:c r="D399" s="39"/>
      <x:c r="E399" s="39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41"/>
      <x:c r="D400" s="39"/>
      <x:c r="E400" s="39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41"/>
      <x:c r="D401" s="39"/>
      <x:c r="E401" s="39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41"/>
      <x:c r="D402" s="39"/>
      <x:c r="E402" s="39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41"/>
      <x:c r="D403" s="39"/>
      <x:c r="E403" s="39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41"/>
      <x:c r="D404" s="39"/>
      <x:c r="E404" s="39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41"/>
      <x:c r="D405" s="39"/>
      <x:c r="E405" s="39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41"/>
      <x:c r="D406" s="39"/>
      <x:c r="E406" s="39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41"/>
      <x:c r="D407" s="39"/>
      <x:c r="E407" s="39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41"/>
      <x:c r="D408" s="39"/>
      <x:c r="E408" s="39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41"/>
      <x:c r="D409" s="39"/>
      <x:c r="E409" s="39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41"/>
      <x:c r="D410" s="39"/>
      <x:c r="E410" s="39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41"/>
      <x:c r="D411" s="39"/>
      <x:c r="E411" s="39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41"/>
      <x:c r="D412" s="39"/>
      <x:c r="E412" s="39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41"/>
      <x:c r="D413" s="39"/>
      <x:c r="E413" s="39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41"/>
      <x:c r="D414" s="39"/>
      <x:c r="E414" s="39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41"/>
      <x:c r="D415" s="39"/>
      <x:c r="E415" s="39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41"/>
      <x:c r="D416" s="39"/>
      <x:c r="E416" s="39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41"/>
      <x:c r="D417" s="39"/>
      <x:c r="E417" s="39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41"/>
      <x:c r="D418" s="39"/>
      <x:c r="E418" s="39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41"/>
      <x:c r="D419" s="39"/>
      <x:c r="E419" s="39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41"/>
      <x:c r="D420" s="39"/>
      <x:c r="E420" s="39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41"/>
      <x:c r="D421" s="39"/>
      <x:c r="E421" s="39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41"/>
      <x:c r="D422" s="39"/>
      <x:c r="E422" s="39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41"/>
      <x:c r="D423" s="39"/>
      <x:c r="E423" s="39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41"/>
      <x:c r="D424" s="39"/>
      <x:c r="E424" s="39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41"/>
      <x:c r="D425" s="39"/>
      <x:c r="E425" s="39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41"/>
      <x:c r="D426" s="39"/>
      <x:c r="E426" s="39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41"/>
      <x:c r="D427" s="39"/>
      <x:c r="E427" s="39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41"/>
      <x:c r="D428" s="39"/>
      <x:c r="E428" s="39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41"/>
      <x:c r="D429" s="39"/>
      <x:c r="E429" s="39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41"/>
      <x:c r="D430" s="39"/>
      <x:c r="E430" s="39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41"/>
      <x:c r="D431" s="39"/>
      <x:c r="E431" s="39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41"/>
      <x:c r="D432" s="39"/>
      <x:c r="E432" s="39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41"/>
      <x:c r="D433" s="39"/>
      <x:c r="E433" s="39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41"/>
      <x:c r="D434" s="39"/>
      <x:c r="E434" s="39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41"/>
      <x:c r="D435" s="39"/>
      <x:c r="E435" s="39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41"/>
      <x:c r="D436" s="39"/>
      <x:c r="E436" s="39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41"/>
      <x:c r="D437" s="39"/>
      <x:c r="E437" s="39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41"/>
      <x:c r="D438" s="39"/>
      <x:c r="E438" s="39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41"/>
      <x:c r="D439" s="39"/>
      <x:c r="E439" s="39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41"/>
      <x:c r="D440" s="39"/>
      <x:c r="E440" s="39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41"/>
      <x:c r="D441" s="39"/>
      <x:c r="E441" s="39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41"/>
      <x:c r="D442" s="39"/>
      <x:c r="E442" s="39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41"/>
      <x:c r="D443" s="39"/>
      <x:c r="E443" s="39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41"/>
      <x:c r="D444" s="39"/>
      <x:c r="E444" s="39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41"/>
      <x:c r="D445" s="39"/>
      <x:c r="E445" s="39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41"/>
      <x:c r="D446" s="39"/>
      <x:c r="E446" s="39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41"/>
      <x:c r="D447" s="39"/>
      <x:c r="E447" s="39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41"/>
      <x:c r="D448" s="39"/>
      <x:c r="E448" s="39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41"/>
      <x:c r="D449" s="39"/>
      <x:c r="E449" s="39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41"/>
      <x:c r="D450" s="39"/>
      <x:c r="E450" s="39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41"/>
      <x:c r="D451" s="39"/>
      <x:c r="E451" s="39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41"/>
      <x:c r="D452" s="39"/>
      <x:c r="E452" s="39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41"/>
      <x:c r="D453" s="39"/>
      <x:c r="E453" s="39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41"/>
      <x:c r="D454" s="39"/>
      <x:c r="E454" s="39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41"/>
      <x:c r="D455" s="39"/>
      <x:c r="E455" s="39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41"/>
      <x:c r="D456" s="39"/>
      <x:c r="E456" s="39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41"/>
      <x:c r="D457" s="39"/>
      <x:c r="E457" s="39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41"/>
      <x:c r="D458" s="39"/>
      <x:c r="E458" s="39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41"/>
      <x:c r="D459" s="39"/>
      <x:c r="E459" s="39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41"/>
      <x:c r="D460" s="39"/>
      <x:c r="E460" s="39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41"/>
      <x:c r="D461" s="39"/>
      <x:c r="E461" s="39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41"/>
      <x:c r="D462" s="39"/>
      <x:c r="E462" s="39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41"/>
      <x:c r="D463" s="39"/>
      <x:c r="E463" s="39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41"/>
      <x:c r="D464" s="39"/>
      <x:c r="E464" s="39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41"/>
      <x:c r="D465" s="39"/>
      <x:c r="E465" s="39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41"/>
      <x:c r="D466" s="39"/>
      <x:c r="E466" s="39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41"/>
      <x:c r="D467" s="39"/>
      <x:c r="E467" s="39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41"/>
      <x:c r="D468" s="39"/>
      <x:c r="E468" s="39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41"/>
      <x:c r="D469" s="39"/>
      <x:c r="E469" s="39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41"/>
      <x:c r="D470" s="39"/>
      <x:c r="E470" s="39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41"/>
      <x:c r="D471" s="39"/>
      <x:c r="E471" s="39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41"/>
      <x:c r="D472" s="39"/>
      <x:c r="E472" s="39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41"/>
      <x:c r="D473" s="39"/>
      <x:c r="E473" s="39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41"/>
      <x:c r="D474" s="39"/>
      <x:c r="E474" s="39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41"/>
      <x:c r="D475" s="39"/>
      <x:c r="E475" s="39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41"/>
      <x:c r="D476" s="39"/>
      <x:c r="E476" s="39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41"/>
      <x:c r="D477" s="39"/>
      <x:c r="E477" s="39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41"/>
      <x:c r="D478" s="39"/>
      <x:c r="E478" s="39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41"/>
      <x:c r="D479" s="39"/>
      <x:c r="E479" s="39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41"/>
      <x:c r="D480" s="39"/>
      <x:c r="E480" s="39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41"/>
      <x:c r="D481" s="39"/>
      <x:c r="E481" s="39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41"/>
      <x:c r="D482" s="39"/>
      <x:c r="E482" s="39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41"/>
      <x:c r="D483" s="39"/>
      <x:c r="E483" s="39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41"/>
      <x:c r="D484" s="39"/>
      <x:c r="E484" s="39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41"/>
      <x:c r="D485" s="39"/>
      <x:c r="E485" s="39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41"/>
      <x:c r="D486" s="39"/>
      <x:c r="E486" s="39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41"/>
      <x:c r="D487" s="39"/>
      <x:c r="E487" s="39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41"/>
      <x:c r="D488" s="39"/>
      <x:c r="E488" s="39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41"/>
      <x:c r="D489" s="39"/>
      <x:c r="E489" s="39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41"/>
      <x:c r="D490" s="39"/>
      <x:c r="E490" s="39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41"/>
      <x:c r="D491" s="39"/>
      <x:c r="E491" s="39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41"/>
      <x:c r="D492" s="39"/>
      <x:c r="E492" s="39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41"/>
      <x:c r="D493" s="39"/>
      <x:c r="E493" s="39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41"/>
      <x:c r="D494" s="39"/>
      <x:c r="E494" s="39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41"/>
      <x:c r="D495" s="39"/>
      <x:c r="E495" s="39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41"/>
      <x:c r="D496" s="39"/>
      <x:c r="E496" s="39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41"/>
      <x:c r="D497" s="39"/>
      <x:c r="E497" s="39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41"/>
      <x:c r="D498" s="39"/>
      <x:c r="E498" s="39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41"/>
      <x:c r="D499" s="39"/>
      <x:c r="E499" s="39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41"/>
      <x:c r="D500" s="39"/>
      <x:c r="E500" s="39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1">
    <x:dataValidation type="list" sqref="E2:E500">
      <x:formula1>"CHỜ GIAO,ĐANG GIAO,ĐÃ GIAO,HỦY"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</x:cols>
  <x:sheetData>
    <x:row r="1" ht="27" customHeight="1">
      <x:c r="A1" s="6" t="str">
        <x:v>Mã dòng giao</x:v>
      </x:c>
      <x:c r="B1" s="6" t="str">
        <x:v>Mã giao hàng</x:v>
      </x:c>
      <x:c r="C1" s="6" t="str">
        <x:v>Mã dòng đơn hàng</x:v>
      </x:c>
      <x:c r="D1" s="6" t="str">
        <x:v>Số lượng giao</x:v>
      </x:c>
      <x:c r="E1" s="6" t="str">
        <x:v>Trạng thái</x:v>
      </x:c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DGH-001</x:v>
      </x:c>
      <x:c r="B2" s="39" t="str">
        <x:v>GH-001</x:v>
      </x:c>
      <x:c r="C2" s="39" t="str">
        <x:v>DDH-002</x:v>
      </x:c>
      <x:c r="D2" s="39" t="n">
        <x:v>6</x:v>
      </x:c>
      <x:c r="E2" s="39" t="str">
        <x:v>ĐÃ GIAO</x:v>
      </x:c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DGH-002</x:v>
      </x:c>
      <x:c r="B3" s="39" t="str">
        <x:v>GH-002</x:v>
      </x:c>
      <x:c r="C3" s="39" t="str">
        <x:v>DDH-002</x:v>
      </x:c>
      <x:c r="D3" s="39" t="n">
        <x:v>4</x:v>
      </x:c>
      <x:c r="E3" s="39" t="str">
        <x:v>ĐÃ GIAO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/>
      <x:c r="B4" s="39"/>
      <x:c r="C4" s="39"/>
      <x:c r="D4" s="39"/>
      <x:c r="E4" s="39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/>
      <x:c r="B5" s="39"/>
      <x:c r="C5" s="39"/>
      <x:c r="D5" s="39"/>
      <x:c r="E5" s="39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/>
      <x:c r="B6" s="39"/>
      <x:c r="C6" s="39"/>
      <x:c r="D6" s="39"/>
      <x:c r="E6" s="39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/>
      <x:c r="B7" s="39"/>
      <x:c r="C7" s="39"/>
      <x:c r="D7" s="39"/>
      <x:c r="E7" s="39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39"/>
      <x:c r="D8" s="39"/>
      <x:c r="E8" s="39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39"/>
      <x:c r="D9" s="39"/>
      <x:c r="E9" s="39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39"/>
      <x:c r="E10" s="39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39"/>
      <x:c r="E11" s="39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39"/>
      <x:c r="E12" s="39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39"/>
      <x:c r="E13" s="39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39"/>
      <x:c r="E14" s="39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39"/>
      <x:c r="E15" s="39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39"/>
      <x:c r="E16" s="39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39"/>
      <x:c r="E17" s="39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39"/>
      <x:c r="E18" s="39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39"/>
      <x:c r="E19" s="39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39"/>
      <x:c r="E20" s="39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39"/>
      <x:c r="E21" s="39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39"/>
      <x:c r="E22" s="39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39"/>
      <x:c r="E23" s="39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39"/>
      <x:c r="E24" s="39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39"/>
      <x:c r="E25" s="39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39"/>
      <x:c r="E26" s="39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39"/>
      <x:c r="E27" s="39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39"/>
      <x:c r="E28" s="39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39"/>
      <x:c r="E29" s="39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39"/>
      <x:c r="E30" s="39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39"/>
      <x:c r="E31" s="39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39"/>
      <x:c r="E32" s="39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39"/>
      <x:c r="E33" s="39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39"/>
      <x:c r="E34" s="39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39"/>
      <x:c r="E35" s="39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39"/>
      <x:c r="E36" s="39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39"/>
      <x:c r="E37" s="39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39"/>
      <x:c r="E38" s="39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39"/>
      <x:c r="E39" s="39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39"/>
      <x:c r="E40" s="39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39"/>
      <x:c r="E41" s="39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39"/>
      <x:c r="E42" s="39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39"/>
      <x:c r="E43" s="39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39"/>
      <x:c r="E44" s="39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39"/>
      <x:c r="E45" s="39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39"/>
      <x:c r="E46" s="39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39"/>
      <x:c r="E47" s="39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39"/>
      <x:c r="E48" s="39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39"/>
      <x:c r="E49" s="39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39"/>
      <x:c r="E50" s="39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39"/>
      <x:c r="E51" s="39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39"/>
      <x:c r="E52" s="39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39"/>
      <x:c r="E53" s="39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39"/>
      <x:c r="E54" s="39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39"/>
      <x:c r="E55" s="39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39"/>
      <x:c r="E56" s="39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39"/>
      <x:c r="E57" s="39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39"/>
      <x:c r="E58" s="39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39"/>
      <x:c r="E59" s="39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39"/>
      <x:c r="E60" s="39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39"/>
      <x:c r="E61" s="39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39"/>
      <x:c r="E62" s="39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39"/>
      <x:c r="E63" s="39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39"/>
      <x:c r="E64" s="39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39"/>
      <x:c r="E65" s="39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39"/>
      <x:c r="E66" s="39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39"/>
      <x:c r="E67" s="39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39"/>
      <x:c r="E68" s="39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39"/>
      <x:c r="E69" s="39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39"/>
      <x:c r="E70" s="39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39"/>
      <x:c r="E71" s="39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39"/>
      <x:c r="E72" s="39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39"/>
      <x:c r="E73" s="39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39"/>
      <x:c r="E74" s="39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39"/>
      <x:c r="E75" s="39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39"/>
      <x:c r="E76" s="39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39"/>
      <x:c r="E77" s="39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39"/>
      <x:c r="E78" s="39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39"/>
      <x:c r="E79" s="39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39"/>
      <x:c r="E80" s="39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39"/>
      <x:c r="E81" s="39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39"/>
      <x:c r="E82" s="39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39"/>
      <x:c r="E83" s="39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39"/>
      <x:c r="E84" s="39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39"/>
      <x:c r="E85" s="39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39"/>
      <x:c r="E86" s="39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39"/>
      <x:c r="E87" s="39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39"/>
      <x:c r="E88" s="39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39"/>
      <x:c r="E89" s="39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39"/>
      <x:c r="E90" s="39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39"/>
      <x:c r="E91" s="39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39"/>
      <x:c r="E92" s="39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39"/>
      <x:c r="E93" s="39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39"/>
      <x:c r="E94" s="39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39"/>
      <x:c r="E95" s="39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39"/>
      <x:c r="E96" s="39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39"/>
      <x:c r="E97" s="39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39"/>
      <x:c r="E98" s="39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39"/>
      <x:c r="E99" s="39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39"/>
      <x:c r="E100" s="39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39"/>
      <x:c r="E101" s="39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39"/>
      <x:c r="E102" s="39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39"/>
      <x:c r="E103" s="39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39"/>
      <x:c r="E104" s="39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39"/>
      <x:c r="E105" s="39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39"/>
      <x:c r="E106" s="39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39"/>
      <x:c r="E107" s="39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39"/>
      <x:c r="E108" s="39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39"/>
      <x:c r="E109" s="39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39"/>
      <x:c r="E110" s="39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39"/>
      <x:c r="E111" s="39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39"/>
      <x:c r="E112" s="39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39"/>
      <x:c r="E113" s="39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39"/>
      <x:c r="E114" s="39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39"/>
      <x:c r="E115" s="39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39"/>
      <x:c r="E116" s="39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39"/>
      <x:c r="E117" s="39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39"/>
      <x:c r="E118" s="39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39"/>
      <x:c r="E119" s="39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39"/>
      <x:c r="E120" s="39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39"/>
      <x:c r="E121" s="39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39"/>
      <x:c r="E122" s="39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39"/>
      <x:c r="E123" s="39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39"/>
      <x:c r="E124" s="39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39"/>
      <x:c r="E125" s="39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39"/>
      <x:c r="E126" s="39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39"/>
      <x:c r="E127" s="39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39"/>
      <x:c r="E128" s="39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39"/>
      <x:c r="E129" s="39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39"/>
      <x:c r="E130" s="39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39"/>
      <x:c r="E131" s="39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39"/>
      <x:c r="E132" s="39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39"/>
      <x:c r="E133" s="39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39"/>
      <x:c r="E134" s="39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39"/>
      <x:c r="E135" s="39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39"/>
      <x:c r="E136" s="39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39"/>
      <x:c r="E137" s="39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39"/>
      <x:c r="E138" s="39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39"/>
      <x:c r="E139" s="39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39"/>
      <x:c r="E140" s="39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39"/>
      <x:c r="E141" s="39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39"/>
      <x:c r="E142" s="39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39"/>
      <x:c r="E143" s="39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39"/>
      <x:c r="E144" s="39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39"/>
      <x:c r="E145" s="39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39"/>
      <x:c r="E146" s="39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39"/>
      <x:c r="E147" s="39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39"/>
      <x:c r="E148" s="39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39"/>
      <x:c r="E149" s="39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39"/>
      <x:c r="E150" s="39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39"/>
      <x:c r="E151" s="39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39"/>
      <x:c r="E152" s="39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39"/>
      <x:c r="E153" s="39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39"/>
      <x:c r="E154" s="39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39"/>
      <x:c r="E155" s="39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39"/>
      <x:c r="E156" s="39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39"/>
      <x:c r="E157" s="39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39"/>
      <x:c r="E158" s="39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39"/>
      <x:c r="E159" s="39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39"/>
      <x:c r="E160" s="39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39"/>
      <x:c r="E161" s="39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39"/>
      <x:c r="E162" s="39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39"/>
      <x:c r="E163" s="39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39"/>
      <x:c r="E164" s="39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39"/>
      <x:c r="E165" s="39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39"/>
      <x:c r="E166" s="39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39"/>
      <x:c r="E167" s="39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39"/>
      <x:c r="E168" s="39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39"/>
      <x:c r="E169" s="39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39"/>
      <x:c r="E170" s="39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39"/>
      <x:c r="E171" s="39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39"/>
      <x:c r="E172" s="39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39"/>
      <x:c r="E173" s="39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39"/>
      <x:c r="E174" s="39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39"/>
      <x:c r="E175" s="39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39"/>
      <x:c r="E176" s="39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39"/>
      <x:c r="E177" s="39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39"/>
      <x:c r="E178" s="39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39"/>
      <x:c r="E179" s="39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39"/>
      <x:c r="E180" s="39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39"/>
      <x:c r="E181" s="39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39"/>
      <x:c r="E182" s="39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39"/>
      <x:c r="E183" s="39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39"/>
      <x:c r="E184" s="39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39"/>
      <x:c r="E185" s="39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39"/>
      <x:c r="E186" s="39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39"/>
      <x:c r="E187" s="39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39"/>
      <x:c r="E188" s="39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39"/>
      <x:c r="E189" s="39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39"/>
      <x:c r="E190" s="39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39"/>
      <x:c r="E191" s="39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39"/>
      <x:c r="E192" s="39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39"/>
      <x:c r="E193" s="39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39"/>
      <x:c r="E194" s="39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39"/>
      <x:c r="E195" s="39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39"/>
      <x:c r="E196" s="39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39"/>
      <x:c r="E197" s="39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39"/>
      <x:c r="E198" s="39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39"/>
      <x:c r="E199" s="39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39"/>
      <x:c r="E200" s="39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39"/>
      <x:c r="E201" s="39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39"/>
      <x:c r="E202" s="39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39"/>
      <x:c r="E203" s="39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39"/>
      <x:c r="E204" s="39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39"/>
      <x:c r="E205" s="39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39"/>
      <x:c r="E206" s="39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39"/>
      <x:c r="E207" s="39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39"/>
      <x:c r="E208" s="39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39"/>
      <x:c r="E209" s="39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39"/>
      <x:c r="E210" s="39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39"/>
      <x:c r="E211" s="39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39"/>
      <x:c r="E212" s="39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39"/>
      <x:c r="E213" s="39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39"/>
      <x:c r="E214" s="39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39"/>
      <x:c r="E215" s="39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39"/>
      <x:c r="E216" s="39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39"/>
      <x:c r="E217" s="39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39"/>
      <x:c r="E218" s="39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39"/>
      <x:c r="E219" s="39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39"/>
      <x:c r="E220" s="39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39"/>
      <x:c r="E221" s="39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39"/>
      <x:c r="E222" s="39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39"/>
      <x:c r="E223" s="39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39"/>
      <x:c r="E224" s="39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39"/>
      <x:c r="E225" s="39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39"/>
      <x:c r="E226" s="39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39"/>
      <x:c r="E227" s="39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39"/>
      <x:c r="E228" s="39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39"/>
      <x:c r="E229" s="39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39"/>
      <x:c r="E230" s="39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39"/>
      <x:c r="E231" s="39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39"/>
      <x:c r="E232" s="39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39"/>
      <x:c r="E233" s="39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39"/>
      <x:c r="E234" s="39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39"/>
      <x:c r="E235" s="39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39"/>
      <x:c r="E236" s="39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39"/>
      <x:c r="E237" s="39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39"/>
      <x:c r="E238" s="39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39"/>
      <x:c r="E239" s="39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39"/>
      <x:c r="E240" s="39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39"/>
      <x:c r="E241" s="39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39"/>
      <x:c r="E242" s="39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39"/>
      <x:c r="E243" s="39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39"/>
      <x:c r="E244" s="39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39"/>
      <x:c r="E245" s="39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39"/>
      <x:c r="E246" s="39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39"/>
      <x:c r="E247" s="39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39"/>
      <x:c r="E248" s="39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39"/>
      <x:c r="E249" s="39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39"/>
      <x:c r="E250" s="39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39"/>
      <x:c r="E251" s="39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39"/>
      <x:c r="E252" s="39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39"/>
      <x:c r="E253" s="39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39"/>
      <x:c r="E254" s="39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39"/>
      <x:c r="E255" s="39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39"/>
      <x:c r="E256" s="39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39"/>
      <x:c r="E257" s="39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39"/>
      <x:c r="E258" s="39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39"/>
      <x:c r="E259" s="39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39"/>
      <x:c r="E260" s="39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39"/>
      <x:c r="E261" s="39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39"/>
      <x:c r="E262" s="39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39"/>
      <x:c r="E263" s="39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39"/>
      <x:c r="E264" s="39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39"/>
      <x:c r="E265" s="39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39"/>
      <x:c r="E266" s="39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39"/>
      <x:c r="E267" s="39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39"/>
      <x:c r="E268" s="39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39"/>
      <x:c r="E269" s="39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39"/>
      <x:c r="E270" s="39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39"/>
      <x:c r="E271" s="39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39"/>
      <x:c r="E272" s="39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39"/>
      <x:c r="E273" s="39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39"/>
      <x:c r="E274" s="39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39"/>
      <x:c r="E275" s="39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39"/>
      <x:c r="E276" s="39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39"/>
      <x:c r="E277" s="39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39"/>
      <x:c r="E278" s="39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39"/>
      <x:c r="E279" s="39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39"/>
      <x:c r="E280" s="39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39"/>
      <x:c r="E281" s="39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39"/>
      <x:c r="E282" s="39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39"/>
      <x:c r="E283" s="39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39"/>
      <x:c r="E284" s="39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39"/>
      <x:c r="E285" s="39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39"/>
      <x:c r="E286" s="39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39"/>
      <x:c r="E287" s="39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39"/>
      <x:c r="E288" s="39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39"/>
      <x:c r="E289" s="39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39"/>
      <x:c r="E290" s="39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39"/>
      <x:c r="E291" s="39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39"/>
      <x:c r="E292" s="39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39"/>
      <x:c r="E293" s="39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39"/>
      <x:c r="E294" s="39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39"/>
      <x:c r="E295" s="39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39"/>
      <x:c r="E296" s="39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39"/>
      <x:c r="E297" s="39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39"/>
      <x:c r="E298" s="39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39"/>
      <x:c r="E299" s="39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39"/>
      <x:c r="E300" s="39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39"/>
      <x:c r="E301" s="39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39"/>
      <x:c r="E302" s="39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39"/>
      <x:c r="E303" s="39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39"/>
      <x:c r="E304" s="39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39"/>
      <x:c r="E305" s="39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39"/>
      <x:c r="E306" s="39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39"/>
      <x:c r="E307" s="39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39"/>
      <x:c r="E308" s="39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39"/>
      <x:c r="E309" s="39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39"/>
      <x:c r="E310" s="39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39"/>
      <x:c r="E311" s="39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39"/>
      <x:c r="E312" s="39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39"/>
      <x:c r="E313" s="39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39"/>
      <x:c r="E314" s="39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39"/>
      <x:c r="E315" s="39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39"/>
      <x:c r="E316" s="39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39"/>
      <x:c r="E317" s="39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39"/>
      <x:c r="E318" s="39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39"/>
      <x:c r="E319" s="39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39"/>
      <x:c r="E320" s="39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39"/>
      <x:c r="E321" s="39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39"/>
      <x:c r="E322" s="39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39"/>
      <x:c r="E323" s="39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39"/>
      <x:c r="E324" s="39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39"/>
      <x:c r="E325" s="39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39"/>
      <x:c r="E326" s="39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39"/>
      <x:c r="E327" s="39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39"/>
      <x:c r="E328" s="39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39"/>
      <x:c r="E329" s="39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39"/>
      <x:c r="E330" s="39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39"/>
      <x:c r="E331" s="39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39"/>
      <x:c r="E332" s="39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39"/>
      <x:c r="E333" s="39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39"/>
      <x:c r="E334" s="39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39"/>
      <x:c r="E335" s="39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39"/>
      <x:c r="E336" s="39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39"/>
      <x:c r="E337" s="39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39"/>
      <x:c r="E338" s="39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39"/>
      <x:c r="E339" s="39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39"/>
      <x:c r="E340" s="39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39"/>
      <x:c r="E341" s="39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39"/>
      <x:c r="E342" s="39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39"/>
      <x:c r="E343" s="39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39"/>
      <x:c r="E344" s="39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39"/>
      <x:c r="E345" s="39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39"/>
      <x:c r="E346" s="39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39"/>
      <x:c r="E347" s="39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39"/>
      <x:c r="E348" s="39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39"/>
      <x:c r="E349" s="39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39"/>
      <x:c r="E350" s="39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39"/>
      <x:c r="E351" s="39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39"/>
      <x:c r="E352" s="39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39"/>
      <x:c r="E353" s="39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39"/>
      <x:c r="E354" s="39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39"/>
      <x:c r="E355" s="39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39"/>
      <x:c r="E356" s="39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39"/>
      <x:c r="E357" s="39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39"/>
      <x:c r="E358" s="39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39"/>
      <x:c r="E359" s="39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39"/>
      <x:c r="E360" s="39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39"/>
      <x:c r="E361" s="39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39"/>
      <x:c r="E362" s="39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39"/>
      <x:c r="E363" s="39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39"/>
      <x:c r="E364" s="39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39"/>
      <x:c r="E365" s="39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39"/>
      <x:c r="E366" s="39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39"/>
      <x:c r="E367" s="39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39"/>
      <x:c r="E368" s="39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39"/>
      <x:c r="E369" s="39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39"/>
      <x:c r="E370" s="39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39"/>
      <x:c r="E371" s="39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39"/>
      <x:c r="E372" s="39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39"/>
      <x:c r="E373" s="39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39"/>
      <x:c r="E374" s="39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39"/>
      <x:c r="E375" s="39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39"/>
      <x:c r="E376" s="39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39"/>
      <x:c r="E377" s="39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39"/>
      <x:c r="E378" s="39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39"/>
      <x:c r="E379" s="39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39"/>
      <x:c r="E380" s="39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39"/>
      <x:c r="E381" s="39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39"/>
      <x:c r="E382" s="39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39"/>
      <x:c r="E383" s="39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39"/>
      <x:c r="E384" s="39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39"/>
      <x:c r="E385" s="39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39"/>
      <x:c r="E386" s="39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39"/>
      <x:c r="E387" s="39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39"/>
      <x:c r="E388" s="39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39"/>
      <x:c r="E389" s="39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39"/>
      <x:c r="E390" s="39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39"/>
      <x:c r="E391" s="39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39"/>
      <x:c r="E392" s="39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39"/>
      <x:c r="E393" s="39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39"/>
      <x:c r="E394" s="39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39"/>
      <x:c r="E395" s="39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39"/>
      <x:c r="E396" s="39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39"/>
      <x:c r="E397" s="39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39"/>
      <x:c r="E398" s="39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39"/>
      <x:c r="E399" s="39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39"/>
      <x:c r="E400" s="39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39"/>
      <x:c r="E401" s="39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39"/>
      <x:c r="E402" s="39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39"/>
      <x:c r="E403" s="39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39"/>
      <x:c r="E404" s="39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39"/>
      <x:c r="E405" s="39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39"/>
      <x:c r="E406" s="39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39"/>
      <x:c r="E407" s="39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39"/>
      <x:c r="E408" s="39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39"/>
      <x:c r="E409" s="39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39"/>
      <x:c r="E410" s="39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39"/>
      <x:c r="E411" s="39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39"/>
      <x:c r="E412" s="39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39"/>
      <x:c r="E413" s="39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39"/>
      <x:c r="E414" s="39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39"/>
      <x:c r="E415" s="39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39"/>
      <x:c r="E416" s="39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39"/>
      <x:c r="E417" s="39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39"/>
      <x:c r="E418" s="39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39"/>
      <x:c r="E419" s="39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39"/>
      <x:c r="E420" s="39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39"/>
      <x:c r="E421" s="39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39"/>
      <x:c r="E422" s="39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39"/>
      <x:c r="E423" s="39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39"/>
      <x:c r="E424" s="39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39"/>
      <x:c r="E425" s="39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39"/>
      <x:c r="E426" s="39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39"/>
      <x:c r="E427" s="39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39"/>
      <x:c r="E428" s="39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39"/>
      <x:c r="E429" s="39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39"/>
      <x:c r="E430" s="39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39"/>
      <x:c r="E431" s="39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39"/>
      <x:c r="E432" s="39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39"/>
      <x:c r="E433" s="39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39"/>
      <x:c r="E434" s="39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39"/>
      <x:c r="E435" s="39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39"/>
      <x:c r="E436" s="39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39"/>
      <x:c r="E437" s="39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39"/>
      <x:c r="E438" s="39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39"/>
      <x:c r="E439" s="39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39"/>
      <x:c r="E440" s="39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39"/>
      <x:c r="E441" s="39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39"/>
      <x:c r="E442" s="39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39"/>
      <x:c r="E443" s="39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39"/>
      <x:c r="E444" s="39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39"/>
      <x:c r="E445" s="39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39"/>
      <x:c r="E446" s="39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39"/>
      <x:c r="E447" s="39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39"/>
      <x:c r="E448" s="39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39"/>
      <x:c r="E449" s="39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39"/>
      <x:c r="E450" s="39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39"/>
      <x:c r="E451" s="39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39"/>
      <x:c r="E452" s="39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39"/>
      <x:c r="E453" s="39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39"/>
      <x:c r="E454" s="39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39"/>
      <x:c r="E455" s="39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39"/>
      <x:c r="E456" s="39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39"/>
      <x:c r="E457" s="39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39"/>
      <x:c r="E458" s="39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39"/>
      <x:c r="E459" s="39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39"/>
      <x:c r="E460" s="39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39"/>
      <x:c r="E461" s="39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39"/>
      <x:c r="E462" s="39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39"/>
      <x:c r="E463" s="39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39"/>
      <x:c r="E464" s="39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39"/>
      <x:c r="E465" s="39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39"/>
      <x:c r="E466" s="39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39"/>
      <x:c r="E467" s="39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39"/>
      <x:c r="E468" s="39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39"/>
      <x:c r="E469" s="39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39"/>
      <x:c r="E470" s="39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39"/>
      <x:c r="E471" s="39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39"/>
      <x:c r="E472" s="39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39"/>
      <x:c r="E473" s="39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39"/>
      <x:c r="E474" s="39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39"/>
      <x:c r="E475" s="39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39"/>
      <x:c r="E476" s="39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39"/>
      <x:c r="E477" s="39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39"/>
      <x:c r="E478" s="39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39"/>
      <x:c r="E479" s="39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39"/>
      <x:c r="E480" s="39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39"/>
      <x:c r="E481" s="39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39"/>
      <x:c r="E482" s="39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39"/>
      <x:c r="E483" s="39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39"/>
      <x:c r="E484" s="39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39"/>
      <x:c r="E485" s="39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39"/>
      <x:c r="E486" s="39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39"/>
      <x:c r="E487" s="39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39"/>
      <x:c r="E488" s="39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39"/>
      <x:c r="E489" s="39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39"/>
      <x:c r="E490" s="39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39"/>
      <x:c r="E491" s="39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39"/>
      <x:c r="E492" s="39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39"/>
      <x:c r="E493" s="39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39"/>
      <x:c r="E494" s="39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39"/>
      <x:c r="E495" s="39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39"/>
      <x:c r="E496" s="39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39"/>
      <x:c r="E497" s="39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39"/>
      <x:c r="E498" s="39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39"/>
      <x:c r="E499" s="39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39"/>
      <x:c r="E500" s="39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1">
    <x:dataValidation type="list" sqref="E2:E500">
      <x:formula1>"ĐÃ GIAO,HỦY DÒNG"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</x:cols>
  <x:sheetData>
    <x:row r="1" ht="27" customHeight="1">
      <x:c r="A1" s="6" t="str">
        <x:v>Mã thanh toán</x:v>
      </x:c>
      <x:c r="B1" s="6" t="str">
        <x:v>Mã đơn hàng</x:v>
      </x:c>
      <x:c r="C1" s="6" t="str">
        <x:v>Ngày thanh toán</x:v>
      </x:c>
      <x:c r="D1" s="6" t="str">
        <x:v>Số tiền</x:v>
      </x:c>
      <x:c r="E1" s="6" t="str">
        <x:v>Hình thức</x:v>
      </x:c>
      <x:c r="F1" s="6" t="str">
        <x:v>Trạng thái</x:v>
      </x:c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TT-001</x:v>
      </x:c>
      <x:c r="B2" s="39" t="str">
        <x:v>DH-001</x:v>
      </x:c>
      <x:c r="C2" s="41" t="d">
        <x:v>2026-09-01T00:00:00.000Z</x:v>
      </x:c>
      <x:c r="D2" s="44" t="n">
        <x:v>500000</x:v>
      </x:c>
      <x:c r="E2" s="39" t="str">
        <x:v>CHUYỂN KHOẢN</x:v>
      </x:c>
      <x:c r="F2" s="39" t="str">
        <x:v>ĐÃ XÁC NHẬN</x:v>
      </x:c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TT-002</x:v>
      </x:c>
      <x:c r="B3" s="39" t="str">
        <x:v>DH-002</x:v>
      </x:c>
      <x:c r="C3" s="41" t="d">
        <x:v>2026-09-25T00:00:00.000Z</x:v>
      </x:c>
      <x:c r="D3" s="44" t="n">
        <x:v>300000</x:v>
      </x:c>
      <x:c r="E3" s="39" t="str">
        <x:v>CHUYỂN KHOẢN</x:v>
      </x:c>
      <x:c r="F3" s="39" t="str">
        <x:v>CHỜ XÁC NHẬN</x:v>
      </x:c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TT-003</x:v>
      </x:c>
      <x:c r="B4" s="39" t="str">
        <x:v>DH-003</x:v>
      </x:c>
      <x:c r="C4" s="41" t="d">
        <x:v>2026-08-25T00:00:00.000Z</x:v>
      </x:c>
      <x:c r="D4" s="44" t="n">
        <x:v>700000</x:v>
      </x:c>
      <x:c r="E4" s="39" t="str">
        <x:v>TIỀN MẶT</x:v>
      </x:c>
      <x:c r="F4" s="39" t="str">
        <x:v>ĐÃ XÁC NHẬN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TT-005</x:v>
      </x:c>
      <x:c r="B5" s="39" t="str">
        <x:v>DH-005</x:v>
      </x:c>
      <x:c r="C5" s="41" t="d">
        <x:v>2026-09-10T00:00:00.000Z</x:v>
      </x:c>
      <x:c r="D5" s="44" t="n">
        <x:v>200000</x:v>
      </x:c>
      <x:c r="E5" s="39" t="str">
        <x:v>CHUYỂN KHOẢN</x:v>
      </x:c>
      <x:c r="F5" s="39" t="str">
        <x:v>ĐÃ XÁC NHẬN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/>
      <x:c r="B6" s="39"/>
      <x:c r="C6" s="41"/>
      <x:c r="D6" s="44"/>
      <x:c r="E6" s="39"/>
      <x:c r="F6" s="39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/>
      <x:c r="B7" s="39"/>
      <x:c r="C7" s="41"/>
      <x:c r="D7" s="44"/>
      <x:c r="E7" s="39"/>
      <x:c r="F7" s="39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41"/>
      <x:c r="D8" s="44"/>
      <x:c r="E8" s="39"/>
      <x:c r="F8" s="39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41"/>
      <x:c r="D9" s="44"/>
      <x:c r="E9" s="39"/>
      <x:c r="F9" s="39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41"/>
      <x:c r="D10" s="44"/>
      <x:c r="E10" s="39"/>
      <x:c r="F10" s="39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41"/>
      <x:c r="D11" s="44"/>
      <x:c r="E11" s="39"/>
      <x:c r="F11" s="39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41"/>
      <x:c r="D12" s="44"/>
      <x:c r="E12" s="39"/>
      <x:c r="F12" s="39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41"/>
      <x:c r="D13" s="44"/>
      <x:c r="E13" s="39"/>
      <x:c r="F13" s="39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41"/>
      <x:c r="D14" s="44"/>
      <x:c r="E14" s="39"/>
      <x:c r="F14" s="39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41"/>
      <x:c r="D15" s="44"/>
      <x:c r="E15" s="39"/>
      <x:c r="F15" s="39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41"/>
      <x:c r="D16" s="44"/>
      <x:c r="E16" s="39"/>
      <x:c r="F16" s="39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41"/>
      <x:c r="D17" s="44"/>
      <x:c r="E17" s="39"/>
      <x:c r="F17" s="39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41"/>
      <x:c r="D18" s="44"/>
      <x:c r="E18" s="39"/>
      <x:c r="F18" s="39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41"/>
      <x:c r="D19" s="44"/>
      <x:c r="E19" s="39"/>
      <x:c r="F19" s="39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41"/>
      <x:c r="D20" s="44"/>
      <x:c r="E20" s="39"/>
      <x:c r="F20" s="39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41"/>
      <x:c r="D21" s="44"/>
      <x:c r="E21" s="39"/>
      <x:c r="F21" s="39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41"/>
      <x:c r="D22" s="44"/>
      <x:c r="E22" s="39"/>
      <x:c r="F22" s="39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41"/>
      <x:c r="D23" s="44"/>
      <x:c r="E23" s="39"/>
      <x:c r="F23" s="39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41"/>
      <x:c r="D24" s="44"/>
      <x:c r="E24" s="39"/>
      <x:c r="F24" s="39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41"/>
      <x:c r="D25" s="44"/>
      <x:c r="E25" s="39"/>
      <x:c r="F25" s="39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41"/>
      <x:c r="D26" s="44"/>
      <x:c r="E26" s="39"/>
      <x:c r="F26" s="39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41"/>
      <x:c r="D27" s="44"/>
      <x:c r="E27" s="39"/>
      <x:c r="F27" s="39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41"/>
      <x:c r="D28" s="44"/>
      <x:c r="E28" s="39"/>
      <x:c r="F28" s="39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41"/>
      <x:c r="D29" s="44"/>
      <x:c r="E29" s="39"/>
      <x:c r="F29" s="39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41"/>
      <x:c r="D30" s="44"/>
      <x:c r="E30" s="39"/>
      <x:c r="F30" s="39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41"/>
      <x:c r="D31" s="44"/>
      <x:c r="E31" s="39"/>
      <x:c r="F31" s="39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41"/>
      <x:c r="D32" s="44"/>
      <x:c r="E32" s="39"/>
      <x:c r="F32" s="39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41"/>
      <x:c r="D33" s="44"/>
      <x:c r="E33" s="39"/>
      <x:c r="F33" s="39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41"/>
      <x:c r="D34" s="44"/>
      <x:c r="E34" s="39"/>
      <x:c r="F34" s="39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41"/>
      <x:c r="D35" s="44"/>
      <x:c r="E35" s="39"/>
      <x:c r="F35" s="39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41"/>
      <x:c r="D36" s="44"/>
      <x:c r="E36" s="39"/>
      <x:c r="F36" s="39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41"/>
      <x:c r="D37" s="44"/>
      <x:c r="E37" s="39"/>
      <x:c r="F37" s="39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41"/>
      <x:c r="D38" s="44"/>
      <x:c r="E38" s="39"/>
      <x:c r="F38" s="39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41"/>
      <x:c r="D39" s="44"/>
      <x:c r="E39" s="39"/>
      <x:c r="F39" s="39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41"/>
      <x:c r="D40" s="44"/>
      <x:c r="E40" s="39"/>
      <x:c r="F40" s="39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41"/>
      <x:c r="D41" s="44"/>
      <x:c r="E41" s="39"/>
      <x:c r="F41" s="39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41"/>
      <x:c r="D42" s="44"/>
      <x:c r="E42" s="39"/>
      <x:c r="F42" s="39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41"/>
      <x:c r="D43" s="44"/>
      <x:c r="E43" s="39"/>
      <x:c r="F43" s="39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41"/>
      <x:c r="D44" s="44"/>
      <x:c r="E44" s="39"/>
      <x:c r="F44" s="39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41"/>
      <x:c r="D45" s="44"/>
      <x:c r="E45" s="39"/>
      <x:c r="F45" s="39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41"/>
      <x:c r="D46" s="44"/>
      <x:c r="E46" s="39"/>
      <x:c r="F46" s="39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41"/>
      <x:c r="D47" s="44"/>
      <x:c r="E47" s="39"/>
      <x:c r="F47" s="39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41"/>
      <x:c r="D48" s="44"/>
      <x:c r="E48" s="39"/>
      <x:c r="F48" s="39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41"/>
      <x:c r="D49" s="44"/>
      <x:c r="E49" s="39"/>
      <x:c r="F49" s="39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41"/>
      <x:c r="D50" s="44"/>
      <x:c r="E50" s="39"/>
      <x:c r="F50" s="39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41"/>
      <x:c r="D51" s="44"/>
      <x:c r="E51" s="39"/>
      <x:c r="F51" s="39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41"/>
      <x:c r="D52" s="44"/>
      <x:c r="E52" s="39"/>
      <x:c r="F52" s="39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41"/>
      <x:c r="D53" s="44"/>
      <x:c r="E53" s="39"/>
      <x:c r="F53" s="39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41"/>
      <x:c r="D54" s="44"/>
      <x:c r="E54" s="39"/>
      <x:c r="F54" s="39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41"/>
      <x:c r="D55" s="44"/>
      <x:c r="E55" s="39"/>
      <x:c r="F55" s="39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41"/>
      <x:c r="D56" s="44"/>
      <x:c r="E56" s="39"/>
      <x:c r="F56" s="39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41"/>
      <x:c r="D57" s="44"/>
      <x:c r="E57" s="39"/>
      <x:c r="F57" s="39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41"/>
      <x:c r="D58" s="44"/>
      <x:c r="E58" s="39"/>
      <x:c r="F58" s="39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41"/>
      <x:c r="D59" s="44"/>
      <x:c r="E59" s="39"/>
      <x:c r="F59" s="39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41"/>
      <x:c r="D60" s="44"/>
      <x:c r="E60" s="39"/>
      <x:c r="F60" s="39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41"/>
      <x:c r="D61" s="44"/>
      <x:c r="E61" s="39"/>
      <x:c r="F61" s="39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41"/>
      <x:c r="D62" s="44"/>
      <x:c r="E62" s="39"/>
      <x:c r="F62" s="39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41"/>
      <x:c r="D63" s="44"/>
      <x:c r="E63" s="39"/>
      <x:c r="F63" s="39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41"/>
      <x:c r="D64" s="44"/>
      <x:c r="E64" s="39"/>
      <x:c r="F64" s="39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41"/>
      <x:c r="D65" s="44"/>
      <x:c r="E65" s="39"/>
      <x:c r="F65" s="39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41"/>
      <x:c r="D66" s="44"/>
      <x:c r="E66" s="39"/>
      <x:c r="F66" s="39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41"/>
      <x:c r="D67" s="44"/>
      <x:c r="E67" s="39"/>
      <x:c r="F67" s="39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41"/>
      <x:c r="D68" s="44"/>
      <x:c r="E68" s="39"/>
      <x:c r="F68" s="39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41"/>
      <x:c r="D69" s="44"/>
      <x:c r="E69" s="39"/>
      <x:c r="F69" s="39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41"/>
      <x:c r="D70" s="44"/>
      <x:c r="E70" s="39"/>
      <x:c r="F70" s="39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41"/>
      <x:c r="D71" s="44"/>
      <x:c r="E71" s="39"/>
      <x:c r="F71" s="39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41"/>
      <x:c r="D72" s="44"/>
      <x:c r="E72" s="39"/>
      <x:c r="F72" s="39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41"/>
      <x:c r="D73" s="44"/>
      <x:c r="E73" s="39"/>
      <x:c r="F73" s="39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41"/>
      <x:c r="D74" s="44"/>
      <x:c r="E74" s="39"/>
      <x:c r="F74" s="39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41"/>
      <x:c r="D75" s="44"/>
      <x:c r="E75" s="39"/>
      <x:c r="F75" s="39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41"/>
      <x:c r="D76" s="44"/>
      <x:c r="E76" s="39"/>
      <x:c r="F76" s="39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41"/>
      <x:c r="D77" s="44"/>
      <x:c r="E77" s="39"/>
      <x:c r="F77" s="39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41"/>
      <x:c r="D78" s="44"/>
      <x:c r="E78" s="39"/>
      <x:c r="F78" s="39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41"/>
      <x:c r="D79" s="44"/>
      <x:c r="E79" s="39"/>
      <x:c r="F79" s="39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41"/>
      <x:c r="D80" s="44"/>
      <x:c r="E80" s="39"/>
      <x:c r="F80" s="39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41"/>
      <x:c r="D81" s="44"/>
      <x:c r="E81" s="39"/>
      <x:c r="F81" s="39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41"/>
      <x:c r="D82" s="44"/>
      <x:c r="E82" s="39"/>
      <x:c r="F82" s="39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41"/>
      <x:c r="D83" s="44"/>
      <x:c r="E83" s="39"/>
      <x:c r="F83" s="39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41"/>
      <x:c r="D84" s="44"/>
      <x:c r="E84" s="39"/>
      <x:c r="F84" s="39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41"/>
      <x:c r="D85" s="44"/>
      <x:c r="E85" s="39"/>
      <x:c r="F85" s="39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41"/>
      <x:c r="D86" s="44"/>
      <x:c r="E86" s="39"/>
      <x:c r="F86" s="39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41"/>
      <x:c r="D87" s="44"/>
      <x:c r="E87" s="39"/>
      <x:c r="F87" s="39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41"/>
      <x:c r="D88" s="44"/>
      <x:c r="E88" s="39"/>
      <x:c r="F88" s="39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41"/>
      <x:c r="D89" s="44"/>
      <x:c r="E89" s="39"/>
      <x:c r="F89" s="39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41"/>
      <x:c r="D90" s="44"/>
      <x:c r="E90" s="39"/>
      <x:c r="F90" s="39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41"/>
      <x:c r="D91" s="44"/>
      <x:c r="E91" s="39"/>
      <x:c r="F91" s="39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41"/>
      <x:c r="D92" s="44"/>
      <x:c r="E92" s="39"/>
      <x:c r="F92" s="39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41"/>
      <x:c r="D93" s="44"/>
      <x:c r="E93" s="39"/>
      <x:c r="F93" s="39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41"/>
      <x:c r="D94" s="44"/>
      <x:c r="E94" s="39"/>
      <x:c r="F94" s="39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41"/>
      <x:c r="D95" s="44"/>
      <x:c r="E95" s="39"/>
      <x:c r="F95" s="39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41"/>
      <x:c r="D96" s="44"/>
      <x:c r="E96" s="39"/>
      <x:c r="F96" s="39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41"/>
      <x:c r="D97" s="44"/>
      <x:c r="E97" s="39"/>
      <x:c r="F97" s="39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41"/>
      <x:c r="D98" s="44"/>
      <x:c r="E98" s="39"/>
      <x:c r="F98" s="39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41"/>
      <x:c r="D99" s="44"/>
      <x:c r="E99" s="39"/>
      <x:c r="F99" s="39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41"/>
      <x:c r="D100" s="44"/>
      <x:c r="E100" s="39"/>
      <x:c r="F100" s="39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41"/>
      <x:c r="D101" s="44"/>
      <x:c r="E101" s="39"/>
      <x:c r="F101" s="39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41"/>
      <x:c r="D102" s="44"/>
      <x:c r="E102" s="39"/>
      <x:c r="F102" s="39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41"/>
      <x:c r="D103" s="44"/>
      <x:c r="E103" s="39"/>
      <x:c r="F103" s="39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41"/>
      <x:c r="D104" s="44"/>
      <x:c r="E104" s="39"/>
      <x:c r="F104" s="39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41"/>
      <x:c r="D105" s="44"/>
      <x:c r="E105" s="39"/>
      <x:c r="F105" s="39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41"/>
      <x:c r="D106" s="44"/>
      <x:c r="E106" s="39"/>
      <x:c r="F106" s="39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41"/>
      <x:c r="D107" s="44"/>
      <x:c r="E107" s="39"/>
      <x:c r="F107" s="39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41"/>
      <x:c r="D108" s="44"/>
      <x:c r="E108" s="39"/>
      <x:c r="F108" s="39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41"/>
      <x:c r="D109" s="44"/>
      <x:c r="E109" s="39"/>
      <x:c r="F109" s="39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41"/>
      <x:c r="D110" s="44"/>
      <x:c r="E110" s="39"/>
      <x:c r="F110" s="39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41"/>
      <x:c r="D111" s="44"/>
      <x:c r="E111" s="39"/>
      <x:c r="F111" s="39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41"/>
      <x:c r="D112" s="44"/>
      <x:c r="E112" s="39"/>
      <x:c r="F112" s="39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41"/>
      <x:c r="D113" s="44"/>
      <x:c r="E113" s="39"/>
      <x:c r="F113" s="39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41"/>
      <x:c r="D114" s="44"/>
      <x:c r="E114" s="39"/>
      <x:c r="F114" s="39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41"/>
      <x:c r="D115" s="44"/>
      <x:c r="E115" s="39"/>
      <x:c r="F115" s="39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41"/>
      <x:c r="D116" s="44"/>
      <x:c r="E116" s="39"/>
      <x:c r="F116" s="39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41"/>
      <x:c r="D117" s="44"/>
      <x:c r="E117" s="39"/>
      <x:c r="F117" s="39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41"/>
      <x:c r="D118" s="44"/>
      <x:c r="E118" s="39"/>
      <x:c r="F118" s="39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41"/>
      <x:c r="D119" s="44"/>
      <x:c r="E119" s="39"/>
      <x:c r="F119" s="39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41"/>
      <x:c r="D120" s="44"/>
      <x:c r="E120" s="39"/>
      <x:c r="F120" s="39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41"/>
      <x:c r="D121" s="44"/>
      <x:c r="E121" s="39"/>
      <x:c r="F121" s="39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41"/>
      <x:c r="D122" s="44"/>
      <x:c r="E122" s="39"/>
      <x:c r="F122" s="39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41"/>
      <x:c r="D123" s="44"/>
      <x:c r="E123" s="39"/>
      <x:c r="F123" s="39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41"/>
      <x:c r="D124" s="44"/>
      <x:c r="E124" s="39"/>
      <x:c r="F124" s="39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41"/>
      <x:c r="D125" s="44"/>
      <x:c r="E125" s="39"/>
      <x:c r="F125" s="39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41"/>
      <x:c r="D126" s="44"/>
      <x:c r="E126" s="39"/>
      <x:c r="F126" s="39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41"/>
      <x:c r="D127" s="44"/>
      <x:c r="E127" s="39"/>
      <x:c r="F127" s="39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41"/>
      <x:c r="D128" s="44"/>
      <x:c r="E128" s="39"/>
      <x:c r="F128" s="39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41"/>
      <x:c r="D129" s="44"/>
      <x:c r="E129" s="39"/>
      <x:c r="F129" s="39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41"/>
      <x:c r="D130" s="44"/>
      <x:c r="E130" s="39"/>
      <x:c r="F130" s="39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41"/>
      <x:c r="D131" s="44"/>
      <x:c r="E131" s="39"/>
      <x:c r="F131" s="39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41"/>
      <x:c r="D132" s="44"/>
      <x:c r="E132" s="39"/>
      <x:c r="F132" s="39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41"/>
      <x:c r="D133" s="44"/>
      <x:c r="E133" s="39"/>
      <x:c r="F133" s="39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41"/>
      <x:c r="D134" s="44"/>
      <x:c r="E134" s="39"/>
      <x:c r="F134" s="39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41"/>
      <x:c r="D135" s="44"/>
      <x:c r="E135" s="39"/>
      <x:c r="F135" s="39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41"/>
      <x:c r="D136" s="44"/>
      <x:c r="E136" s="39"/>
      <x:c r="F136" s="39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41"/>
      <x:c r="D137" s="44"/>
      <x:c r="E137" s="39"/>
      <x:c r="F137" s="39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41"/>
      <x:c r="D138" s="44"/>
      <x:c r="E138" s="39"/>
      <x:c r="F138" s="39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41"/>
      <x:c r="D139" s="44"/>
      <x:c r="E139" s="39"/>
      <x:c r="F139" s="39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41"/>
      <x:c r="D140" s="44"/>
      <x:c r="E140" s="39"/>
      <x:c r="F140" s="39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41"/>
      <x:c r="D141" s="44"/>
      <x:c r="E141" s="39"/>
      <x:c r="F141" s="39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41"/>
      <x:c r="D142" s="44"/>
      <x:c r="E142" s="39"/>
      <x:c r="F142" s="39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41"/>
      <x:c r="D143" s="44"/>
      <x:c r="E143" s="39"/>
      <x:c r="F143" s="39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41"/>
      <x:c r="D144" s="44"/>
      <x:c r="E144" s="39"/>
      <x:c r="F144" s="39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41"/>
      <x:c r="D145" s="44"/>
      <x:c r="E145" s="39"/>
      <x:c r="F145" s="39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41"/>
      <x:c r="D146" s="44"/>
      <x:c r="E146" s="39"/>
      <x:c r="F146" s="39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41"/>
      <x:c r="D147" s="44"/>
      <x:c r="E147" s="39"/>
      <x:c r="F147" s="39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41"/>
      <x:c r="D148" s="44"/>
      <x:c r="E148" s="39"/>
      <x:c r="F148" s="39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41"/>
      <x:c r="D149" s="44"/>
      <x:c r="E149" s="39"/>
      <x:c r="F149" s="39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41"/>
      <x:c r="D150" s="44"/>
      <x:c r="E150" s="39"/>
      <x:c r="F150" s="39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41"/>
      <x:c r="D151" s="44"/>
      <x:c r="E151" s="39"/>
      <x:c r="F151" s="39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41"/>
      <x:c r="D152" s="44"/>
      <x:c r="E152" s="39"/>
      <x:c r="F152" s="39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41"/>
      <x:c r="D153" s="44"/>
      <x:c r="E153" s="39"/>
      <x:c r="F153" s="39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41"/>
      <x:c r="D154" s="44"/>
      <x:c r="E154" s="39"/>
      <x:c r="F154" s="39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41"/>
      <x:c r="D155" s="44"/>
      <x:c r="E155" s="39"/>
      <x:c r="F155" s="39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41"/>
      <x:c r="D156" s="44"/>
      <x:c r="E156" s="39"/>
      <x:c r="F156" s="39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41"/>
      <x:c r="D157" s="44"/>
      <x:c r="E157" s="39"/>
      <x:c r="F157" s="39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41"/>
      <x:c r="D158" s="44"/>
      <x:c r="E158" s="39"/>
      <x:c r="F158" s="39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41"/>
      <x:c r="D159" s="44"/>
      <x:c r="E159" s="39"/>
      <x:c r="F159" s="39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41"/>
      <x:c r="D160" s="44"/>
      <x:c r="E160" s="39"/>
      <x:c r="F160" s="39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41"/>
      <x:c r="D161" s="44"/>
      <x:c r="E161" s="39"/>
      <x:c r="F161" s="39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41"/>
      <x:c r="D162" s="44"/>
      <x:c r="E162" s="39"/>
      <x:c r="F162" s="39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41"/>
      <x:c r="D163" s="44"/>
      <x:c r="E163" s="39"/>
      <x:c r="F163" s="39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41"/>
      <x:c r="D164" s="44"/>
      <x:c r="E164" s="39"/>
      <x:c r="F164" s="39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41"/>
      <x:c r="D165" s="44"/>
      <x:c r="E165" s="39"/>
      <x:c r="F165" s="39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41"/>
      <x:c r="D166" s="44"/>
      <x:c r="E166" s="39"/>
      <x:c r="F166" s="39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41"/>
      <x:c r="D167" s="44"/>
      <x:c r="E167" s="39"/>
      <x:c r="F167" s="39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41"/>
      <x:c r="D168" s="44"/>
      <x:c r="E168" s="39"/>
      <x:c r="F168" s="39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41"/>
      <x:c r="D169" s="44"/>
      <x:c r="E169" s="39"/>
      <x:c r="F169" s="39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41"/>
      <x:c r="D170" s="44"/>
      <x:c r="E170" s="39"/>
      <x:c r="F170" s="39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41"/>
      <x:c r="D171" s="44"/>
      <x:c r="E171" s="39"/>
      <x:c r="F171" s="39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41"/>
      <x:c r="D172" s="44"/>
      <x:c r="E172" s="39"/>
      <x:c r="F172" s="39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41"/>
      <x:c r="D173" s="44"/>
      <x:c r="E173" s="39"/>
      <x:c r="F173" s="39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41"/>
      <x:c r="D174" s="44"/>
      <x:c r="E174" s="39"/>
      <x:c r="F174" s="39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41"/>
      <x:c r="D175" s="44"/>
      <x:c r="E175" s="39"/>
      <x:c r="F175" s="39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41"/>
      <x:c r="D176" s="44"/>
      <x:c r="E176" s="39"/>
      <x:c r="F176" s="39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41"/>
      <x:c r="D177" s="44"/>
      <x:c r="E177" s="39"/>
      <x:c r="F177" s="39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41"/>
      <x:c r="D178" s="44"/>
      <x:c r="E178" s="39"/>
      <x:c r="F178" s="39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41"/>
      <x:c r="D179" s="44"/>
      <x:c r="E179" s="39"/>
      <x:c r="F179" s="39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41"/>
      <x:c r="D180" s="44"/>
      <x:c r="E180" s="39"/>
      <x:c r="F180" s="39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41"/>
      <x:c r="D181" s="44"/>
      <x:c r="E181" s="39"/>
      <x:c r="F181" s="39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41"/>
      <x:c r="D182" s="44"/>
      <x:c r="E182" s="39"/>
      <x:c r="F182" s="39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41"/>
      <x:c r="D183" s="44"/>
      <x:c r="E183" s="39"/>
      <x:c r="F183" s="39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41"/>
      <x:c r="D184" s="44"/>
      <x:c r="E184" s="39"/>
      <x:c r="F184" s="39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41"/>
      <x:c r="D185" s="44"/>
      <x:c r="E185" s="39"/>
      <x:c r="F185" s="39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41"/>
      <x:c r="D186" s="44"/>
      <x:c r="E186" s="39"/>
      <x:c r="F186" s="39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41"/>
      <x:c r="D187" s="44"/>
      <x:c r="E187" s="39"/>
      <x:c r="F187" s="39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41"/>
      <x:c r="D188" s="44"/>
      <x:c r="E188" s="39"/>
      <x:c r="F188" s="39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41"/>
      <x:c r="D189" s="44"/>
      <x:c r="E189" s="39"/>
      <x:c r="F189" s="39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41"/>
      <x:c r="D190" s="44"/>
      <x:c r="E190" s="39"/>
      <x:c r="F190" s="39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41"/>
      <x:c r="D191" s="44"/>
      <x:c r="E191" s="39"/>
      <x:c r="F191" s="39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41"/>
      <x:c r="D192" s="44"/>
      <x:c r="E192" s="39"/>
      <x:c r="F192" s="39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41"/>
      <x:c r="D193" s="44"/>
      <x:c r="E193" s="39"/>
      <x:c r="F193" s="39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41"/>
      <x:c r="D194" s="44"/>
      <x:c r="E194" s="39"/>
      <x:c r="F194" s="39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41"/>
      <x:c r="D195" s="44"/>
      <x:c r="E195" s="39"/>
      <x:c r="F195" s="39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41"/>
      <x:c r="D196" s="44"/>
      <x:c r="E196" s="39"/>
      <x:c r="F196" s="39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41"/>
      <x:c r="D197" s="44"/>
      <x:c r="E197" s="39"/>
      <x:c r="F197" s="39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41"/>
      <x:c r="D198" s="44"/>
      <x:c r="E198" s="39"/>
      <x:c r="F198" s="39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41"/>
      <x:c r="D199" s="44"/>
      <x:c r="E199" s="39"/>
      <x:c r="F199" s="39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41"/>
      <x:c r="D200" s="44"/>
      <x:c r="E200" s="39"/>
      <x:c r="F200" s="39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41"/>
      <x:c r="D201" s="44"/>
      <x:c r="E201" s="39"/>
      <x:c r="F201" s="39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41"/>
      <x:c r="D202" s="44"/>
      <x:c r="E202" s="39"/>
      <x:c r="F202" s="39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41"/>
      <x:c r="D203" s="44"/>
      <x:c r="E203" s="39"/>
      <x:c r="F203" s="39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41"/>
      <x:c r="D204" s="44"/>
      <x:c r="E204" s="39"/>
      <x:c r="F204" s="39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41"/>
      <x:c r="D205" s="44"/>
      <x:c r="E205" s="39"/>
      <x:c r="F205" s="39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41"/>
      <x:c r="D206" s="44"/>
      <x:c r="E206" s="39"/>
      <x:c r="F206" s="39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41"/>
      <x:c r="D207" s="44"/>
      <x:c r="E207" s="39"/>
      <x:c r="F207" s="39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41"/>
      <x:c r="D208" s="44"/>
      <x:c r="E208" s="39"/>
      <x:c r="F208" s="39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41"/>
      <x:c r="D209" s="44"/>
      <x:c r="E209" s="39"/>
      <x:c r="F209" s="39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41"/>
      <x:c r="D210" s="44"/>
      <x:c r="E210" s="39"/>
      <x:c r="F210" s="39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41"/>
      <x:c r="D211" s="44"/>
      <x:c r="E211" s="39"/>
      <x:c r="F211" s="39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41"/>
      <x:c r="D212" s="44"/>
      <x:c r="E212" s="39"/>
      <x:c r="F212" s="39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41"/>
      <x:c r="D213" s="44"/>
      <x:c r="E213" s="39"/>
      <x:c r="F213" s="39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41"/>
      <x:c r="D214" s="44"/>
      <x:c r="E214" s="39"/>
      <x:c r="F214" s="39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41"/>
      <x:c r="D215" s="44"/>
      <x:c r="E215" s="39"/>
      <x:c r="F215" s="39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41"/>
      <x:c r="D216" s="44"/>
      <x:c r="E216" s="39"/>
      <x:c r="F216" s="39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41"/>
      <x:c r="D217" s="44"/>
      <x:c r="E217" s="39"/>
      <x:c r="F217" s="39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41"/>
      <x:c r="D218" s="44"/>
      <x:c r="E218" s="39"/>
      <x:c r="F218" s="39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41"/>
      <x:c r="D219" s="44"/>
      <x:c r="E219" s="39"/>
      <x:c r="F219" s="39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41"/>
      <x:c r="D220" s="44"/>
      <x:c r="E220" s="39"/>
      <x:c r="F220" s="39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41"/>
      <x:c r="D221" s="44"/>
      <x:c r="E221" s="39"/>
      <x:c r="F221" s="39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41"/>
      <x:c r="D222" s="44"/>
      <x:c r="E222" s="39"/>
      <x:c r="F222" s="39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41"/>
      <x:c r="D223" s="44"/>
      <x:c r="E223" s="39"/>
      <x:c r="F223" s="39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41"/>
      <x:c r="D224" s="44"/>
      <x:c r="E224" s="39"/>
      <x:c r="F224" s="39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41"/>
      <x:c r="D225" s="44"/>
      <x:c r="E225" s="39"/>
      <x:c r="F225" s="39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41"/>
      <x:c r="D226" s="44"/>
      <x:c r="E226" s="39"/>
      <x:c r="F226" s="39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41"/>
      <x:c r="D227" s="44"/>
      <x:c r="E227" s="39"/>
      <x:c r="F227" s="39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41"/>
      <x:c r="D228" s="44"/>
      <x:c r="E228" s="39"/>
      <x:c r="F228" s="39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41"/>
      <x:c r="D229" s="44"/>
      <x:c r="E229" s="39"/>
      <x:c r="F229" s="39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41"/>
      <x:c r="D230" s="44"/>
      <x:c r="E230" s="39"/>
      <x:c r="F230" s="39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41"/>
      <x:c r="D231" s="44"/>
      <x:c r="E231" s="39"/>
      <x:c r="F231" s="39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41"/>
      <x:c r="D232" s="44"/>
      <x:c r="E232" s="39"/>
      <x:c r="F232" s="39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41"/>
      <x:c r="D233" s="44"/>
      <x:c r="E233" s="39"/>
      <x:c r="F233" s="39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41"/>
      <x:c r="D234" s="44"/>
      <x:c r="E234" s="39"/>
      <x:c r="F234" s="39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41"/>
      <x:c r="D235" s="44"/>
      <x:c r="E235" s="39"/>
      <x:c r="F235" s="39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41"/>
      <x:c r="D236" s="44"/>
      <x:c r="E236" s="39"/>
      <x:c r="F236" s="39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41"/>
      <x:c r="D237" s="44"/>
      <x:c r="E237" s="39"/>
      <x:c r="F237" s="39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41"/>
      <x:c r="D238" s="44"/>
      <x:c r="E238" s="39"/>
      <x:c r="F238" s="39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41"/>
      <x:c r="D239" s="44"/>
      <x:c r="E239" s="39"/>
      <x:c r="F239" s="39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41"/>
      <x:c r="D240" s="44"/>
      <x:c r="E240" s="39"/>
      <x:c r="F240" s="39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41"/>
      <x:c r="D241" s="44"/>
      <x:c r="E241" s="39"/>
      <x:c r="F241" s="39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41"/>
      <x:c r="D242" s="44"/>
      <x:c r="E242" s="39"/>
      <x:c r="F242" s="39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41"/>
      <x:c r="D243" s="44"/>
      <x:c r="E243" s="39"/>
      <x:c r="F243" s="39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41"/>
      <x:c r="D244" s="44"/>
      <x:c r="E244" s="39"/>
      <x:c r="F244" s="39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41"/>
      <x:c r="D245" s="44"/>
      <x:c r="E245" s="39"/>
      <x:c r="F245" s="39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41"/>
      <x:c r="D246" s="44"/>
      <x:c r="E246" s="39"/>
      <x:c r="F246" s="39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41"/>
      <x:c r="D247" s="44"/>
      <x:c r="E247" s="39"/>
      <x:c r="F247" s="39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41"/>
      <x:c r="D248" s="44"/>
      <x:c r="E248" s="39"/>
      <x:c r="F248" s="39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41"/>
      <x:c r="D249" s="44"/>
      <x:c r="E249" s="39"/>
      <x:c r="F249" s="39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41"/>
      <x:c r="D250" s="44"/>
      <x:c r="E250" s="39"/>
      <x:c r="F250" s="39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41"/>
      <x:c r="D251" s="44"/>
      <x:c r="E251" s="39"/>
      <x:c r="F251" s="39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41"/>
      <x:c r="D252" s="44"/>
      <x:c r="E252" s="39"/>
      <x:c r="F252" s="39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41"/>
      <x:c r="D253" s="44"/>
      <x:c r="E253" s="39"/>
      <x:c r="F253" s="39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41"/>
      <x:c r="D254" s="44"/>
      <x:c r="E254" s="39"/>
      <x:c r="F254" s="39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41"/>
      <x:c r="D255" s="44"/>
      <x:c r="E255" s="39"/>
      <x:c r="F255" s="39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41"/>
      <x:c r="D256" s="44"/>
      <x:c r="E256" s="39"/>
      <x:c r="F256" s="39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41"/>
      <x:c r="D257" s="44"/>
      <x:c r="E257" s="39"/>
      <x:c r="F257" s="39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41"/>
      <x:c r="D258" s="44"/>
      <x:c r="E258" s="39"/>
      <x:c r="F258" s="39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41"/>
      <x:c r="D259" s="44"/>
      <x:c r="E259" s="39"/>
      <x:c r="F259" s="39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41"/>
      <x:c r="D260" s="44"/>
      <x:c r="E260" s="39"/>
      <x:c r="F260" s="39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41"/>
      <x:c r="D261" s="44"/>
      <x:c r="E261" s="39"/>
      <x:c r="F261" s="39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41"/>
      <x:c r="D262" s="44"/>
      <x:c r="E262" s="39"/>
      <x:c r="F262" s="39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41"/>
      <x:c r="D263" s="44"/>
      <x:c r="E263" s="39"/>
      <x:c r="F263" s="39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41"/>
      <x:c r="D264" s="44"/>
      <x:c r="E264" s="39"/>
      <x:c r="F264" s="39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41"/>
      <x:c r="D265" s="44"/>
      <x:c r="E265" s="39"/>
      <x:c r="F265" s="39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41"/>
      <x:c r="D266" s="44"/>
      <x:c r="E266" s="39"/>
      <x:c r="F266" s="39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41"/>
      <x:c r="D267" s="44"/>
      <x:c r="E267" s="39"/>
      <x:c r="F267" s="39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41"/>
      <x:c r="D268" s="44"/>
      <x:c r="E268" s="39"/>
      <x:c r="F268" s="39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41"/>
      <x:c r="D269" s="44"/>
      <x:c r="E269" s="39"/>
      <x:c r="F269" s="39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41"/>
      <x:c r="D270" s="44"/>
      <x:c r="E270" s="39"/>
      <x:c r="F270" s="39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41"/>
      <x:c r="D271" s="44"/>
      <x:c r="E271" s="39"/>
      <x:c r="F271" s="39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41"/>
      <x:c r="D272" s="44"/>
      <x:c r="E272" s="39"/>
      <x:c r="F272" s="39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41"/>
      <x:c r="D273" s="44"/>
      <x:c r="E273" s="39"/>
      <x:c r="F273" s="39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41"/>
      <x:c r="D274" s="44"/>
      <x:c r="E274" s="39"/>
      <x:c r="F274" s="39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41"/>
      <x:c r="D275" s="44"/>
      <x:c r="E275" s="39"/>
      <x:c r="F275" s="39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41"/>
      <x:c r="D276" s="44"/>
      <x:c r="E276" s="39"/>
      <x:c r="F276" s="39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41"/>
      <x:c r="D277" s="44"/>
      <x:c r="E277" s="39"/>
      <x:c r="F277" s="39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41"/>
      <x:c r="D278" s="44"/>
      <x:c r="E278" s="39"/>
      <x:c r="F278" s="39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41"/>
      <x:c r="D279" s="44"/>
      <x:c r="E279" s="39"/>
      <x:c r="F279" s="39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41"/>
      <x:c r="D280" s="44"/>
      <x:c r="E280" s="39"/>
      <x:c r="F280" s="39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41"/>
      <x:c r="D281" s="44"/>
      <x:c r="E281" s="39"/>
      <x:c r="F281" s="39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41"/>
      <x:c r="D282" s="44"/>
      <x:c r="E282" s="39"/>
      <x:c r="F282" s="39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41"/>
      <x:c r="D283" s="44"/>
      <x:c r="E283" s="39"/>
      <x:c r="F283" s="39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41"/>
      <x:c r="D284" s="44"/>
      <x:c r="E284" s="39"/>
      <x:c r="F284" s="39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41"/>
      <x:c r="D285" s="44"/>
      <x:c r="E285" s="39"/>
      <x:c r="F285" s="39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41"/>
      <x:c r="D286" s="44"/>
      <x:c r="E286" s="39"/>
      <x:c r="F286" s="39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41"/>
      <x:c r="D287" s="44"/>
      <x:c r="E287" s="39"/>
      <x:c r="F287" s="39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41"/>
      <x:c r="D288" s="44"/>
      <x:c r="E288" s="39"/>
      <x:c r="F288" s="39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41"/>
      <x:c r="D289" s="44"/>
      <x:c r="E289" s="39"/>
      <x:c r="F289" s="39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41"/>
      <x:c r="D290" s="44"/>
      <x:c r="E290" s="39"/>
      <x:c r="F290" s="39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41"/>
      <x:c r="D291" s="44"/>
      <x:c r="E291" s="39"/>
      <x:c r="F291" s="39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41"/>
      <x:c r="D292" s="44"/>
      <x:c r="E292" s="39"/>
      <x:c r="F292" s="39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41"/>
      <x:c r="D293" s="44"/>
      <x:c r="E293" s="39"/>
      <x:c r="F293" s="39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41"/>
      <x:c r="D294" s="44"/>
      <x:c r="E294" s="39"/>
      <x:c r="F294" s="39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41"/>
      <x:c r="D295" s="44"/>
      <x:c r="E295" s="39"/>
      <x:c r="F295" s="39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41"/>
      <x:c r="D296" s="44"/>
      <x:c r="E296" s="39"/>
      <x:c r="F296" s="39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41"/>
      <x:c r="D297" s="44"/>
      <x:c r="E297" s="39"/>
      <x:c r="F297" s="39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41"/>
      <x:c r="D298" s="44"/>
      <x:c r="E298" s="39"/>
      <x:c r="F298" s="39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41"/>
      <x:c r="D299" s="44"/>
      <x:c r="E299" s="39"/>
      <x:c r="F299" s="39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41"/>
      <x:c r="D300" s="44"/>
      <x:c r="E300" s="39"/>
      <x:c r="F300" s="39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41"/>
      <x:c r="D301" s="44"/>
      <x:c r="E301" s="39"/>
      <x:c r="F301" s="39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41"/>
      <x:c r="D302" s="44"/>
      <x:c r="E302" s="39"/>
      <x:c r="F302" s="39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41"/>
      <x:c r="D303" s="44"/>
      <x:c r="E303" s="39"/>
      <x:c r="F303" s="39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41"/>
      <x:c r="D304" s="44"/>
      <x:c r="E304" s="39"/>
      <x:c r="F304" s="39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41"/>
      <x:c r="D305" s="44"/>
      <x:c r="E305" s="39"/>
      <x:c r="F305" s="39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41"/>
      <x:c r="D306" s="44"/>
      <x:c r="E306" s="39"/>
      <x:c r="F306" s="39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41"/>
      <x:c r="D307" s="44"/>
      <x:c r="E307" s="39"/>
      <x:c r="F307" s="39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41"/>
      <x:c r="D308" s="44"/>
      <x:c r="E308" s="39"/>
      <x:c r="F308" s="39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41"/>
      <x:c r="D309" s="44"/>
      <x:c r="E309" s="39"/>
      <x:c r="F309" s="39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41"/>
      <x:c r="D310" s="44"/>
      <x:c r="E310" s="39"/>
      <x:c r="F310" s="39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41"/>
      <x:c r="D311" s="44"/>
      <x:c r="E311" s="39"/>
      <x:c r="F311" s="39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41"/>
      <x:c r="D312" s="44"/>
      <x:c r="E312" s="39"/>
      <x:c r="F312" s="39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41"/>
      <x:c r="D313" s="44"/>
      <x:c r="E313" s="39"/>
      <x:c r="F313" s="39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41"/>
      <x:c r="D314" s="44"/>
      <x:c r="E314" s="39"/>
      <x:c r="F314" s="39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41"/>
      <x:c r="D315" s="44"/>
      <x:c r="E315" s="39"/>
      <x:c r="F315" s="39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41"/>
      <x:c r="D316" s="44"/>
      <x:c r="E316" s="39"/>
      <x:c r="F316" s="39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41"/>
      <x:c r="D317" s="44"/>
      <x:c r="E317" s="39"/>
      <x:c r="F317" s="39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41"/>
      <x:c r="D318" s="44"/>
      <x:c r="E318" s="39"/>
      <x:c r="F318" s="39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41"/>
      <x:c r="D319" s="44"/>
      <x:c r="E319" s="39"/>
      <x:c r="F319" s="39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41"/>
      <x:c r="D320" s="44"/>
      <x:c r="E320" s="39"/>
      <x:c r="F320" s="39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41"/>
      <x:c r="D321" s="44"/>
      <x:c r="E321" s="39"/>
      <x:c r="F321" s="39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41"/>
      <x:c r="D322" s="44"/>
      <x:c r="E322" s="39"/>
      <x:c r="F322" s="39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41"/>
      <x:c r="D323" s="44"/>
      <x:c r="E323" s="39"/>
      <x:c r="F323" s="39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41"/>
      <x:c r="D324" s="44"/>
      <x:c r="E324" s="39"/>
      <x:c r="F324" s="39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41"/>
      <x:c r="D325" s="44"/>
      <x:c r="E325" s="39"/>
      <x:c r="F325" s="39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41"/>
      <x:c r="D326" s="44"/>
      <x:c r="E326" s="39"/>
      <x:c r="F326" s="39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41"/>
      <x:c r="D327" s="44"/>
      <x:c r="E327" s="39"/>
      <x:c r="F327" s="39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41"/>
      <x:c r="D328" s="44"/>
      <x:c r="E328" s="39"/>
      <x:c r="F328" s="39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41"/>
      <x:c r="D329" s="44"/>
      <x:c r="E329" s="39"/>
      <x:c r="F329" s="39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41"/>
      <x:c r="D330" s="44"/>
      <x:c r="E330" s="39"/>
      <x:c r="F330" s="39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41"/>
      <x:c r="D331" s="44"/>
      <x:c r="E331" s="39"/>
      <x:c r="F331" s="39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41"/>
      <x:c r="D332" s="44"/>
      <x:c r="E332" s="39"/>
      <x:c r="F332" s="39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41"/>
      <x:c r="D333" s="44"/>
      <x:c r="E333" s="39"/>
      <x:c r="F333" s="39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41"/>
      <x:c r="D334" s="44"/>
      <x:c r="E334" s="39"/>
      <x:c r="F334" s="39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41"/>
      <x:c r="D335" s="44"/>
      <x:c r="E335" s="39"/>
      <x:c r="F335" s="39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41"/>
      <x:c r="D336" s="44"/>
      <x:c r="E336" s="39"/>
      <x:c r="F336" s="39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41"/>
      <x:c r="D337" s="44"/>
      <x:c r="E337" s="39"/>
      <x:c r="F337" s="39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41"/>
      <x:c r="D338" s="44"/>
      <x:c r="E338" s="39"/>
      <x:c r="F338" s="39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41"/>
      <x:c r="D339" s="44"/>
      <x:c r="E339" s="39"/>
      <x:c r="F339" s="39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41"/>
      <x:c r="D340" s="44"/>
      <x:c r="E340" s="39"/>
      <x:c r="F340" s="39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41"/>
      <x:c r="D341" s="44"/>
      <x:c r="E341" s="39"/>
      <x:c r="F341" s="39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41"/>
      <x:c r="D342" s="44"/>
      <x:c r="E342" s="39"/>
      <x:c r="F342" s="39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41"/>
      <x:c r="D343" s="44"/>
      <x:c r="E343" s="39"/>
      <x:c r="F343" s="39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41"/>
      <x:c r="D344" s="44"/>
      <x:c r="E344" s="39"/>
      <x:c r="F344" s="39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41"/>
      <x:c r="D345" s="44"/>
      <x:c r="E345" s="39"/>
      <x:c r="F345" s="39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41"/>
      <x:c r="D346" s="44"/>
      <x:c r="E346" s="39"/>
      <x:c r="F346" s="39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41"/>
      <x:c r="D347" s="44"/>
      <x:c r="E347" s="39"/>
      <x:c r="F347" s="39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41"/>
      <x:c r="D348" s="44"/>
      <x:c r="E348" s="39"/>
      <x:c r="F348" s="39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41"/>
      <x:c r="D349" s="44"/>
      <x:c r="E349" s="39"/>
      <x:c r="F349" s="39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41"/>
      <x:c r="D350" s="44"/>
      <x:c r="E350" s="39"/>
      <x:c r="F350" s="39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41"/>
      <x:c r="D351" s="44"/>
      <x:c r="E351" s="39"/>
      <x:c r="F351" s="39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41"/>
      <x:c r="D352" s="44"/>
      <x:c r="E352" s="39"/>
      <x:c r="F352" s="39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41"/>
      <x:c r="D353" s="44"/>
      <x:c r="E353" s="39"/>
      <x:c r="F353" s="39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41"/>
      <x:c r="D354" s="44"/>
      <x:c r="E354" s="39"/>
      <x:c r="F354" s="39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41"/>
      <x:c r="D355" s="44"/>
      <x:c r="E355" s="39"/>
      <x:c r="F355" s="39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41"/>
      <x:c r="D356" s="44"/>
      <x:c r="E356" s="39"/>
      <x:c r="F356" s="39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41"/>
      <x:c r="D357" s="44"/>
      <x:c r="E357" s="39"/>
      <x:c r="F357" s="39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41"/>
      <x:c r="D358" s="44"/>
      <x:c r="E358" s="39"/>
      <x:c r="F358" s="39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41"/>
      <x:c r="D359" s="44"/>
      <x:c r="E359" s="39"/>
      <x:c r="F359" s="39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41"/>
      <x:c r="D360" s="44"/>
      <x:c r="E360" s="39"/>
      <x:c r="F360" s="39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41"/>
      <x:c r="D361" s="44"/>
      <x:c r="E361" s="39"/>
      <x:c r="F361" s="39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41"/>
      <x:c r="D362" s="44"/>
      <x:c r="E362" s="39"/>
      <x:c r="F362" s="39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41"/>
      <x:c r="D363" s="44"/>
      <x:c r="E363" s="39"/>
      <x:c r="F363" s="39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41"/>
      <x:c r="D364" s="44"/>
      <x:c r="E364" s="39"/>
      <x:c r="F364" s="39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41"/>
      <x:c r="D365" s="44"/>
      <x:c r="E365" s="39"/>
      <x:c r="F365" s="39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41"/>
      <x:c r="D366" s="44"/>
      <x:c r="E366" s="39"/>
      <x:c r="F366" s="39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41"/>
      <x:c r="D367" s="44"/>
      <x:c r="E367" s="39"/>
      <x:c r="F367" s="39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41"/>
      <x:c r="D368" s="44"/>
      <x:c r="E368" s="39"/>
      <x:c r="F368" s="39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41"/>
      <x:c r="D369" s="44"/>
      <x:c r="E369" s="39"/>
      <x:c r="F369" s="39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41"/>
      <x:c r="D370" s="44"/>
      <x:c r="E370" s="39"/>
      <x:c r="F370" s="39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41"/>
      <x:c r="D371" s="44"/>
      <x:c r="E371" s="39"/>
      <x:c r="F371" s="39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41"/>
      <x:c r="D372" s="44"/>
      <x:c r="E372" s="39"/>
      <x:c r="F372" s="39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41"/>
      <x:c r="D373" s="44"/>
      <x:c r="E373" s="39"/>
      <x:c r="F373" s="39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41"/>
      <x:c r="D374" s="44"/>
      <x:c r="E374" s="39"/>
      <x:c r="F374" s="39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41"/>
      <x:c r="D375" s="44"/>
      <x:c r="E375" s="39"/>
      <x:c r="F375" s="39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41"/>
      <x:c r="D376" s="44"/>
      <x:c r="E376" s="39"/>
      <x:c r="F376" s="39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41"/>
      <x:c r="D377" s="44"/>
      <x:c r="E377" s="39"/>
      <x:c r="F377" s="39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41"/>
      <x:c r="D378" s="44"/>
      <x:c r="E378" s="39"/>
      <x:c r="F378" s="39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41"/>
      <x:c r="D379" s="44"/>
      <x:c r="E379" s="39"/>
      <x:c r="F379" s="39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41"/>
      <x:c r="D380" s="44"/>
      <x:c r="E380" s="39"/>
      <x:c r="F380" s="39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41"/>
      <x:c r="D381" s="44"/>
      <x:c r="E381" s="39"/>
      <x:c r="F381" s="39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41"/>
      <x:c r="D382" s="44"/>
      <x:c r="E382" s="39"/>
      <x:c r="F382" s="39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41"/>
      <x:c r="D383" s="44"/>
      <x:c r="E383" s="39"/>
      <x:c r="F383" s="39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41"/>
      <x:c r="D384" s="44"/>
      <x:c r="E384" s="39"/>
      <x:c r="F384" s="39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41"/>
      <x:c r="D385" s="44"/>
      <x:c r="E385" s="39"/>
      <x:c r="F385" s="39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41"/>
      <x:c r="D386" s="44"/>
      <x:c r="E386" s="39"/>
      <x:c r="F386" s="39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41"/>
      <x:c r="D387" s="44"/>
      <x:c r="E387" s="39"/>
      <x:c r="F387" s="39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41"/>
      <x:c r="D388" s="44"/>
      <x:c r="E388" s="39"/>
      <x:c r="F388" s="39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41"/>
      <x:c r="D389" s="44"/>
      <x:c r="E389" s="39"/>
      <x:c r="F389" s="39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41"/>
      <x:c r="D390" s="44"/>
      <x:c r="E390" s="39"/>
      <x:c r="F390" s="39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41"/>
      <x:c r="D391" s="44"/>
      <x:c r="E391" s="39"/>
      <x:c r="F391" s="39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41"/>
      <x:c r="D392" s="44"/>
      <x:c r="E392" s="39"/>
      <x:c r="F392" s="39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41"/>
      <x:c r="D393" s="44"/>
      <x:c r="E393" s="39"/>
      <x:c r="F393" s="39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41"/>
      <x:c r="D394" s="44"/>
      <x:c r="E394" s="39"/>
      <x:c r="F394" s="39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41"/>
      <x:c r="D395" s="44"/>
      <x:c r="E395" s="39"/>
      <x:c r="F395" s="39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41"/>
      <x:c r="D396" s="44"/>
      <x:c r="E396" s="39"/>
      <x:c r="F396" s="39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41"/>
      <x:c r="D397" s="44"/>
      <x:c r="E397" s="39"/>
      <x:c r="F397" s="39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41"/>
      <x:c r="D398" s="44"/>
      <x:c r="E398" s="39"/>
      <x:c r="F398" s="39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41"/>
      <x:c r="D399" s="44"/>
      <x:c r="E399" s="39"/>
      <x:c r="F399" s="39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41"/>
      <x:c r="D400" s="44"/>
      <x:c r="E400" s="39"/>
      <x:c r="F400" s="39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41"/>
      <x:c r="D401" s="44"/>
      <x:c r="E401" s="39"/>
      <x:c r="F401" s="39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41"/>
      <x:c r="D402" s="44"/>
      <x:c r="E402" s="39"/>
      <x:c r="F402" s="39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41"/>
      <x:c r="D403" s="44"/>
      <x:c r="E403" s="39"/>
      <x:c r="F403" s="39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41"/>
      <x:c r="D404" s="44"/>
      <x:c r="E404" s="39"/>
      <x:c r="F404" s="39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41"/>
      <x:c r="D405" s="44"/>
      <x:c r="E405" s="39"/>
      <x:c r="F405" s="39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41"/>
      <x:c r="D406" s="44"/>
      <x:c r="E406" s="39"/>
      <x:c r="F406" s="39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41"/>
      <x:c r="D407" s="44"/>
      <x:c r="E407" s="39"/>
      <x:c r="F407" s="39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41"/>
      <x:c r="D408" s="44"/>
      <x:c r="E408" s="39"/>
      <x:c r="F408" s="39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41"/>
      <x:c r="D409" s="44"/>
      <x:c r="E409" s="39"/>
      <x:c r="F409" s="39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41"/>
      <x:c r="D410" s="44"/>
      <x:c r="E410" s="39"/>
      <x:c r="F410" s="39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41"/>
      <x:c r="D411" s="44"/>
      <x:c r="E411" s="39"/>
      <x:c r="F411" s="39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41"/>
      <x:c r="D412" s="44"/>
      <x:c r="E412" s="39"/>
      <x:c r="F412" s="39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41"/>
      <x:c r="D413" s="44"/>
      <x:c r="E413" s="39"/>
      <x:c r="F413" s="39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41"/>
      <x:c r="D414" s="44"/>
      <x:c r="E414" s="39"/>
      <x:c r="F414" s="39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41"/>
      <x:c r="D415" s="44"/>
      <x:c r="E415" s="39"/>
      <x:c r="F415" s="39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41"/>
      <x:c r="D416" s="44"/>
      <x:c r="E416" s="39"/>
      <x:c r="F416" s="39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41"/>
      <x:c r="D417" s="44"/>
      <x:c r="E417" s="39"/>
      <x:c r="F417" s="39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41"/>
      <x:c r="D418" s="44"/>
      <x:c r="E418" s="39"/>
      <x:c r="F418" s="39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41"/>
      <x:c r="D419" s="44"/>
      <x:c r="E419" s="39"/>
      <x:c r="F419" s="39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41"/>
      <x:c r="D420" s="44"/>
      <x:c r="E420" s="39"/>
      <x:c r="F420" s="39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41"/>
      <x:c r="D421" s="44"/>
      <x:c r="E421" s="39"/>
      <x:c r="F421" s="39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41"/>
      <x:c r="D422" s="44"/>
      <x:c r="E422" s="39"/>
      <x:c r="F422" s="39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41"/>
      <x:c r="D423" s="44"/>
      <x:c r="E423" s="39"/>
      <x:c r="F423" s="39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41"/>
      <x:c r="D424" s="44"/>
      <x:c r="E424" s="39"/>
      <x:c r="F424" s="39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41"/>
      <x:c r="D425" s="44"/>
      <x:c r="E425" s="39"/>
      <x:c r="F425" s="39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41"/>
      <x:c r="D426" s="44"/>
      <x:c r="E426" s="39"/>
      <x:c r="F426" s="39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41"/>
      <x:c r="D427" s="44"/>
      <x:c r="E427" s="39"/>
      <x:c r="F427" s="39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41"/>
      <x:c r="D428" s="44"/>
      <x:c r="E428" s="39"/>
      <x:c r="F428" s="39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41"/>
      <x:c r="D429" s="44"/>
      <x:c r="E429" s="39"/>
      <x:c r="F429" s="39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41"/>
      <x:c r="D430" s="44"/>
      <x:c r="E430" s="39"/>
      <x:c r="F430" s="39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41"/>
      <x:c r="D431" s="44"/>
      <x:c r="E431" s="39"/>
      <x:c r="F431" s="39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41"/>
      <x:c r="D432" s="44"/>
      <x:c r="E432" s="39"/>
      <x:c r="F432" s="39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41"/>
      <x:c r="D433" s="44"/>
      <x:c r="E433" s="39"/>
      <x:c r="F433" s="39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41"/>
      <x:c r="D434" s="44"/>
      <x:c r="E434" s="39"/>
      <x:c r="F434" s="39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41"/>
      <x:c r="D435" s="44"/>
      <x:c r="E435" s="39"/>
      <x:c r="F435" s="39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41"/>
      <x:c r="D436" s="44"/>
      <x:c r="E436" s="39"/>
      <x:c r="F436" s="39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41"/>
      <x:c r="D437" s="44"/>
      <x:c r="E437" s="39"/>
      <x:c r="F437" s="39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41"/>
      <x:c r="D438" s="44"/>
      <x:c r="E438" s="39"/>
      <x:c r="F438" s="39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41"/>
      <x:c r="D439" s="44"/>
      <x:c r="E439" s="39"/>
      <x:c r="F439" s="39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41"/>
      <x:c r="D440" s="44"/>
      <x:c r="E440" s="39"/>
      <x:c r="F440" s="39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41"/>
      <x:c r="D441" s="44"/>
      <x:c r="E441" s="39"/>
      <x:c r="F441" s="39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41"/>
      <x:c r="D442" s="44"/>
      <x:c r="E442" s="39"/>
      <x:c r="F442" s="39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41"/>
      <x:c r="D443" s="44"/>
      <x:c r="E443" s="39"/>
      <x:c r="F443" s="39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41"/>
      <x:c r="D444" s="44"/>
      <x:c r="E444" s="39"/>
      <x:c r="F444" s="39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41"/>
      <x:c r="D445" s="44"/>
      <x:c r="E445" s="39"/>
      <x:c r="F445" s="39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41"/>
      <x:c r="D446" s="44"/>
      <x:c r="E446" s="39"/>
      <x:c r="F446" s="39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41"/>
      <x:c r="D447" s="44"/>
      <x:c r="E447" s="39"/>
      <x:c r="F447" s="39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41"/>
      <x:c r="D448" s="44"/>
      <x:c r="E448" s="39"/>
      <x:c r="F448" s="39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41"/>
      <x:c r="D449" s="44"/>
      <x:c r="E449" s="39"/>
      <x:c r="F449" s="39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41"/>
      <x:c r="D450" s="44"/>
      <x:c r="E450" s="39"/>
      <x:c r="F450" s="39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41"/>
      <x:c r="D451" s="44"/>
      <x:c r="E451" s="39"/>
      <x:c r="F451" s="39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41"/>
      <x:c r="D452" s="44"/>
      <x:c r="E452" s="39"/>
      <x:c r="F452" s="39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41"/>
      <x:c r="D453" s="44"/>
      <x:c r="E453" s="39"/>
      <x:c r="F453" s="39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41"/>
      <x:c r="D454" s="44"/>
      <x:c r="E454" s="39"/>
      <x:c r="F454" s="39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41"/>
      <x:c r="D455" s="44"/>
      <x:c r="E455" s="39"/>
      <x:c r="F455" s="39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41"/>
      <x:c r="D456" s="44"/>
      <x:c r="E456" s="39"/>
      <x:c r="F456" s="39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41"/>
      <x:c r="D457" s="44"/>
      <x:c r="E457" s="39"/>
      <x:c r="F457" s="39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41"/>
      <x:c r="D458" s="44"/>
      <x:c r="E458" s="39"/>
      <x:c r="F458" s="39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41"/>
      <x:c r="D459" s="44"/>
      <x:c r="E459" s="39"/>
      <x:c r="F459" s="39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41"/>
      <x:c r="D460" s="44"/>
      <x:c r="E460" s="39"/>
      <x:c r="F460" s="39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41"/>
      <x:c r="D461" s="44"/>
      <x:c r="E461" s="39"/>
      <x:c r="F461" s="39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41"/>
      <x:c r="D462" s="44"/>
      <x:c r="E462" s="39"/>
      <x:c r="F462" s="39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41"/>
      <x:c r="D463" s="44"/>
      <x:c r="E463" s="39"/>
      <x:c r="F463" s="39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41"/>
      <x:c r="D464" s="44"/>
      <x:c r="E464" s="39"/>
      <x:c r="F464" s="39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41"/>
      <x:c r="D465" s="44"/>
      <x:c r="E465" s="39"/>
      <x:c r="F465" s="39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41"/>
      <x:c r="D466" s="44"/>
      <x:c r="E466" s="39"/>
      <x:c r="F466" s="39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41"/>
      <x:c r="D467" s="44"/>
      <x:c r="E467" s="39"/>
      <x:c r="F467" s="39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41"/>
      <x:c r="D468" s="44"/>
      <x:c r="E468" s="39"/>
      <x:c r="F468" s="39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41"/>
      <x:c r="D469" s="44"/>
      <x:c r="E469" s="39"/>
      <x:c r="F469" s="39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41"/>
      <x:c r="D470" s="44"/>
      <x:c r="E470" s="39"/>
      <x:c r="F470" s="39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41"/>
      <x:c r="D471" s="44"/>
      <x:c r="E471" s="39"/>
      <x:c r="F471" s="39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41"/>
      <x:c r="D472" s="44"/>
      <x:c r="E472" s="39"/>
      <x:c r="F472" s="39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41"/>
      <x:c r="D473" s="44"/>
      <x:c r="E473" s="39"/>
      <x:c r="F473" s="39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41"/>
      <x:c r="D474" s="44"/>
      <x:c r="E474" s="39"/>
      <x:c r="F474" s="39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41"/>
      <x:c r="D475" s="44"/>
      <x:c r="E475" s="39"/>
      <x:c r="F475" s="39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41"/>
      <x:c r="D476" s="44"/>
      <x:c r="E476" s="39"/>
      <x:c r="F476" s="39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41"/>
      <x:c r="D477" s="44"/>
      <x:c r="E477" s="39"/>
      <x:c r="F477" s="39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41"/>
      <x:c r="D478" s="44"/>
      <x:c r="E478" s="39"/>
      <x:c r="F478" s="39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41"/>
      <x:c r="D479" s="44"/>
      <x:c r="E479" s="39"/>
      <x:c r="F479" s="39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41"/>
      <x:c r="D480" s="44"/>
      <x:c r="E480" s="39"/>
      <x:c r="F480" s="39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41"/>
      <x:c r="D481" s="44"/>
      <x:c r="E481" s="39"/>
      <x:c r="F481" s="39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41"/>
      <x:c r="D482" s="44"/>
      <x:c r="E482" s="39"/>
      <x:c r="F482" s="39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41"/>
      <x:c r="D483" s="44"/>
      <x:c r="E483" s="39"/>
      <x:c r="F483" s="39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41"/>
      <x:c r="D484" s="44"/>
      <x:c r="E484" s="39"/>
      <x:c r="F484" s="39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41"/>
      <x:c r="D485" s="44"/>
      <x:c r="E485" s="39"/>
      <x:c r="F485" s="39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41"/>
      <x:c r="D486" s="44"/>
      <x:c r="E486" s="39"/>
      <x:c r="F486" s="39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41"/>
      <x:c r="D487" s="44"/>
      <x:c r="E487" s="39"/>
      <x:c r="F487" s="39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41"/>
      <x:c r="D488" s="44"/>
      <x:c r="E488" s="39"/>
      <x:c r="F488" s="39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41"/>
      <x:c r="D489" s="44"/>
      <x:c r="E489" s="39"/>
      <x:c r="F489" s="39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41"/>
      <x:c r="D490" s="44"/>
      <x:c r="E490" s="39"/>
      <x:c r="F490" s="39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41"/>
      <x:c r="D491" s="44"/>
      <x:c r="E491" s="39"/>
      <x:c r="F491" s="39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41"/>
      <x:c r="D492" s="44"/>
      <x:c r="E492" s="39"/>
      <x:c r="F492" s="39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41"/>
      <x:c r="D493" s="44"/>
      <x:c r="E493" s="39"/>
      <x:c r="F493" s="39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41"/>
      <x:c r="D494" s="44"/>
      <x:c r="E494" s="39"/>
      <x:c r="F494" s="39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41"/>
      <x:c r="D495" s="44"/>
      <x:c r="E495" s="39"/>
      <x:c r="F495" s="39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41"/>
      <x:c r="D496" s="44"/>
      <x:c r="E496" s="39"/>
      <x:c r="F496" s="39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41"/>
      <x:c r="D497" s="44"/>
      <x:c r="E497" s="39"/>
      <x:c r="F497" s="39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41"/>
      <x:c r="D498" s="44"/>
      <x:c r="E498" s="39"/>
      <x:c r="F498" s="39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41"/>
      <x:c r="D499" s="44"/>
      <x:c r="E499" s="39"/>
      <x:c r="F499" s="39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41"/>
      <x:c r="D500" s="44"/>
      <x:c r="E500" s="39"/>
      <x:c r="F500" s="39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1">
    <x:dataValidation type="list" sqref="F2:F500">
      <x:formula1>"CHỜ XÁC NHẬN,ĐÃ XÁC NHẬN,HỦY"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25.559999465942383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</x:cols>
  <x:sheetData>
    <x:row r="1" ht="27" customHeight="1">
      <x:c r="A1" s="6" t="str">
        <x:v>Mã khách hàng</x:v>
      </x:c>
      <x:c r="B1" s="6" t="str">
        <x:v>Tên khách hàng</x:v>
      </x:c>
      <x:c r="C1" s="6" t="str">
        <x:v>Nhóm khách hàng</x:v>
      </x:c>
      <x:c r="D1" s="6" t="str">
        <x:v>Khu vực</x:v>
      </x:c>
      <x:c r="E1" s="6" t="str">
        <x:v>Người phụ trách</x:v>
      </x:c>
      <x:c r="F1" s="6" t="str">
        <x:v>Trạng thái</x:v>
      </x:c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KH-001</x:v>
      </x:c>
      <x:c r="B2" s="39" t="str">
        <x:v>Công ty Sao Khuê</x:v>
      </x:c>
      <x:c r="C2" s="39" t="str">
        <x:v>DOANH NGHIỆP</x:v>
      </x:c>
      <x:c r="D2" s="39" t="str">
        <x:v>Hà Nội</x:v>
      </x:c>
      <x:c r="E2" s="39" t="str">
        <x:v>NV-003</x:v>
      </x:c>
      <x:c r="F2" s="39" t="str">
        <x:v>ĐANG HOẠT ĐỘNG</x:v>
      </x:c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KH-002</x:v>
      </x:c>
      <x:c r="B3" s="39" t="str">
        <x:v>Hộ kinh doanh Mây Việt</x:v>
      </x:c>
      <x:c r="C3" s="39" t="str">
        <x:v>HỘ KINH DOANH</x:v>
      </x:c>
      <x:c r="D3" s="39" t="str">
        <x:v>Đà Nẵng</x:v>
      </x:c>
      <x:c r="E3" s="39" t="str">
        <x:v>NV-004</x:v>
      </x:c>
      <x:c r="F3" s="39" t="str">
        <x:v>ĐANG HOẠT ĐỘNG</x:v>
      </x:c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KH-003</x:v>
      </x:c>
      <x:c r="B4" s="39" t="str">
        <x:v>Công ty Ánh Dương</x:v>
      </x:c>
      <x:c r="C4" s="39" t="str">
        <x:v>DOANH NGHIỆP</x:v>
      </x:c>
      <x:c r="D4" s="39" t="str">
        <x:v>Hải Phòng</x:v>
      </x:c>
      <x:c r="E4" s="39" t="str">
        <x:v>NV-003</x:v>
      </x:c>
      <x:c r="F4" s="39" t="str">
        <x:v>ĐANG HOẠT ĐỘNG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KH-004</x:v>
      </x:c>
      <x:c r="B5" s="39" t="str">
        <x:v>Cửa hàng Gió Mới</x:v>
      </x:c>
      <x:c r="C5" s="39" t="str">
        <x:v>HỘ KINH DOANH</x:v>
      </x:c>
      <x:c r="D5" s="39" t="str">
        <x:v>Cần Thơ</x:v>
      </x:c>
      <x:c r="E5" s="39" t="str">
        <x:v>NV-004</x:v>
      </x:c>
      <x:c r="F5" s="39" t="str">
        <x:v>ĐANG HOẠT ĐỘNG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KH-005</x:v>
      </x:c>
      <x:c r="B6" s="39" t="str">
        <x:v>Công ty Trúc Xanh</x:v>
      </x:c>
      <x:c r="C6" s="39" t="str">
        <x:v>DOANH NGHIỆP</x:v>
      </x:c>
      <x:c r="D6" s="39" t="str">
        <x:v>Bình Dương</x:v>
      </x:c>
      <x:c r="E6" s="39" t="str">
        <x:v>NV-003</x:v>
      </x:c>
      <x:c r="F6" s="39" t="str">
        <x:v>ĐANG HOẠT ĐỘNG</x:v>
      </x:c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 t="str">
        <x:v>KH-006</x:v>
      </x:c>
      <x:c r="B7" s="39" t="str">
        <x:v>Xưởng Mộc Bình Minh</x:v>
      </x:c>
      <x:c r="C7" s="39" t="str">
        <x:v>HỘ KINH DOANH</x:v>
      </x:c>
      <x:c r="D7" s="39" t="str">
        <x:v>Lâm Đồng</x:v>
      </x:c>
      <x:c r="E7" s="39" t="str">
        <x:v>NV-004</x:v>
      </x:c>
      <x:c r="F7" s="39" t="str">
        <x:v>ĐANG HOẠT ĐỘNG</x:v>
      </x:c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39"/>
      <x:c r="D8" s="39"/>
      <x:c r="E8" s="39"/>
      <x:c r="F8" s="39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39"/>
      <x:c r="D9" s="39"/>
      <x:c r="E9" s="39"/>
      <x:c r="F9" s="39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39"/>
      <x:c r="E10" s="39"/>
      <x:c r="F10" s="39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39"/>
      <x:c r="E11" s="39"/>
      <x:c r="F11" s="39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39"/>
      <x:c r="E12" s="39"/>
      <x:c r="F12" s="39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39"/>
      <x:c r="E13" s="39"/>
      <x:c r="F13" s="39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39"/>
      <x:c r="E14" s="39"/>
      <x:c r="F14" s="39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39"/>
      <x:c r="E15" s="39"/>
      <x:c r="F15" s="39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39"/>
      <x:c r="E16" s="39"/>
      <x:c r="F16" s="39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39"/>
      <x:c r="E17" s="39"/>
      <x:c r="F17" s="39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39"/>
      <x:c r="E18" s="39"/>
      <x:c r="F18" s="39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39"/>
      <x:c r="E19" s="39"/>
      <x:c r="F19" s="39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39"/>
      <x:c r="E20" s="39"/>
      <x:c r="F20" s="39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39"/>
      <x:c r="E21" s="39"/>
      <x:c r="F21" s="39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39"/>
      <x:c r="E22" s="39"/>
      <x:c r="F22" s="39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39"/>
      <x:c r="E23" s="39"/>
      <x:c r="F23" s="39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39"/>
      <x:c r="E24" s="39"/>
      <x:c r="F24" s="39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39"/>
      <x:c r="E25" s="39"/>
      <x:c r="F25" s="39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39"/>
      <x:c r="E26" s="39"/>
      <x:c r="F26" s="39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39"/>
      <x:c r="E27" s="39"/>
      <x:c r="F27" s="39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39"/>
      <x:c r="E28" s="39"/>
      <x:c r="F28" s="39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39"/>
      <x:c r="E29" s="39"/>
      <x:c r="F29" s="39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39"/>
      <x:c r="E30" s="39"/>
      <x:c r="F30" s="39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39"/>
      <x:c r="E31" s="39"/>
      <x:c r="F31" s="39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39"/>
      <x:c r="E32" s="39"/>
      <x:c r="F32" s="39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39"/>
      <x:c r="E33" s="39"/>
      <x:c r="F33" s="39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39"/>
      <x:c r="E34" s="39"/>
      <x:c r="F34" s="39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39"/>
      <x:c r="E35" s="39"/>
      <x:c r="F35" s="39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39"/>
      <x:c r="E36" s="39"/>
      <x:c r="F36" s="39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39"/>
      <x:c r="E37" s="39"/>
      <x:c r="F37" s="39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39"/>
      <x:c r="E38" s="39"/>
      <x:c r="F38" s="39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39"/>
      <x:c r="E39" s="39"/>
      <x:c r="F39" s="39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39"/>
      <x:c r="E40" s="39"/>
      <x:c r="F40" s="39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39"/>
      <x:c r="E41" s="39"/>
      <x:c r="F41" s="39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39"/>
      <x:c r="E42" s="39"/>
      <x:c r="F42" s="39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39"/>
      <x:c r="E43" s="39"/>
      <x:c r="F43" s="39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39"/>
      <x:c r="E44" s="39"/>
      <x:c r="F44" s="39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39"/>
      <x:c r="E45" s="39"/>
      <x:c r="F45" s="39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39"/>
      <x:c r="E46" s="39"/>
      <x:c r="F46" s="39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39"/>
      <x:c r="E47" s="39"/>
      <x:c r="F47" s="39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39"/>
      <x:c r="E48" s="39"/>
      <x:c r="F48" s="39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39"/>
      <x:c r="E49" s="39"/>
      <x:c r="F49" s="39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39"/>
      <x:c r="E50" s="39"/>
      <x:c r="F50" s="39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39"/>
      <x:c r="E51" s="39"/>
      <x:c r="F51" s="39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39"/>
      <x:c r="E52" s="39"/>
      <x:c r="F52" s="39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39"/>
      <x:c r="E53" s="39"/>
      <x:c r="F53" s="39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39"/>
      <x:c r="E54" s="39"/>
      <x:c r="F54" s="39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39"/>
      <x:c r="E55" s="39"/>
      <x:c r="F55" s="39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39"/>
      <x:c r="E56" s="39"/>
      <x:c r="F56" s="39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39"/>
      <x:c r="E57" s="39"/>
      <x:c r="F57" s="39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39"/>
      <x:c r="E58" s="39"/>
      <x:c r="F58" s="39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39"/>
      <x:c r="E59" s="39"/>
      <x:c r="F59" s="39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39"/>
      <x:c r="E60" s="39"/>
      <x:c r="F60" s="39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39"/>
      <x:c r="E61" s="39"/>
      <x:c r="F61" s="39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39"/>
      <x:c r="E62" s="39"/>
      <x:c r="F62" s="39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39"/>
      <x:c r="E63" s="39"/>
      <x:c r="F63" s="39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39"/>
      <x:c r="E64" s="39"/>
      <x:c r="F64" s="39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39"/>
      <x:c r="E65" s="39"/>
      <x:c r="F65" s="39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39"/>
      <x:c r="E66" s="39"/>
      <x:c r="F66" s="39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39"/>
      <x:c r="E67" s="39"/>
      <x:c r="F67" s="39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39"/>
      <x:c r="E68" s="39"/>
      <x:c r="F68" s="39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39"/>
      <x:c r="E69" s="39"/>
      <x:c r="F69" s="39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39"/>
      <x:c r="E70" s="39"/>
      <x:c r="F70" s="39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39"/>
      <x:c r="E71" s="39"/>
      <x:c r="F71" s="39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39"/>
      <x:c r="E72" s="39"/>
      <x:c r="F72" s="39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39"/>
      <x:c r="E73" s="39"/>
      <x:c r="F73" s="39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39"/>
      <x:c r="E74" s="39"/>
      <x:c r="F74" s="39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39"/>
      <x:c r="E75" s="39"/>
      <x:c r="F75" s="39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39"/>
      <x:c r="E76" s="39"/>
      <x:c r="F76" s="39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39"/>
      <x:c r="E77" s="39"/>
      <x:c r="F77" s="39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39"/>
      <x:c r="E78" s="39"/>
      <x:c r="F78" s="39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39"/>
      <x:c r="E79" s="39"/>
      <x:c r="F79" s="39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39"/>
      <x:c r="E80" s="39"/>
      <x:c r="F80" s="39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39"/>
      <x:c r="E81" s="39"/>
      <x:c r="F81" s="39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39"/>
      <x:c r="E82" s="39"/>
      <x:c r="F82" s="39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39"/>
      <x:c r="E83" s="39"/>
      <x:c r="F83" s="39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39"/>
      <x:c r="E84" s="39"/>
      <x:c r="F84" s="39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39"/>
      <x:c r="E85" s="39"/>
      <x:c r="F85" s="39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39"/>
      <x:c r="E86" s="39"/>
      <x:c r="F86" s="39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39"/>
      <x:c r="E87" s="39"/>
      <x:c r="F87" s="39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39"/>
      <x:c r="E88" s="39"/>
      <x:c r="F88" s="39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39"/>
      <x:c r="E89" s="39"/>
      <x:c r="F89" s="39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39"/>
      <x:c r="E90" s="39"/>
      <x:c r="F90" s="39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39"/>
      <x:c r="E91" s="39"/>
      <x:c r="F91" s="39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39"/>
      <x:c r="E92" s="39"/>
      <x:c r="F92" s="39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39"/>
      <x:c r="E93" s="39"/>
      <x:c r="F93" s="39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39"/>
      <x:c r="E94" s="39"/>
      <x:c r="F94" s="39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39"/>
      <x:c r="E95" s="39"/>
      <x:c r="F95" s="39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39"/>
      <x:c r="E96" s="39"/>
      <x:c r="F96" s="39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39"/>
      <x:c r="E97" s="39"/>
      <x:c r="F97" s="39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39"/>
      <x:c r="E98" s="39"/>
      <x:c r="F98" s="39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39"/>
      <x:c r="E99" s="39"/>
      <x:c r="F99" s="39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39"/>
      <x:c r="E100" s="39"/>
      <x:c r="F100" s="39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39"/>
      <x:c r="E101" s="39"/>
      <x:c r="F101" s="39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39"/>
      <x:c r="E102" s="39"/>
      <x:c r="F102" s="39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39"/>
      <x:c r="E103" s="39"/>
      <x:c r="F103" s="39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39"/>
      <x:c r="E104" s="39"/>
      <x:c r="F104" s="39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39"/>
      <x:c r="E105" s="39"/>
      <x:c r="F105" s="39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39"/>
      <x:c r="E106" s="39"/>
      <x:c r="F106" s="39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39"/>
      <x:c r="E107" s="39"/>
      <x:c r="F107" s="39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39"/>
      <x:c r="E108" s="39"/>
      <x:c r="F108" s="39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39"/>
      <x:c r="E109" s="39"/>
      <x:c r="F109" s="39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39"/>
      <x:c r="E110" s="39"/>
      <x:c r="F110" s="39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39"/>
      <x:c r="E111" s="39"/>
      <x:c r="F111" s="39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39"/>
      <x:c r="E112" s="39"/>
      <x:c r="F112" s="39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39"/>
      <x:c r="E113" s="39"/>
      <x:c r="F113" s="39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39"/>
      <x:c r="E114" s="39"/>
      <x:c r="F114" s="39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39"/>
      <x:c r="E115" s="39"/>
      <x:c r="F115" s="39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39"/>
      <x:c r="E116" s="39"/>
      <x:c r="F116" s="39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39"/>
      <x:c r="E117" s="39"/>
      <x:c r="F117" s="39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39"/>
      <x:c r="E118" s="39"/>
      <x:c r="F118" s="39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39"/>
      <x:c r="E119" s="39"/>
      <x:c r="F119" s="39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39"/>
      <x:c r="E120" s="39"/>
      <x:c r="F120" s="39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39"/>
      <x:c r="E121" s="39"/>
      <x:c r="F121" s="39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39"/>
      <x:c r="E122" s="39"/>
      <x:c r="F122" s="39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39"/>
      <x:c r="E123" s="39"/>
      <x:c r="F123" s="39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39"/>
      <x:c r="E124" s="39"/>
      <x:c r="F124" s="39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39"/>
      <x:c r="E125" s="39"/>
      <x:c r="F125" s="39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39"/>
      <x:c r="E126" s="39"/>
      <x:c r="F126" s="39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39"/>
      <x:c r="E127" s="39"/>
      <x:c r="F127" s="39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39"/>
      <x:c r="E128" s="39"/>
      <x:c r="F128" s="39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39"/>
      <x:c r="E129" s="39"/>
      <x:c r="F129" s="39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39"/>
      <x:c r="E130" s="39"/>
      <x:c r="F130" s="39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39"/>
      <x:c r="E131" s="39"/>
      <x:c r="F131" s="39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39"/>
      <x:c r="E132" s="39"/>
      <x:c r="F132" s="39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39"/>
      <x:c r="E133" s="39"/>
      <x:c r="F133" s="39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39"/>
      <x:c r="E134" s="39"/>
      <x:c r="F134" s="39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39"/>
      <x:c r="E135" s="39"/>
      <x:c r="F135" s="39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39"/>
      <x:c r="E136" s="39"/>
      <x:c r="F136" s="39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39"/>
      <x:c r="E137" s="39"/>
      <x:c r="F137" s="39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39"/>
      <x:c r="E138" s="39"/>
      <x:c r="F138" s="39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39"/>
      <x:c r="E139" s="39"/>
      <x:c r="F139" s="39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39"/>
      <x:c r="E140" s="39"/>
      <x:c r="F140" s="39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39"/>
      <x:c r="E141" s="39"/>
      <x:c r="F141" s="39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39"/>
      <x:c r="E142" s="39"/>
      <x:c r="F142" s="39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39"/>
      <x:c r="E143" s="39"/>
      <x:c r="F143" s="39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39"/>
      <x:c r="E144" s="39"/>
      <x:c r="F144" s="39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39"/>
      <x:c r="E145" s="39"/>
      <x:c r="F145" s="39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39"/>
      <x:c r="E146" s="39"/>
      <x:c r="F146" s="39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39"/>
      <x:c r="E147" s="39"/>
      <x:c r="F147" s="39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39"/>
      <x:c r="E148" s="39"/>
      <x:c r="F148" s="39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39"/>
      <x:c r="E149" s="39"/>
      <x:c r="F149" s="39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39"/>
      <x:c r="E150" s="39"/>
      <x:c r="F150" s="39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39"/>
      <x:c r="E151" s="39"/>
      <x:c r="F151" s="39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39"/>
      <x:c r="E152" s="39"/>
      <x:c r="F152" s="39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39"/>
      <x:c r="E153" s="39"/>
      <x:c r="F153" s="39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39"/>
      <x:c r="E154" s="39"/>
      <x:c r="F154" s="39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39"/>
      <x:c r="E155" s="39"/>
      <x:c r="F155" s="39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39"/>
      <x:c r="E156" s="39"/>
      <x:c r="F156" s="39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39"/>
      <x:c r="E157" s="39"/>
      <x:c r="F157" s="39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39"/>
      <x:c r="E158" s="39"/>
      <x:c r="F158" s="39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39"/>
      <x:c r="E159" s="39"/>
      <x:c r="F159" s="39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39"/>
      <x:c r="E160" s="39"/>
      <x:c r="F160" s="39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39"/>
      <x:c r="E161" s="39"/>
      <x:c r="F161" s="39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39"/>
      <x:c r="E162" s="39"/>
      <x:c r="F162" s="39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39"/>
      <x:c r="E163" s="39"/>
      <x:c r="F163" s="39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39"/>
      <x:c r="E164" s="39"/>
      <x:c r="F164" s="39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39"/>
      <x:c r="E165" s="39"/>
      <x:c r="F165" s="39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39"/>
      <x:c r="E166" s="39"/>
      <x:c r="F166" s="39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39"/>
      <x:c r="E167" s="39"/>
      <x:c r="F167" s="39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39"/>
      <x:c r="E168" s="39"/>
      <x:c r="F168" s="39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39"/>
      <x:c r="E169" s="39"/>
      <x:c r="F169" s="39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39"/>
      <x:c r="E170" s="39"/>
      <x:c r="F170" s="39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39"/>
      <x:c r="E171" s="39"/>
      <x:c r="F171" s="39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39"/>
      <x:c r="E172" s="39"/>
      <x:c r="F172" s="39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39"/>
      <x:c r="E173" s="39"/>
      <x:c r="F173" s="39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39"/>
      <x:c r="E174" s="39"/>
      <x:c r="F174" s="39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39"/>
      <x:c r="E175" s="39"/>
      <x:c r="F175" s="39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39"/>
      <x:c r="E176" s="39"/>
      <x:c r="F176" s="39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39"/>
      <x:c r="E177" s="39"/>
      <x:c r="F177" s="39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39"/>
      <x:c r="E178" s="39"/>
      <x:c r="F178" s="39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39"/>
      <x:c r="E179" s="39"/>
      <x:c r="F179" s="39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39"/>
      <x:c r="E180" s="39"/>
      <x:c r="F180" s="39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39"/>
      <x:c r="E181" s="39"/>
      <x:c r="F181" s="39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39"/>
      <x:c r="E182" s="39"/>
      <x:c r="F182" s="39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39"/>
      <x:c r="E183" s="39"/>
      <x:c r="F183" s="39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39"/>
      <x:c r="E184" s="39"/>
      <x:c r="F184" s="39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39"/>
      <x:c r="E185" s="39"/>
      <x:c r="F185" s="39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39"/>
      <x:c r="E186" s="39"/>
      <x:c r="F186" s="39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39"/>
      <x:c r="E187" s="39"/>
      <x:c r="F187" s="39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39"/>
      <x:c r="E188" s="39"/>
      <x:c r="F188" s="39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39"/>
      <x:c r="E189" s="39"/>
      <x:c r="F189" s="39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39"/>
      <x:c r="E190" s="39"/>
      <x:c r="F190" s="39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39"/>
      <x:c r="E191" s="39"/>
      <x:c r="F191" s="39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39"/>
      <x:c r="E192" s="39"/>
      <x:c r="F192" s="39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39"/>
      <x:c r="E193" s="39"/>
      <x:c r="F193" s="39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39"/>
      <x:c r="E194" s="39"/>
      <x:c r="F194" s="39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39"/>
      <x:c r="E195" s="39"/>
      <x:c r="F195" s="39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39"/>
      <x:c r="E196" s="39"/>
      <x:c r="F196" s="39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39"/>
      <x:c r="E197" s="39"/>
      <x:c r="F197" s="39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39"/>
      <x:c r="E198" s="39"/>
      <x:c r="F198" s="39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39"/>
      <x:c r="E199" s="39"/>
      <x:c r="F199" s="39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39"/>
      <x:c r="E200" s="39"/>
      <x:c r="F200" s="39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39"/>
      <x:c r="E201" s="39"/>
      <x:c r="F201" s="39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39"/>
      <x:c r="E202" s="39"/>
      <x:c r="F202" s="39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39"/>
      <x:c r="E203" s="39"/>
      <x:c r="F203" s="39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39"/>
      <x:c r="E204" s="39"/>
      <x:c r="F204" s="39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39"/>
      <x:c r="E205" s="39"/>
      <x:c r="F205" s="39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39"/>
      <x:c r="E206" s="39"/>
      <x:c r="F206" s="39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39"/>
      <x:c r="E207" s="39"/>
      <x:c r="F207" s="39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39"/>
      <x:c r="E208" s="39"/>
      <x:c r="F208" s="39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39"/>
      <x:c r="E209" s="39"/>
      <x:c r="F209" s="39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39"/>
      <x:c r="E210" s="39"/>
      <x:c r="F210" s="39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39"/>
      <x:c r="E211" s="39"/>
      <x:c r="F211" s="39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39"/>
      <x:c r="E212" s="39"/>
      <x:c r="F212" s="39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39"/>
      <x:c r="E213" s="39"/>
      <x:c r="F213" s="39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39"/>
      <x:c r="E214" s="39"/>
      <x:c r="F214" s="39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39"/>
      <x:c r="E215" s="39"/>
      <x:c r="F215" s="39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39"/>
      <x:c r="E216" s="39"/>
      <x:c r="F216" s="39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39"/>
      <x:c r="E217" s="39"/>
      <x:c r="F217" s="39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39"/>
      <x:c r="E218" s="39"/>
      <x:c r="F218" s="39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39"/>
      <x:c r="E219" s="39"/>
      <x:c r="F219" s="39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39"/>
      <x:c r="E220" s="39"/>
      <x:c r="F220" s="39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39"/>
      <x:c r="E221" s="39"/>
      <x:c r="F221" s="39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39"/>
      <x:c r="E222" s="39"/>
      <x:c r="F222" s="39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39"/>
      <x:c r="E223" s="39"/>
      <x:c r="F223" s="39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39"/>
      <x:c r="E224" s="39"/>
      <x:c r="F224" s="39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39"/>
      <x:c r="E225" s="39"/>
      <x:c r="F225" s="39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39"/>
      <x:c r="E226" s="39"/>
      <x:c r="F226" s="39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39"/>
      <x:c r="E227" s="39"/>
      <x:c r="F227" s="39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39"/>
      <x:c r="E228" s="39"/>
      <x:c r="F228" s="39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39"/>
      <x:c r="E229" s="39"/>
      <x:c r="F229" s="39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39"/>
      <x:c r="E230" s="39"/>
      <x:c r="F230" s="39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39"/>
      <x:c r="E231" s="39"/>
      <x:c r="F231" s="39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39"/>
      <x:c r="E232" s="39"/>
      <x:c r="F232" s="39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39"/>
      <x:c r="E233" s="39"/>
      <x:c r="F233" s="39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39"/>
      <x:c r="E234" s="39"/>
      <x:c r="F234" s="39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39"/>
      <x:c r="E235" s="39"/>
      <x:c r="F235" s="39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39"/>
      <x:c r="E236" s="39"/>
      <x:c r="F236" s="39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39"/>
      <x:c r="E237" s="39"/>
      <x:c r="F237" s="39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39"/>
      <x:c r="E238" s="39"/>
      <x:c r="F238" s="39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39"/>
      <x:c r="E239" s="39"/>
      <x:c r="F239" s="39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39"/>
      <x:c r="E240" s="39"/>
      <x:c r="F240" s="39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39"/>
      <x:c r="E241" s="39"/>
      <x:c r="F241" s="39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39"/>
      <x:c r="E242" s="39"/>
      <x:c r="F242" s="39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39"/>
      <x:c r="E243" s="39"/>
      <x:c r="F243" s="39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39"/>
      <x:c r="E244" s="39"/>
      <x:c r="F244" s="39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39"/>
      <x:c r="E245" s="39"/>
      <x:c r="F245" s="39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39"/>
      <x:c r="E246" s="39"/>
      <x:c r="F246" s="39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39"/>
      <x:c r="E247" s="39"/>
      <x:c r="F247" s="39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39"/>
      <x:c r="E248" s="39"/>
      <x:c r="F248" s="39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39"/>
      <x:c r="E249" s="39"/>
      <x:c r="F249" s="39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39"/>
      <x:c r="E250" s="39"/>
      <x:c r="F250" s="39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39"/>
      <x:c r="E251" s="39"/>
      <x:c r="F251" s="39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39"/>
      <x:c r="E252" s="39"/>
      <x:c r="F252" s="39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39"/>
      <x:c r="E253" s="39"/>
      <x:c r="F253" s="39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39"/>
      <x:c r="E254" s="39"/>
      <x:c r="F254" s="39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39"/>
      <x:c r="E255" s="39"/>
      <x:c r="F255" s="39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39"/>
      <x:c r="E256" s="39"/>
      <x:c r="F256" s="39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39"/>
      <x:c r="E257" s="39"/>
      <x:c r="F257" s="39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39"/>
      <x:c r="E258" s="39"/>
      <x:c r="F258" s="39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39"/>
      <x:c r="E259" s="39"/>
      <x:c r="F259" s="39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39"/>
      <x:c r="E260" s="39"/>
      <x:c r="F260" s="39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39"/>
      <x:c r="E261" s="39"/>
      <x:c r="F261" s="39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39"/>
      <x:c r="E262" s="39"/>
      <x:c r="F262" s="39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39"/>
      <x:c r="E263" s="39"/>
      <x:c r="F263" s="39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39"/>
      <x:c r="E264" s="39"/>
      <x:c r="F264" s="39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39"/>
      <x:c r="E265" s="39"/>
      <x:c r="F265" s="39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39"/>
      <x:c r="E266" s="39"/>
      <x:c r="F266" s="39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39"/>
      <x:c r="E267" s="39"/>
      <x:c r="F267" s="39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39"/>
      <x:c r="E268" s="39"/>
      <x:c r="F268" s="39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39"/>
      <x:c r="E269" s="39"/>
      <x:c r="F269" s="39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39"/>
      <x:c r="E270" s="39"/>
      <x:c r="F270" s="39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39"/>
      <x:c r="E271" s="39"/>
      <x:c r="F271" s="39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39"/>
      <x:c r="E272" s="39"/>
      <x:c r="F272" s="39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39"/>
      <x:c r="E273" s="39"/>
      <x:c r="F273" s="39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39"/>
      <x:c r="E274" s="39"/>
      <x:c r="F274" s="39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39"/>
      <x:c r="E275" s="39"/>
      <x:c r="F275" s="39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39"/>
      <x:c r="E276" s="39"/>
      <x:c r="F276" s="39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39"/>
      <x:c r="E277" s="39"/>
      <x:c r="F277" s="39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39"/>
      <x:c r="E278" s="39"/>
      <x:c r="F278" s="39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39"/>
      <x:c r="E279" s="39"/>
      <x:c r="F279" s="39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39"/>
      <x:c r="E280" s="39"/>
      <x:c r="F280" s="39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39"/>
      <x:c r="E281" s="39"/>
      <x:c r="F281" s="39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39"/>
      <x:c r="E282" s="39"/>
      <x:c r="F282" s="39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39"/>
      <x:c r="E283" s="39"/>
      <x:c r="F283" s="39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39"/>
      <x:c r="E284" s="39"/>
      <x:c r="F284" s="39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39"/>
      <x:c r="E285" s="39"/>
      <x:c r="F285" s="39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39"/>
      <x:c r="E286" s="39"/>
      <x:c r="F286" s="39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39"/>
      <x:c r="E287" s="39"/>
      <x:c r="F287" s="39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39"/>
      <x:c r="E288" s="39"/>
      <x:c r="F288" s="39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39"/>
      <x:c r="E289" s="39"/>
      <x:c r="F289" s="39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39"/>
      <x:c r="E290" s="39"/>
      <x:c r="F290" s="39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39"/>
      <x:c r="E291" s="39"/>
      <x:c r="F291" s="39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39"/>
      <x:c r="E292" s="39"/>
      <x:c r="F292" s="39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39"/>
      <x:c r="E293" s="39"/>
      <x:c r="F293" s="39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39"/>
      <x:c r="E294" s="39"/>
      <x:c r="F294" s="39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39"/>
      <x:c r="E295" s="39"/>
      <x:c r="F295" s="39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39"/>
      <x:c r="E296" s="39"/>
      <x:c r="F296" s="39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39"/>
      <x:c r="E297" s="39"/>
      <x:c r="F297" s="39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39"/>
      <x:c r="E298" s="39"/>
      <x:c r="F298" s="39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39"/>
      <x:c r="E299" s="39"/>
      <x:c r="F299" s="39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39"/>
      <x:c r="E300" s="39"/>
      <x:c r="F300" s="39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39"/>
      <x:c r="E301" s="39"/>
      <x:c r="F301" s="39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39"/>
      <x:c r="E302" s="39"/>
      <x:c r="F302" s="39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39"/>
      <x:c r="E303" s="39"/>
      <x:c r="F303" s="39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39"/>
      <x:c r="E304" s="39"/>
      <x:c r="F304" s="39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39"/>
      <x:c r="E305" s="39"/>
      <x:c r="F305" s="39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39"/>
      <x:c r="E306" s="39"/>
      <x:c r="F306" s="39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39"/>
      <x:c r="E307" s="39"/>
      <x:c r="F307" s="39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39"/>
      <x:c r="E308" s="39"/>
      <x:c r="F308" s="39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39"/>
      <x:c r="E309" s="39"/>
      <x:c r="F309" s="39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39"/>
      <x:c r="E310" s="39"/>
      <x:c r="F310" s="39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39"/>
      <x:c r="E311" s="39"/>
      <x:c r="F311" s="39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39"/>
      <x:c r="E312" s="39"/>
      <x:c r="F312" s="39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39"/>
      <x:c r="E313" s="39"/>
      <x:c r="F313" s="39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39"/>
      <x:c r="E314" s="39"/>
      <x:c r="F314" s="39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39"/>
      <x:c r="E315" s="39"/>
      <x:c r="F315" s="39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39"/>
      <x:c r="E316" s="39"/>
      <x:c r="F316" s="39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39"/>
      <x:c r="E317" s="39"/>
      <x:c r="F317" s="39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39"/>
      <x:c r="E318" s="39"/>
      <x:c r="F318" s="39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39"/>
      <x:c r="E319" s="39"/>
      <x:c r="F319" s="39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39"/>
      <x:c r="E320" s="39"/>
      <x:c r="F320" s="39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39"/>
      <x:c r="E321" s="39"/>
      <x:c r="F321" s="39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39"/>
      <x:c r="E322" s="39"/>
      <x:c r="F322" s="39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39"/>
      <x:c r="E323" s="39"/>
      <x:c r="F323" s="39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39"/>
      <x:c r="E324" s="39"/>
      <x:c r="F324" s="39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39"/>
      <x:c r="E325" s="39"/>
      <x:c r="F325" s="39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39"/>
      <x:c r="E326" s="39"/>
      <x:c r="F326" s="39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39"/>
      <x:c r="E327" s="39"/>
      <x:c r="F327" s="39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39"/>
      <x:c r="E328" s="39"/>
      <x:c r="F328" s="39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39"/>
      <x:c r="E329" s="39"/>
      <x:c r="F329" s="39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39"/>
      <x:c r="E330" s="39"/>
      <x:c r="F330" s="39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39"/>
      <x:c r="E331" s="39"/>
      <x:c r="F331" s="39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39"/>
      <x:c r="E332" s="39"/>
      <x:c r="F332" s="39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39"/>
      <x:c r="E333" s="39"/>
      <x:c r="F333" s="39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39"/>
      <x:c r="E334" s="39"/>
      <x:c r="F334" s="39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39"/>
      <x:c r="E335" s="39"/>
      <x:c r="F335" s="39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39"/>
      <x:c r="E336" s="39"/>
      <x:c r="F336" s="39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39"/>
      <x:c r="E337" s="39"/>
      <x:c r="F337" s="39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39"/>
      <x:c r="E338" s="39"/>
      <x:c r="F338" s="39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39"/>
      <x:c r="E339" s="39"/>
      <x:c r="F339" s="39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39"/>
      <x:c r="E340" s="39"/>
      <x:c r="F340" s="39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39"/>
      <x:c r="E341" s="39"/>
      <x:c r="F341" s="39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39"/>
      <x:c r="E342" s="39"/>
      <x:c r="F342" s="39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39"/>
      <x:c r="E343" s="39"/>
      <x:c r="F343" s="39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39"/>
      <x:c r="E344" s="39"/>
      <x:c r="F344" s="39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39"/>
      <x:c r="E345" s="39"/>
      <x:c r="F345" s="39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39"/>
      <x:c r="E346" s="39"/>
      <x:c r="F346" s="39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39"/>
      <x:c r="E347" s="39"/>
      <x:c r="F347" s="39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39"/>
      <x:c r="E348" s="39"/>
      <x:c r="F348" s="39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39"/>
      <x:c r="E349" s="39"/>
      <x:c r="F349" s="39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39"/>
      <x:c r="E350" s="39"/>
      <x:c r="F350" s="39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39"/>
      <x:c r="E351" s="39"/>
      <x:c r="F351" s="39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39"/>
      <x:c r="E352" s="39"/>
      <x:c r="F352" s="39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39"/>
      <x:c r="E353" s="39"/>
      <x:c r="F353" s="39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39"/>
      <x:c r="E354" s="39"/>
      <x:c r="F354" s="39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39"/>
      <x:c r="E355" s="39"/>
      <x:c r="F355" s="39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39"/>
      <x:c r="E356" s="39"/>
      <x:c r="F356" s="39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39"/>
      <x:c r="E357" s="39"/>
      <x:c r="F357" s="39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39"/>
      <x:c r="E358" s="39"/>
      <x:c r="F358" s="39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39"/>
      <x:c r="E359" s="39"/>
      <x:c r="F359" s="39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39"/>
      <x:c r="E360" s="39"/>
      <x:c r="F360" s="39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39"/>
      <x:c r="E361" s="39"/>
      <x:c r="F361" s="39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39"/>
      <x:c r="E362" s="39"/>
      <x:c r="F362" s="39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39"/>
      <x:c r="E363" s="39"/>
      <x:c r="F363" s="39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39"/>
      <x:c r="E364" s="39"/>
      <x:c r="F364" s="39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39"/>
      <x:c r="E365" s="39"/>
      <x:c r="F365" s="39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39"/>
      <x:c r="E366" s="39"/>
      <x:c r="F366" s="39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39"/>
      <x:c r="E367" s="39"/>
      <x:c r="F367" s="39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39"/>
      <x:c r="E368" s="39"/>
      <x:c r="F368" s="39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39"/>
      <x:c r="E369" s="39"/>
      <x:c r="F369" s="39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39"/>
      <x:c r="E370" s="39"/>
      <x:c r="F370" s="39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39"/>
      <x:c r="E371" s="39"/>
      <x:c r="F371" s="39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39"/>
      <x:c r="E372" s="39"/>
      <x:c r="F372" s="39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39"/>
      <x:c r="E373" s="39"/>
      <x:c r="F373" s="39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39"/>
      <x:c r="E374" s="39"/>
      <x:c r="F374" s="39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39"/>
      <x:c r="E375" s="39"/>
      <x:c r="F375" s="39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39"/>
      <x:c r="E376" s="39"/>
      <x:c r="F376" s="39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39"/>
      <x:c r="E377" s="39"/>
      <x:c r="F377" s="39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39"/>
      <x:c r="E378" s="39"/>
      <x:c r="F378" s="39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39"/>
      <x:c r="E379" s="39"/>
      <x:c r="F379" s="39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39"/>
      <x:c r="E380" s="39"/>
      <x:c r="F380" s="39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39"/>
      <x:c r="E381" s="39"/>
      <x:c r="F381" s="39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39"/>
      <x:c r="E382" s="39"/>
      <x:c r="F382" s="39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39"/>
      <x:c r="E383" s="39"/>
      <x:c r="F383" s="39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39"/>
      <x:c r="E384" s="39"/>
      <x:c r="F384" s="39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39"/>
      <x:c r="E385" s="39"/>
      <x:c r="F385" s="39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39"/>
      <x:c r="E386" s="39"/>
      <x:c r="F386" s="39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39"/>
      <x:c r="E387" s="39"/>
      <x:c r="F387" s="39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39"/>
      <x:c r="E388" s="39"/>
      <x:c r="F388" s="39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39"/>
      <x:c r="E389" s="39"/>
      <x:c r="F389" s="39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39"/>
      <x:c r="E390" s="39"/>
      <x:c r="F390" s="39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39"/>
      <x:c r="E391" s="39"/>
      <x:c r="F391" s="39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39"/>
      <x:c r="E392" s="39"/>
      <x:c r="F392" s="39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39"/>
      <x:c r="E393" s="39"/>
      <x:c r="F393" s="39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39"/>
      <x:c r="E394" s="39"/>
      <x:c r="F394" s="39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39"/>
      <x:c r="E395" s="39"/>
      <x:c r="F395" s="39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39"/>
      <x:c r="E396" s="39"/>
      <x:c r="F396" s="39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39"/>
      <x:c r="E397" s="39"/>
      <x:c r="F397" s="39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39"/>
      <x:c r="E398" s="39"/>
      <x:c r="F398" s="39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39"/>
      <x:c r="E399" s="39"/>
      <x:c r="F399" s="39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39"/>
      <x:c r="E400" s="39"/>
      <x:c r="F400" s="39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39"/>
      <x:c r="E401" s="39"/>
      <x:c r="F401" s="39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39"/>
      <x:c r="E402" s="39"/>
      <x:c r="F402" s="39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39"/>
      <x:c r="E403" s="39"/>
      <x:c r="F403" s="39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39"/>
      <x:c r="E404" s="39"/>
      <x:c r="F404" s="39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39"/>
      <x:c r="E405" s="39"/>
      <x:c r="F405" s="39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39"/>
      <x:c r="E406" s="39"/>
      <x:c r="F406" s="39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39"/>
      <x:c r="E407" s="39"/>
      <x:c r="F407" s="39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39"/>
      <x:c r="E408" s="39"/>
      <x:c r="F408" s="39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39"/>
      <x:c r="E409" s="39"/>
      <x:c r="F409" s="39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39"/>
      <x:c r="E410" s="39"/>
      <x:c r="F410" s="39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39"/>
      <x:c r="E411" s="39"/>
      <x:c r="F411" s="39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39"/>
      <x:c r="E412" s="39"/>
      <x:c r="F412" s="39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39"/>
      <x:c r="E413" s="39"/>
      <x:c r="F413" s="39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39"/>
      <x:c r="E414" s="39"/>
      <x:c r="F414" s="39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39"/>
      <x:c r="E415" s="39"/>
      <x:c r="F415" s="39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39"/>
      <x:c r="E416" s="39"/>
      <x:c r="F416" s="39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39"/>
      <x:c r="E417" s="39"/>
      <x:c r="F417" s="39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39"/>
      <x:c r="E418" s="39"/>
      <x:c r="F418" s="39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39"/>
      <x:c r="E419" s="39"/>
      <x:c r="F419" s="39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39"/>
      <x:c r="E420" s="39"/>
      <x:c r="F420" s="39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39"/>
      <x:c r="E421" s="39"/>
      <x:c r="F421" s="39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39"/>
      <x:c r="E422" s="39"/>
      <x:c r="F422" s="39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39"/>
      <x:c r="E423" s="39"/>
      <x:c r="F423" s="39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39"/>
      <x:c r="E424" s="39"/>
      <x:c r="F424" s="39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39"/>
      <x:c r="E425" s="39"/>
      <x:c r="F425" s="39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39"/>
      <x:c r="E426" s="39"/>
      <x:c r="F426" s="39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39"/>
      <x:c r="E427" s="39"/>
      <x:c r="F427" s="39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39"/>
      <x:c r="E428" s="39"/>
      <x:c r="F428" s="39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39"/>
      <x:c r="E429" s="39"/>
      <x:c r="F429" s="39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39"/>
      <x:c r="E430" s="39"/>
      <x:c r="F430" s="39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39"/>
      <x:c r="E431" s="39"/>
      <x:c r="F431" s="39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39"/>
      <x:c r="E432" s="39"/>
      <x:c r="F432" s="39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39"/>
      <x:c r="E433" s="39"/>
      <x:c r="F433" s="39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39"/>
      <x:c r="E434" s="39"/>
      <x:c r="F434" s="39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39"/>
      <x:c r="E435" s="39"/>
      <x:c r="F435" s="39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39"/>
      <x:c r="E436" s="39"/>
      <x:c r="F436" s="39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39"/>
      <x:c r="E437" s="39"/>
      <x:c r="F437" s="39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39"/>
      <x:c r="E438" s="39"/>
      <x:c r="F438" s="39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39"/>
      <x:c r="E439" s="39"/>
      <x:c r="F439" s="39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39"/>
      <x:c r="E440" s="39"/>
      <x:c r="F440" s="39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39"/>
      <x:c r="E441" s="39"/>
      <x:c r="F441" s="39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39"/>
      <x:c r="E442" s="39"/>
      <x:c r="F442" s="39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39"/>
      <x:c r="E443" s="39"/>
      <x:c r="F443" s="39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39"/>
      <x:c r="E444" s="39"/>
      <x:c r="F444" s="39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39"/>
      <x:c r="E445" s="39"/>
      <x:c r="F445" s="39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39"/>
      <x:c r="E446" s="39"/>
      <x:c r="F446" s="39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39"/>
      <x:c r="E447" s="39"/>
      <x:c r="F447" s="39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39"/>
      <x:c r="E448" s="39"/>
      <x:c r="F448" s="39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39"/>
      <x:c r="E449" s="39"/>
      <x:c r="F449" s="39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39"/>
      <x:c r="E450" s="39"/>
      <x:c r="F450" s="39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39"/>
      <x:c r="E451" s="39"/>
      <x:c r="F451" s="39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39"/>
      <x:c r="E452" s="39"/>
      <x:c r="F452" s="39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39"/>
      <x:c r="E453" s="39"/>
      <x:c r="F453" s="39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39"/>
      <x:c r="E454" s="39"/>
      <x:c r="F454" s="39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39"/>
      <x:c r="E455" s="39"/>
      <x:c r="F455" s="39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39"/>
      <x:c r="E456" s="39"/>
      <x:c r="F456" s="39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39"/>
      <x:c r="E457" s="39"/>
      <x:c r="F457" s="39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39"/>
      <x:c r="E458" s="39"/>
      <x:c r="F458" s="39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39"/>
      <x:c r="E459" s="39"/>
      <x:c r="F459" s="39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39"/>
      <x:c r="E460" s="39"/>
      <x:c r="F460" s="39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39"/>
      <x:c r="E461" s="39"/>
      <x:c r="F461" s="39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39"/>
      <x:c r="E462" s="39"/>
      <x:c r="F462" s="39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39"/>
      <x:c r="E463" s="39"/>
      <x:c r="F463" s="39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39"/>
      <x:c r="E464" s="39"/>
      <x:c r="F464" s="39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39"/>
      <x:c r="E465" s="39"/>
      <x:c r="F465" s="39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39"/>
      <x:c r="E466" s="39"/>
      <x:c r="F466" s="39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39"/>
      <x:c r="E467" s="39"/>
      <x:c r="F467" s="39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39"/>
      <x:c r="E468" s="39"/>
      <x:c r="F468" s="39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39"/>
      <x:c r="E469" s="39"/>
      <x:c r="F469" s="39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39"/>
      <x:c r="E470" s="39"/>
      <x:c r="F470" s="39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39"/>
      <x:c r="E471" s="39"/>
      <x:c r="F471" s="39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39"/>
      <x:c r="E472" s="39"/>
      <x:c r="F472" s="39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39"/>
      <x:c r="E473" s="39"/>
      <x:c r="F473" s="39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39"/>
      <x:c r="E474" s="39"/>
      <x:c r="F474" s="39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39"/>
      <x:c r="E475" s="39"/>
      <x:c r="F475" s="39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39"/>
      <x:c r="E476" s="39"/>
      <x:c r="F476" s="39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39"/>
      <x:c r="E477" s="39"/>
      <x:c r="F477" s="39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39"/>
      <x:c r="E478" s="39"/>
      <x:c r="F478" s="39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39"/>
      <x:c r="E479" s="39"/>
      <x:c r="F479" s="39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39"/>
      <x:c r="E480" s="39"/>
      <x:c r="F480" s="39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39"/>
      <x:c r="E481" s="39"/>
      <x:c r="F481" s="39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39"/>
      <x:c r="E482" s="39"/>
      <x:c r="F482" s="39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39"/>
      <x:c r="E483" s="39"/>
      <x:c r="F483" s="39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39"/>
      <x:c r="E484" s="39"/>
      <x:c r="F484" s="39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39"/>
      <x:c r="E485" s="39"/>
      <x:c r="F485" s="39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39"/>
      <x:c r="E486" s="39"/>
      <x:c r="F486" s="39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39"/>
      <x:c r="E487" s="39"/>
      <x:c r="F487" s="39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39"/>
      <x:c r="E488" s="39"/>
      <x:c r="F488" s="39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39"/>
      <x:c r="E489" s="39"/>
      <x:c r="F489" s="39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39"/>
      <x:c r="E490" s="39"/>
      <x:c r="F490" s="39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39"/>
      <x:c r="E491" s="39"/>
      <x:c r="F491" s="39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39"/>
      <x:c r="E492" s="39"/>
      <x:c r="F492" s="39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39"/>
      <x:c r="E493" s="39"/>
      <x:c r="F493" s="39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39"/>
      <x:c r="E494" s="39"/>
      <x:c r="F494" s="39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39"/>
      <x:c r="E495" s="39"/>
      <x:c r="F495" s="39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39"/>
      <x:c r="E496" s="39"/>
      <x:c r="F496" s="39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39"/>
      <x:c r="E497" s="39"/>
      <x:c r="F497" s="39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39"/>
      <x:c r="E498" s="39"/>
      <x:c r="F498" s="39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39"/>
      <x:c r="E499" s="39"/>
      <x:c r="F499" s="39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39"/>
      <x:c r="E500" s="39"/>
      <x:c r="F500" s="39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28.889999389648438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</x:cols>
  <x:sheetData>
    <x:row r="1" ht="27" customHeight="1">
      <x:c r="A1" s="6" t="str">
        <x:v>Mã sản phẩm</x:v>
      </x:c>
      <x:c r="B1" s="6" t="str">
        <x:v>Tên sản phẩm</x:v>
      </x:c>
      <x:c r="C1" s="6" t="str">
        <x:v>Đơn vị tính</x:v>
      </x:c>
      <x:c r="D1" s="6" t="str">
        <x:v>Đơn giá</x:v>
      </x:c>
      <x:c r="E1" s="6" t="str">
        <x:v>Giá vốn</x:v>
      </x:c>
      <x:c r="F1" s="6" t="str">
        <x:v>Thuế suất</x:v>
      </x:c>
      <x:c r="G1" s="6" t="str">
        <x:v>Trạng thái</x:v>
      </x:c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SP-001</x:v>
      </x:c>
      <x:c r="B2" s="39" t="str">
        <x:v>Gói tư vấn khởi động</x:v>
      </x:c>
      <x:c r="C2" s="39" t="str">
        <x:v>Gói</x:v>
      </x:c>
      <x:c r="D2" s="44" t="n">
        <x:v>100000</x:v>
      </x:c>
      <x:c r="E2" s="44" t="n">
        <x:v>60000</x:v>
      </x:c>
      <x:c r="F2" s="43" t="n">
        <x:v>0.08</x:v>
      </x:c>
      <x:c r="G2" s="39" t="str">
        <x:v>ĐANG KINH DOANH</x:v>
      </x:c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SP-002</x:v>
      </x:c>
      <x:c r="B3" s="39" t="str">
        <x:v>Bộ biểu mẫu bán hàng</x:v>
      </x:c>
      <x:c r="C3" s="39" t="str">
        <x:v>Bộ</x:v>
      </x:c>
      <x:c r="D3" s="44" t="n">
        <x:v>250000</x:v>
      </x:c>
      <x:c r="E3" s="44" t="n">
        <x:v>120000</x:v>
      </x:c>
      <x:c r="F3" s="43" t="n">
        <x:v>0.08</x:v>
      </x:c>
      <x:c r="G3" s="39" t="str">
        <x:v>ĐANG KINH DOANH</x:v>
      </x:c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SP-003</x:v>
      </x:c>
      <x:c r="B4" s="39" t="str">
        <x:v>Dịch vụ cấu hình dữ liệu</x:v>
      </x:c>
      <x:c r="C4" s="39" t="str">
        <x:v>Gói</x:v>
      </x:c>
      <x:c r="D4" s="44" t="n">
        <x:v>400000</x:v>
      </x:c>
      <x:c r="E4" s="44" t="n">
        <x:v>220000</x:v>
      </x:c>
      <x:c r="F4" s="43" t="n">
        <x:v>0.08</x:v>
      </x:c>
      <x:c r="G4" s="39" t="str">
        <x:v>ĐANG KINH DOANH</x:v>
      </x:c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SP-004</x:v>
      </x:c>
      <x:c r="B5" s="39" t="str">
        <x:v>Giờ đào tạo vận hành</x:v>
      </x:c>
      <x:c r="C5" s="39" t="str">
        <x:v>Giờ</x:v>
      </x:c>
      <x:c r="D5" s="44" t="n">
        <x:v>150000</x:v>
      </x:c>
      <x:c r="E5" s="44" t="n">
        <x:v>70000</x:v>
      </x:c>
      <x:c r="F5" s="43" t="n">
        <x:v>0.08</x:v>
      </x:c>
      <x:c r="G5" s="39" t="str">
        <x:v>ĐANG KINH DOANH</x:v>
      </x:c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SP-005</x:v>
      </x:c>
      <x:c r="B6" s="39" t="str">
        <x:v>Gói hỗ trợ tiêu chuẩn</x:v>
      </x:c>
      <x:c r="C6" s="39" t="str">
        <x:v>Tháng</x:v>
      </x:c>
      <x:c r="D6" s="44" t="n">
        <x:v>300000</x:v>
      </x:c>
      <x:c r="E6" s="44" t="n">
        <x:v>140000</x:v>
      </x:c>
      <x:c r="F6" s="43" t="n">
        <x:v>0.08</x:v>
      </x:c>
      <x:c r="G6" s="39" t="str">
        <x:v>ĐANG KINH DOANH</x:v>
      </x:c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 t="str">
        <x:v>SP-006</x:v>
      </x:c>
      <x:c r="B7" s="39" t="str">
        <x:v>Gói hỗ trợ nâng cao</x:v>
      </x:c>
      <x:c r="C7" s="39" t="str">
        <x:v>Tháng</x:v>
      </x:c>
      <x:c r="D7" s="44" t="n">
        <x:v>500000</x:v>
      </x:c>
      <x:c r="E7" s="44" t="n">
        <x:v>240000</x:v>
      </x:c>
      <x:c r="F7" s="43" t="n">
        <x:v>0.08</x:v>
      </x:c>
      <x:c r="G7" s="39" t="str">
        <x:v>ĐANG KINH DOANH</x:v>
      </x:c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 t="str">
        <x:v>SP-007</x:v>
      </x:c>
      <x:c r="B8" s="39" t="str">
        <x:v>Báo cáo quản trị tùy chỉnh</x:v>
      </x:c>
      <x:c r="C8" s="39" t="str">
        <x:v>Gói</x:v>
      </x:c>
      <x:c r="D8" s="44" t="n">
        <x:v>600000</x:v>
      </x:c>
      <x:c r="E8" s="44" t="n">
        <x:v>320000</x:v>
      </x:c>
      <x:c r="F8" s="43" t="n">
        <x:v>0.08</x:v>
      </x:c>
      <x:c r="G8" s="39" t="str">
        <x:v>ĐANG KINH DOANH</x:v>
      </x:c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 t="str">
        <x:v>SP-008</x:v>
      </x:c>
      <x:c r="B9" s="39" t="str">
        <x:v>Buổi rà soát quy trình</x:v>
      </x:c>
      <x:c r="C9" s="39" t="str">
        <x:v>Gói</x:v>
      </x:c>
      <x:c r="D9" s="44" t="n">
        <x:v>200000</x:v>
      </x:c>
      <x:c r="E9" s="44" t="n">
        <x:v>90000</x:v>
      </x:c>
      <x:c r="F9" s="43" t="n">
        <x:v>0.08</x:v>
      </x:c>
      <x:c r="G9" s="39" t="str">
        <x:v>ĐANG KINH DOANH</x:v>
      </x:c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44"/>
      <x:c r="E10" s="44"/>
      <x:c r="F10" s="43"/>
      <x:c r="G10" s="39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44"/>
      <x:c r="E11" s="44"/>
      <x:c r="F11" s="43"/>
      <x:c r="G11" s="39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44"/>
      <x:c r="E12" s="44"/>
      <x:c r="F12" s="43"/>
      <x:c r="G12" s="39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44"/>
      <x:c r="E13" s="44"/>
      <x:c r="F13" s="43"/>
      <x:c r="G13" s="39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44"/>
      <x:c r="E14" s="44"/>
      <x:c r="F14" s="43"/>
      <x:c r="G14" s="39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44"/>
      <x:c r="E15" s="44"/>
      <x:c r="F15" s="43"/>
      <x:c r="G15" s="39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44"/>
      <x:c r="E16" s="44"/>
      <x:c r="F16" s="43"/>
      <x:c r="G16" s="39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44"/>
      <x:c r="E17" s="44"/>
      <x:c r="F17" s="43"/>
      <x:c r="G17" s="39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44"/>
      <x:c r="E18" s="44"/>
      <x:c r="F18" s="43"/>
      <x:c r="G18" s="39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44"/>
      <x:c r="E19" s="44"/>
      <x:c r="F19" s="43"/>
      <x:c r="G19" s="39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44"/>
      <x:c r="E20" s="44"/>
      <x:c r="F20" s="43"/>
      <x:c r="G20" s="39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44"/>
      <x:c r="E21" s="44"/>
      <x:c r="F21" s="43"/>
      <x:c r="G21" s="39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44"/>
      <x:c r="E22" s="44"/>
      <x:c r="F22" s="43"/>
      <x:c r="G22" s="39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44"/>
      <x:c r="E23" s="44"/>
      <x:c r="F23" s="43"/>
      <x:c r="G23" s="39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44"/>
      <x:c r="E24" s="44"/>
      <x:c r="F24" s="43"/>
      <x:c r="G24" s="39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44"/>
      <x:c r="E25" s="44"/>
      <x:c r="F25" s="43"/>
      <x:c r="G25" s="39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44"/>
      <x:c r="E26" s="44"/>
      <x:c r="F26" s="43"/>
      <x:c r="G26" s="39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44"/>
      <x:c r="E27" s="44"/>
      <x:c r="F27" s="43"/>
      <x:c r="G27" s="39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44"/>
      <x:c r="E28" s="44"/>
      <x:c r="F28" s="43"/>
      <x:c r="G28" s="39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44"/>
      <x:c r="E29" s="44"/>
      <x:c r="F29" s="43"/>
      <x:c r="G29" s="39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44"/>
      <x:c r="E30" s="44"/>
      <x:c r="F30" s="43"/>
      <x:c r="G30" s="39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44"/>
      <x:c r="E31" s="44"/>
      <x:c r="F31" s="43"/>
      <x:c r="G31" s="39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44"/>
      <x:c r="E32" s="44"/>
      <x:c r="F32" s="43"/>
      <x:c r="G32" s="39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44"/>
      <x:c r="E33" s="44"/>
      <x:c r="F33" s="43"/>
      <x:c r="G33" s="39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44"/>
      <x:c r="E34" s="44"/>
      <x:c r="F34" s="43"/>
      <x:c r="G34" s="39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44"/>
      <x:c r="E35" s="44"/>
      <x:c r="F35" s="43"/>
      <x:c r="G35" s="39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44"/>
      <x:c r="E36" s="44"/>
      <x:c r="F36" s="43"/>
      <x:c r="G36" s="39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44"/>
      <x:c r="E37" s="44"/>
      <x:c r="F37" s="43"/>
      <x:c r="G37" s="39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44"/>
      <x:c r="E38" s="44"/>
      <x:c r="F38" s="43"/>
      <x:c r="G38" s="39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44"/>
      <x:c r="E39" s="44"/>
      <x:c r="F39" s="43"/>
      <x:c r="G39" s="39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44"/>
      <x:c r="E40" s="44"/>
      <x:c r="F40" s="43"/>
      <x:c r="G40" s="39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44"/>
      <x:c r="E41" s="44"/>
      <x:c r="F41" s="43"/>
      <x:c r="G41" s="39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44"/>
      <x:c r="E42" s="44"/>
      <x:c r="F42" s="43"/>
      <x:c r="G42" s="39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44"/>
      <x:c r="E43" s="44"/>
      <x:c r="F43" s="43"/>
      <x:c r="G43" s="39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44"/>
      <x:c r="E44" s="44"/>
      <x:c r="F44" s="43"/>
      <x:c r="G44" s="39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44"/>
      <x:c r="E45" s="44"/>
      <x:c r="F45" s="43"/>
      <x:c r="G45" s="39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44"/>
      <x:c r="E46" s="44"/>
      <x:c r="F46" s="43"/>
      <x:c r="G46" s="39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44"/>
      <x:c r="E47" s="44"/>
      <x:c r="F47" s="43"/>
      <x:c r="G47" s="39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44"/>
      <x:c r="E48" s="44"/>
      <x:c r="F48" s="43"/>
      <x:c r="G48" s="39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44"/>
      <x:c r="E49" s="44"/>
      <x:c r="F49" s="43"/>
      <x:c r="G49" s="39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44"/>
      <x:c r="E50" s="44"/>
      <x:c r="F50" s="43"/>
      <x:c r="G50" s="39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44"/>
      <x:c r="E51" s="44"/>
      <x:c r="F51" s="43"/>
      <x:c r="G51" s="39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44"/>
      <x:c r="E52" s="44"/>
      <x:c r="F52" s="43"/>
      <x:c r="G52" s="39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44"/>
      <x:c r="E53" s="44"/>
      <x:c r="F53" s="43"/>
      <x:c r="G53" s="39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44"/>
      <x:c r="E54" s="44"/>
      <x:c r="F54" s="43"/>
      <x:c r="G54" s="39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44"/>
      <x:c r="E55" s="44"/>
      <x:c r="F55" s="43"/>
      <x:c r="G55" s="39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44"/>
      <x:c r="E56" s="44"/>
      <x:c r="F56" s="43"/>
      <x:c r="G56" s="39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44"/>
      <x:c r="E57" s="44"/>
      <x:c r="F57" s="43"/>
      <x:c r="G57" s="39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44"/>
      <x:c r="E58" s="44"/>
      <x:c r="F58" s="43"/>
      <x:c r="G58" s="39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44"/>
      <x:c r="E59" s="44"/>
      <x:c r="F59" s="43"/>
      <x:c r="G59" s="39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44"/>
      <x:c r="E60" s="44"/>
      <x:c r="F60" s="43"/>
      <x:c r="G60" s="39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44"/>
      <x:c r="E61" s="44"/>
      <x:c r="F61" s="43"/>
      <x:c r="G61" s="39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44"/>
      <x:c r="E62" s="44"/>
      <x:c r="F62" s="43"/>
      <x:c r="G62" s="39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44"/>
      <x:c r="E63" s="44"/>
      <x:c r="F63" s="43"/>
      <x:c r="G63" s="39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44"/>
      <x:c r="E64" s="44"/>
      <x:c r="F64" s="43"/>
      <x:c r="G64" s="39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44"/>
      <x:c r="E65" s="44"/>
      <x:c r="F65" s="43"/>
      <x:c r="G65" s="39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44"/>
      <x:c r="E66" s="44"/>
      <x:c r="F66" s="43"/>
      <x:c r="G66" s="39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44"/>
      <x:c r="E67" s="44"/>
      <x:c r="F67" s="43"/>
      <x:c r="G67" s="39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44"/>
      <x:c r="E68" s="44"/>
      <x:c r="F68" s="43"/>
      <x:c r="G68" s="39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44"/>
      <x:c r="E69" s="44"/>
      <x:c r="F69" s="43"/>
      <x:c r="G69" s="39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44"/>
      <x:c r="E70" s="44"/>
      <x:c r="F70" s="43"/>
      <x:c r="G70" s="39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44"/>
      <x:c r="E71" s="44"/>
      <x:c r="F71" s="43"/>
      <x:c r="G71" s="39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44"/>
      <x:c r="E72" s="44"/>
      <x:c r="F72" s="43"/>
      <x:c r="G72" s="39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44"/>
      <x:c r="E73" s="44"/>
      <x:c r="F73" s="43"/>
      <x:c r="G73" s="39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44"/>
      <x:c r="E74" s="44"/>
      <x:c r="F74" s="43"/>
      <x:c r="G74" s="39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44"/>
      <x:c r="E75" s="44"/>
      <x:c r="F75" s="43"/>
      <x:c r="G75" s="39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44"/>
      <x:c r="E76" s="44"/>
      <x:c r="F76" s="43"/>
      <x:c r="G76" s="39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44"/>
      <x:c r="E77" s="44"/>
      <x:c r="F77" s="43"/>
      <x:c r="G77" s="39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44"/>
      <x:c r="E78" s="44"/>
      <x:c r="F78" s="43"/>
      <x:c r="G78" s="39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44"/>
      <x:c r="E79" s="44"/>
      <x:c r="F79" s="43"/>
      <x:c r="G79" s="39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44"/>
      <x:c r="E80" s="44"/>
      <x:c r="F80" s="43"/>
      <x:c r="G80" s="39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44"/>
      <x:c r="E81" s="44"/>
      <x:c r="F81" s="43"/>
      <x:c r="G81" s="39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44"/>
      <x:c r="E82" s="44"/>
      <x:c r="F82" s="43"/>
      <x:c r="G82" s="39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44"/>
      <x:c r="E83" s="44"/>
      <x:c r="F83" s="43"/>
      <x:c r="G83" s="39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44"/>
      <x:c r="E84" s="44"/>
      <x:c r="F84" s="43"/>
      <x:c r="G84" s="39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44"/>
      <x:c r="E85" s="44"/>
      <x:c r="F85" s="43"/>
      <x:c r="G85" s="39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44"/>
      <x:c r="E86" s="44"/>
      <x:c r="F86" s="43"/>
      <x:c r="G86" s="39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44"/>
      <x:c r="E87" s="44"/>
      <x:c r="F87" s="43"/>
      <x:c r="G87" s="39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44"/>
      <x:c r="E88" s="44"/>
      <x:c r="F88" s="43"/>
      <x:c r="G88" s="39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44"/>
      <x:c r="E89" s="44"/>
      <x:c r="F89" s="43"/>
      <x:c r="G89" s="39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44"/>
      <x:c r="E90" s="44"/>
      <x:c r="F90" s="43"/>
      <x:c r="G90" s="39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44"/>
      <x:c r="E91" s="44"/>
      <x:c r="F91" s="43"/>
      <x:c r="G91" s="39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44"/>
      <x:c r="E92" s="44"/>
      <x:c r="F92" s="43"/>
      <x:c r="G92" s="39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44"/>
      <x:c r="E93" s="44"/>
      <x:c r="F93" s="43"/>
      <x:c r="G93" s="39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44"/>
      <x:c r="E94" s="44"/>
      <x:c r="F94" s="43"/>
      <x:c r="G94" s="39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44"/>
      <x:c r="E95" s="44"/>
      <x:c r="F95" s="43"/>
      <x:c r="G95" s="39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44"/>
      <x:c r="E96" s="44"/>
      <x:c r="F96" s="43"/>
      <x:c r="G96" s="39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44"/>
      <x:c r="E97" s="44"/>
      <x:c r="F97" s="43"/>
      <x:c r="G97" s="39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44"/>
      <x:c r="E98" s="44"/>
      <x:c r="F98" s="43"/>
      <x:c r="G98" s="39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44"/>
      <x:c r="E99" s="44"/>
      <x:c r="F99" s="43"/>
      <x:c r="G99" s="39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44"/>
      <x:c r="E100" s="44"/>
      <x:c r="F100" s="43"/>
      <x:c r="G100" s="39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44"/>
      <x:c r="E101" s="44"/>
      <x:c r="F101" s="43"/>
      <x:c r="G101" s="39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44"/>
      <x:c r="E102" s="44"/>
      <x:c r="F102" s="43"/>
      <x:c r="G102" s="39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44"/>
      <x:c r="E103" s="44"/>
      <x:c r="F103" s="43"/>
      <x:c r="G103" s="39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44"/>
      <x:c r="E104" s="44"/>
      <x:c r="F104" s="43"/>
      <x:c r="G104" s="39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44"/>
      <x:c r="E105" s="44"/>
      <x:c r="F105" s="43"/>
      <x:c r="G105" s="39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44"/>
      <x:c r="E106" s="44"/>
      <x:c r="F106" s="43"/>
      <x:c r="G106" s="39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44"/>
      <x:c r="E107" s="44"/>
      <x:c r="F107" s="43"/>
      <x:c r="G107" s="39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44"/>
      <x:c r="E108" s="44"/>
      <x:c r="F108" s="43"/>
      <x:c r="G108" s="39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44"/>
      <x:c r="E109" s="44"/>
      <x:c r="F109" s="43"/>
      <x:c r="G109" s="39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44"/>
      <x:c r="E110" s="44"/>
      <x:c r="F110" s="43"/>
      <x:c r="G110" s="39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44"/>
      <x:c r="E111" s="44"/>
      <x:c r="F111" s="43"/>
      <x:c r="G111" s="39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44"/>
      <x:c r="E112" s="44"/>
      <x:c r="F112" s="43"/>
      <x:c r="G112" s="39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44"/>
      <x:c r="E113" s="44"/>
      <x:c r="F113" s="43"/>
      <x:c r="G113" s="39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44"/>
      <x:c r="E114" s="44"/>
      <x:c r="F114" s="43"/>
      <x:c r="G114" s="39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44"/>
      <x:c r="E115" s="44"/>
      <x:c r="F115" s="43"/>
      <x:c r="G115" s="39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44"/>
      <x:c r="E116" s="44"/>
      <x:c r="F116" s="43"/>
      <x:c r="G116" s="39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44"/>
      <x:c r="E117" s="44"/>
      <x:c r="F117" s="43"/>
      <x:c r="G117" s="39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44"/>
      <x:c r="E118" s="44"/>
      <x:c r="F118" s="43"/>
      <x:c r="G118" s="39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44"/>
      <x:c r="E119" s="44"/>
      <x:c r="F119" s="43"/>
      <x:c r="G119" s="39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44"/>
      <x:c r="E120" s="44"/>
      <x:c r="F120" s="43"/>
      <x:c r="G120" s="39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44"/>
      <x:c r="E121" s="44"/>
      <x:c r="F121" s="43"/>
      <x:c r="G121" s="39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44"/>
      <x:c r="E122" s="44"/>
      <x:c r="F122" s="43"/>
      <x:c r="G122" s="39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44"/>
      <x:c r="E123" s="44"/>
      <x:c r="F123" s="43"/>
      <x:c r="G123" s="39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44"/>
      <x:c r="E124" s="44"/>
      <x:c r="F124" s="43"/>
      <x:c r="G124" s="39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44"/>
      <x:c r="E125" s="44"/>
      <x:c r="F125" s="43"/>
      <x:c r="G125" s="39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44"/>
      <x:c r="E126" s="44"/>
      <x:c r="F126" s="43"/>
      <x:c r="G126" s="39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44"/>
      <x:c r="E127" s="44"/>
      <x:c r="F127" s="43"/>
      <x:c r="G127" s="39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44"/>
      <x:c r="E128" s="44"/>
      <x:c r="F128" s="43"/>
      <x:c r="G128" s="39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44"/>
      <x:c r="E129" s="44"/>
      <x:c r="F129" s="43"/>
      <x:c r="G129" s="39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44"/>
      <x:c r="E130" s="44"/>
      <x:c r="F130" s="43"/>
      <x:c r="G130" s="39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44"/>
      <x:c r="E131" s="44"/>
      <x:c r="F131" s="43"/>
      <x:c r="G131" s="39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44"/>
      <x:c r="E132" s="44"/>
      <x:c r="F132" s="43"/>
      <x:c r="G132" s="39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44"/>
      <x:c r="E133" s="44"/>
      <x:c r="F133" s="43"/>
      <x:c r="G133" s="39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44"/>
      <x:c r="E134" s="44"/>
      <x:c r="F134" s="43"/>
      <x:c r="G134" s="39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44"/>
      <x:c r="E135" s="44"/>
      <x:c r="F135" s="43"/>
      <x:c r="G135" s="39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44"/>
      <x:c r="E136" s="44"/>
      <x:c r="F136" s="43"/>
      <x:c r="G136" s="39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44"/>
      <x:c r="E137" s="44"/>
      <x:c r="F137" s="43"/>
      <x:c r="G137" s="39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44"/>
      <x:c r="E138" s="44"/>
      <x:c r="F138" s="43"/>
      <x:c r="G138" s="39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44"/>
      <x:c r="E139" s="44"/>
      <x:c r="F139" s="43"/>
      <x:c r="G139" s="39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44"/>
      <x:c r="E140" s="44"/>
      <x:c r="F140" s="43"/>
      <x:c r="G140" s="39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44"/>
      <x:c r="E141" s="44"/>
      <x:c r="F141" s="43"/>
      <x:c r="G141" s="39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44"/>
      <x:c r="E142" s="44"/>
      <x:c r="F142" s="43"/>
      <x:c r="G142" s="39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44"/>
      <x:c r="E143" s="44"/>
      <x:c r="F143" s="43"/>
      <x:c r="G143" s="39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44"/>
      <x:c r="E144" s="44"/>
      <x:c r="F144" s="43"/>
      <x:c r="G144" s="39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44"/>
      <x:c r="E145" s="44"/>
      <x:c r="F145" s="43"/>
      <x:c r="G145" s="39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44"/>
      <x:c r="E146" s="44"/>
      <x:c r="F146" s="43"/>
      <x:c r="G146" s="39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44"/>
      <x:c r="E147" s="44"/>
      <x:c r="F147" s="43"/>
      <x:c r="G147" s="39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44"/>
      <x:c r="E148" s="44"/>
      <x:c r="F148" s="43"/>
      <x:c r="G148" s="39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44"/>
      <x:c r="E149" s="44"/>
      <x:c r="F149" s="43"/>
      <x:c r="G149" s="39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44"/>
      <x:c r="E150" s="44"/>
      <x:c r="F150" s="43"/>
      <x:c r="G150" s="39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44"/>
      <x:c r="E151" s="44"/>
      <x:c r="F151" s="43"/>
      <x:c r="G151" s="39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44"/>
      <x:c r="E152" s="44"/>
      <x:c r="F152" s="43"/>
      <x:c r="G152" s="39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44"/>
      <x:c r="E153" s="44"/>
      <x:c r="F153" s="43"/>
      <x:c r="G153" s="39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44"/>
      <x:c r="E154" s="44"/>
      <x:c r="F154" s="43"/>
      <x:c r="G154" s="39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44"/>
      <x:c r="E155" s="44"/>
      <x:c r="F155" s="43"/>
      <x:c r="G155" s="39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44"/>
      <x:c r="E156" s="44"/>
      <x:c r="F156" s="43"/>
      <x:c r="G156" s="39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44"/>
      <x:c r="E157" s="44"/>
      <x:c r="F157" s="43"/>
      <x:c r="G157" s="39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44"/>
      <x:c r="E158" s="44"/>
      <x:c r="F158" s="43"/>
      <x:c r="G158" s="39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44"/>
      <x:c r="E159" s="44"/>
      <x:c r="F159" s="43"/>
      <x:c r="G159" s="39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44"/>
      <x:c r="E160" s="44"/>
      <x:c r="F160" s="43"/>
      <x:c r="G160" s="39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44"/>
      <x:c r="E161" s="44"/>
      <x:c r="F161" s="43"/>
      <x:c r="G161" s="39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44"/>
      <x:c r="E162" s="44"/>
      <x:c r="F162" s="43"/>
      <x:c r="G162" s="39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44"/>
      <x:c r="E163" s="44"/>
      <x:c r="F163" s="43"/>
      <x:c r="G163" s="39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44"/>
      <x:c r="E164" s="44"/>
      <x:c r="F164" s="43"/>
      <x:c r="G164" s="39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44"/>
      <x:c r="E165" s="44"/>
      <x:c r="F165" s="43"/>
      <x:c r="G165" s="39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44"/>
      <x:c r="E166" s="44"/>
      <x:c r="F166" s="43"/>
      <x:c r="G166" s="39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44"/>
      <x:c r="E167" s="44"/>
      <x:c r="F167" s="43"/>
      <x:c r="G167" s="39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44"/>
      <x:c r="E168" s="44"/>
      <x:c r="F168" s="43"/>
      <x:c r="G168" s="39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44"/>
      <x:c r="E169" s="44"/>
      <x:c r="F169" s="43"/>
      <x:c r="G169" s="39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44"/>
      <x:c r="E170" s="44"/>
      <x:c r="F170" s="43"/>
      <x:c r="G170" s="39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44"/>
      <x:c r="E171" s="44"/>
      <x:c r="F171" s="43"/>
      <x:c r="G171" s="39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44"/>
      <x:c r="E172" s="44"/>
      <x:c r="F172" s="43"/>
      <x:c r="G172" s="39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44"/>
      <x:c r="E173" s="44"/>
      <x:c r="F173" s="43"/>
      <x:c r="G173" s="39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44"/>
      <x:c r="E174" s="44"/>
      <x:c r="F174" s="43"/>
      <x:c r="G174" s="39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44"/>
      <x:c r="E175" s="44"/>
      <x:c r="F175" s="43"/>
      <x:c r="G175" s="39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44"/>
      <x:c r="E176" s="44"/>
      <x:c r="F176" s="43"/>
      <x:c r="G176" s="39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44"/>
      <x:c r="E177" s="44"/>
      <x:c r="F177" s="43"/>
      <x:c r="G177" s="39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44"/>
      <x:c r="E178" s="44"/>
      <x:c r="F178" s="43"/>
      <x:c r="G178" s="39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44"/>
      <x:c r="E179" s="44"/>
      <x:c r="F179" s="43"/>
      <x:c r="G179" s="39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44"/>
      <x:c r="E180" s="44"/>
      <x:c r="F180" s="43"/>
      <x:c r="G180" s="39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44"/>
      <x:c r="E181" s="44"/>
      <x:c r="F181" s="43"/>
      <x:c r="G181" s="39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44"/>
      <x:c r="E182" s="44"/>
      <x:c r="F182" s="43"/>
      <x:c r="G182" s="39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44"/>
      <x:c r="E183" s="44"/>
      <x:c r="F183" s="43"/>
      <x:c r="G183" s="39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44"/>
      <x:c r="E184" s="44"/>
      <x:c r="F184" s="43"/>
      <x:c r="G184" s="39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44"/>
      <x:c r="E185" s="44"/>
      <x:c r="F185" s="43"/>
      <x:c r="G185" s="39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44"/>
      <x:c r="E186" s="44"/>
      <x:c r="F186" s="43"/>
      <x:c r="G186" s="39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44"/>
      <x:c r="E187" s="44"/>
      <x:c r="F187" s="43"/>
      <x:c r="G187" s="39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44"/>
      <x:c r="E188" s="44"/>
      <x:c r="F188" s="43"/>
      <x:c r="G188" s="39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44"/>
      <x:c r="E189" s="44"/>
      <x:c r="F189" s="43"/>
      <x:c r="G189" s="39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44"/>
      <x:c r="E190" s="44"/>
      <x:c r="F190" s="43"/>
      <x:c r="G190" s="39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44"/>
      <x:c r="E191" s="44"/>
      <x:c r="F191" s="43"/>
      <x:c r="G191" s="39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44"/>
      <x:c r="E192" s="44"/>
      <x:c r="F192" s="43"/>
      <x:c r="G192" s="39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44"/>
      <x:c r="E193" s="44"/>
      <x:c r="F193" s="43"/>
      <x:c r="G193" s="39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44"/>
      <x:c r="E194" s="44"/>
      <x:c r="F194" s="43"/>
      <x:c r="G194" s="39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44"/>
      <x:c r="E195" s="44"/>
      <x:c r="F195" s="43"/>
      <x:c r="G195" s="39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44"/>
      <x:c r="E196" s="44"/>
      <x:c r="F196" s="43"/>
      <x:c r="G196" s="39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44"/>
      <x:c r="E197" s="44"/>
      <x:c r="F197" s="43"/>
      <x:c r="G197" s="39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44"/>
      <x:c r="E198" s="44"/>
      <x:c r="F198" s="43"/>
      <x:c r="G198" s="39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44"/>
      <x:c r="E199" s="44"/>
      <x:c r="F199" s="43"/>
      <x:c r="G199" s="39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44"/>
      <x:c r="E200" s="44"/>
      <x:c r="F200" s="43"/>
      <x:c r="G200" s="39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44"/>
      <x:c r="E201" s="44"/>
      <x:c r="F201" s="43"/>
      <x:c r="G201" s="39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44"/>
      <x:c r="E202" s="44"/>
      <x:c r="F202" s="43"/>
      <x:c r="G202" s="39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44"/>
      <x:c r="E203" s="44"/>
      <x:c r="F203" s="43"/>
      <x:c r="G203" s="39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44"/>
      <x:c r="E204" s="44"/>
      <x:c r="F204" s="43"/>
      <x:c r="G204" s="39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44"/>
      <x:c r="E205" s="44"/>
      <x:c r="F205" s="43"/>
      <x:c r="G205" s="39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44"/>
      <x:c r="E206" s="44"/>
      <x:c r="F206" s="43"/>
      <x:c r="G206" s="39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44"/>
      <x:c r="E207" s="44"/>
      <x:c r="F207" s="43"/>
      <x:c r="G207" s="39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44"/>
      <x:c r="E208" s="44"/>
      <x:c r="F208" s="43"/>
      <x:c r="G208" s="39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44"/>
      <x:c r="E209" s="44"/>
      <x:c r="F209" s="43"/>
      <x:c r="G209" s="39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44"/>
      <x:c r="E210" s="44"/>
      <x:c r="F210" s="43"/>
      <x:c r="G210" s="39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44"/>
      <x:c r="E211" s="44"/>
      <x:c r="F211" s="43"/>
      <x:c r="G211" s="39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44"/>
      <x:c r="E212" s="44"/>
      <x:c r="F212" s="43"/>
      <x:c r="G212" s="39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44"/>
      <x:c r="E213" s="44"/>
      <x:c r="F213" s="43"/>
      <x:c r="G213" s="39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44"/>
      <x:c r="E214" s="44"/>
      <x:c r="F214" s="43"/>
      <x:c r="G214" s="39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44"/>
      <x:c r="E215" s="44"/>
      <x:c r="F215" s="43"/>
      <x:c r="G215" s="39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44"/>
      <x:c r="E216" s="44"/>
      <x:c r="F216" s="43"/>
      <x:c r="G216" s="39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44"/>
      <x:c r="E217" s="44"/>
      <x:c r="F217" s="43"/>
      <x:c r="G217" s="39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44"/>
      <x:c r="E218" s="44"/>
      <x:c r="F218" s="43"/>
      <x:c r="G218" s="39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44"/>
      <x:c r="E219" s="44"/>
      <x:c r="F219" s="43"/>
      <x:c r="G219" s="39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44"/>
      <x:c r="E220" s="44"/>
      <x:c r="F220" s="43"/>
      <x:c r="G220" s="39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44"/>
      <x:c r="E221" s="44"/>
      <x:c r="F221" s="43"/>
      <x:c r="G221" s="39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44"/>
      <x:c r="E222" s="44"/>
      <x:c r="F222" s="43"/>
      <x:c r="G222" s="39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44"/>
      <x:c r="E223" s="44"/>
      <x:c r="F223" s="43"/>
      <x:c r="G223" s="39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44"/>
      <x:c r="E224" s="44"/>
      <x:c r="F224" s="43"/>
      <x:c r="G224" s="39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44"/>
      <x:c r="E225" s="44"/>
      <x:c r="F225" s="43"/>
      <x:c r="G225" s="39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44"/>
      <x:c r="E226" s="44"/>
      <x:c r="F226" s="43"/>
      <x:c r="G226" s="39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44"/>
      <x:c r="E227" s="44"/>
      <x:c r="F227" s="43"/>
      <x:c r="G227" s="39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44"/>
      <x:c r="E228" s="44"/>
      <x:c r="F228" s="43"/>
      <x:c r="G228" s="39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44"/>
      <x:c r="E229" s="44"/>
      <x:c r="F229" s="43"/>
      <x:c r="G229" s="39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44"/>
      <x:c r="E230" s="44"/>
      <x:c r="F230" s="43"/>
      <x:c r="G230" s="39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44"/>
      <x:c r="E231" s="44"/>
      <x:c r="F231" s="43"/>
      <x:c r="G231" s="39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44"/>
      <x:c r="E232" s="44"/>
      <x:c r="F232" s="43"/>
      <x:c r="G232" s="39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44"/>
      <x:c r="E233" s="44"/>
      <x:c r="F233" s="43"/>
      <x:c r="G233" s="39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44"/>
      <x:c r="E234" s="44"/>
      <x:c r="F234" s="43"/>
      <x:c r="G234" s="39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44"/>
      <x:c r="E235" s="44"/>
      <x:c r="F235" s="43"/>
      <x:c r="G235" s="39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44"/>
      <x:c r="E236" s="44"/>
      <x:c r="F236" s="43"/>
      <x:c r="G236" s="39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44"/>
      <x:c r="E237" s="44"/>
      <x:c r="F237" s="43"/>
      <x:c r="G237" s="39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44"/>
      <x:c r="E238" s="44"/>
      <x:c r="F238" s="43"/>
      <x:c r="G238" s="39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44"/>
      <x:c r="E239" s="44"/>
      <x:c r="F239" s="43"/>
      <x:c r="G239" s="39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44"/>
      <x:c r="E240" s="44"/>
      <x:c r="F240" s="43"/>
      <x:c r="G240" s="39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44"/>
      <x:c r="E241" s="44"/>
      <x:c r="F241" s="43"/>
      <x:c r="G241" s="39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44"/>
      <x:c r="E242" s="44"/>
      <x:c r="F242" s="43"/>
      <x:c r="G242" s="39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44"/>
      <x:c r="E243" s="44"/>
      <x:c r="F243" s="43"/>
      <x:c r="G243" s="39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44"/>
      <x:c r="E244" s="44"/>
      <x:c r="F244" s="43"/>
      <x:c r="G244" s="39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44"/>
      <x:c r="E245" s="44"/>
      <x:c r="F245" s="43"/>
      <x:c r="G245" s="39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44"/>
      <x:c r="E246" s="44"/>
      <x:c r="F246" s="43"/>
      <x:c r="G246" s="39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44"/>
      <x:c r="E247" s="44"/>
      <x:c r="F247" s="43"/>
      <x:c r="G247" s="39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44"/>
      <x:c r="E248" s="44"/>
      <x:c r="F248" s="43"/>
      <x:c r="G248" s="39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44"/>
      <x:c r="E249" s="44"/>
      <x:c r="F249" s="43"/>
      <x:c r="G249" s="39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44"/>
      <x:c r="E250" s="44"/>
      <x:c r="F250" s="43"/>
      <x:c r="G250" s="39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44"/>
      <x:c r="E251" s="44"/>
      <x:c r="F251" s="43"/>
      <x:c r="G251" s="39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44"/>
      <x:c r="E252" s="44"/>
      <x:c r="F252" s="43"/>
      <x:c r="G252" s="39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44"/>
      <x:c r="E253" s="44"/>
      <x:c r="F253" s="43"/>
      <x:c r="G253" s="39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44"/>
      <x:c r="E254" s="44"/>
      <x:c r="F254" s="43"/>
      <x:c r="G254" s="39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44"/>
      <x:c r="E255" s="44"/>
      <x:c r="F255" s="43"/>
      <x:c r="G255" s="39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44"/>
      <x:c r="E256" s="44"/>
      <x:c r="F256" s="43"/>
      <x:c r="G256" s="39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44"/>
      <x:c r="E257" s="44"/>
      <x:c r="F257" s="43"/>
      <x:c r="G257" s="39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44"/>
      <x:c r="E258" s="44"/>
      <x:c r="F258" s="43"/>
      <x:c r="G258" s="39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44"/>
      <x:c r="E259" s="44"/>
      <x:c r="F259" s="43"/>
      <x:c r="G259" s="39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44"/>
      <x:c r="E260" s="44"/>
      <x:c r="F260" s="43"/>
      <x:c r="G260" s="39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44"/>
      <x:c r="E261" s="44"/>
      <x:c r="F261" s="43"/>
      <x:c r="G261" s="39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44"/>
      <x:c r="E262" s="44"/>
      <x:c r="F262" s="43"/>
      <x:c r="G262" s="39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44"/>
      <x:c r="E263" s="44"/>
      <x:c r="F263" s="43"/>
      <x:c r="G263" s="39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44"/>
      <x:c r="E264" s="44"/>
      <x:c r="F264" s="43"/>
      <x:c r="G264" s="39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44"/>
      <x:c r="E265" s="44"/>
      <x:c r="F265" s="43"/>
      <x:c r="G265" s="39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44"/>
      <x:c r="E266" s="44"/>
      <x:c r="F266" s="43"/>
      <x:c r="G266" s="39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44"/>
      <x:c r="E267" s="44"/>
      <x:c r="F267" s="43"/>
      <x:c r="G267" s="39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44"/>
      <x:c r="E268" s="44"/>
      <x:c r="F268" s="43"/>
      <x:c r="G268" s="39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44"/>
      <x:c r="E269" s="44"/>
      <x:c r="F269" s="43"/>
      <x:c r="G269" s="39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44"/>
      <x:c r="E270" s="44"/>
      <x:c r="F270" s="43"/>
      <x:c r="G270" s="39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44"/>
      <x:c r="E271" s="44"/>
      <x:c r="F271" s="43"/>
      <x:c r="G271" s="39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44"/>
      <x:c r="E272" s="44"/>
      <x:c r="F272" s="43"/>
      <x:c r="G272" s="39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44"/>
      <x:c r="E273" s="44"/>
      <x:c r="F273" s="43"/>
      <x:c r="G273" s="39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44"/>
      <x:c r="E274" s="44"/>
      <x:c r="F274" s="43"/>
      <x:c r="G274" s="39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44"/>
      <x:c r="E275" s="44"/>
      <x:c r="F275" s="43"/>
      <x:c r="G275" s="39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44"/>
      <x:c r="E276" s="44"/>
      <x:c r="F276" s="43"/>
      <x:c r="G276" s="39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44"/>
      <x:c r="E277" s="44"/>
      <x:c r="F277" s="43"/>
      <x:c r="G277" s="39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44"/>
      <x:c r="E278" s="44"/>
      <x:c r="F278" s="43"/>
      <x:c r="G278" s="39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44"/>
      <x:c r="E279" s="44"/>
      <x:c r="F279" s="43"/>
      <x:c r="G279" s="39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44"/>
      <x:c r="E280" s="44"/>
      <x:c r="F280" s="43"/>
      <x:c r="G280" s="39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44"/>
      <x:c r="E281" s="44"/>
      <x:c r="F281" s="43"/>
      <x:c r="G281" s="39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44"/>
      <x:c r="E282" s="44"/>
      <x:c r="F282" s="43"/>
      <x:c r="G282" s="39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44"/>
      <x:c r="E283" s="44"/>
      <x:c r="F283" s="43"/>
      <x:c r="G283" s="39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44"/>
      <x:c r="E284" s="44"/>
      <x:c r="F284" s="43"/>
      <x:c r="G284" s="39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44"/>
      <x:c r="E285" s="44"/>
      <x:c r="F285" s="43"/>
      <x:c r="G285" s="39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44"/>
      <x:c r="E286" s="44"/>
      <x:c r="F286" s="43"/>
      <x:c r="G286" s="39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44"/>
      <x:c r="E287" s="44"/>
      <x:c r="F287" s="43"/>
      <x:c r="G287" s="39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44"/>
      <x:c r="E288" s="44"/>
      <x:c r="F288" s="43"/>
      <x:c r="G288" s="39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44"/>
      <x:c r="E289" s="44"/>
      <x:c r="F289" s="43"/>
      <x:c r="G289" s="39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44"/>
      <x:c r="E290" s="44"/>
      <x:c r="F290" s="43"/>
      <x:c r="G290" s="39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44"/>
      <x:c r="E291" s="44"/>
      <x:c r="F291" s="43"/>
      <x:c r="G291" s="39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44"/>
      <x:c r="E292" s="44"/>
      <x:c r="F292" s="43"/>
      <x:c r="G292" s="39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44"/>
      <x:c r="E293" s="44"/>
      <x:c r="F293" s="43"/>
      <x:c r="G293" s="39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44"/>
      <x:c r="E294" s="44"/>
      <x:c r="F294" s="43"/>
      <x:c r="G294" s="39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44"/>
      <x:c r="E295" s="44"/>
      <x:c r="F295" s="43"/>
      <x:c r="G295" s="39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44"/>
      <x:c r="E296" s="44"/>
      <x:c r="F296" s="43"/>
      <x:c r="G296" s="39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44"/>
      <x:c r="E297" s="44"/>
      <x:c r="F297" s="43"/>
      <x:c r="G297" s="39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44"/>
      <x:c r="E298" s="44"/>
      <x:c r="F298" s="43"/>
      <x:c r="G298" s="39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44"/>
      <x:c r="E299" s="44"/>
      <x:c r="F299" s="43"/>
      <x:c r="G299" s="39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44"/>
      <x:c r="E300" s="44"/>
      <x:c r="F300" s="43"/>
      <x:c r="G300" s="39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44"/>
      <x:c r="E301" s="44"/>
      <x:c r="F301" s="43"/>
      <x:c r="G301" s="39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44"/>
      <x:c r="E302" s="44"/>
      <x:c r="F302" s="43"/>
      <x:c r="G302" s="39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44"/>
      <x:c r="E303" s="44"/>
      <x:c r="F303" s="43"/>
      <x:c r="G303" s="39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44"/>
      <x:c r="E304" s="44"/>
      <x:c r="F304" s="43"/>
      <x:c r="G304" s="39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44"/>
      <x:c r="E305" s="44"/>
      <x:c r="F305" s="43"/>
      <x:c r="G305" s="39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44"/>
      <x:c r="E306" s="44"/>
      <x:c r="F306" s="43"/>
      <x:c r="G306" s="39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44"/>
      <x:c r="E307" s="44"/>
      <x:c r="F307" s="43"/>
      <x:c r="G307" s="39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44"/>
      <x:c r="E308" s="44"/>
      <x:c r="F308" s="43"/>
      <x:c r="G308" s="39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44"/>
      <x:c r="E309" s="44"/>
      <x:c r="F309" s="43"/>
      <x:c r="G309" s="39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44"/>
      <x:c r="E310" s="44"/>
      <x:c r="F310" s="43"/>
      <x:c r="G310" s="39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44"/>
      <x:c r="E311" s="44"/>
      <x:c r="F311" s="43"/>
      <x:c r="G311" s="39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44"/>
      <x:c r="E312" s="44"/>
      <x:c r="F312" s="43"/>
      <x:c r="G312" s="39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44"/>
      <x:c r="E313" s="44"/>
      <x:c r="F313" s="43"/>
      <x:c r="G313" s="39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44"/>
      <x:c r="E314" s="44"/>
      <x:c r="F314" s="43"/>
      <x:c r="G314" s="39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44"/>
      <x:c r="E315" s="44"/>
      <x:c r="F315" s="43"/>
      <x:c r="G315" s="39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44"/>
      <x:c r="E316" s="44"/>
      <x:c r="F316" s="43"/>
      <x:c r="G316" s="39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44"/>
      <x:c r="E317" s="44"/>
      <x:c r="F317" s="43"/>
      <x:c r="G317" s="39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44"/>
      <x:c r="E318" s="44"/>
      <x:c r="F318" s="43"/>
      <x:c r="G318" s="39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44"/>
      <x:c r="E319" s="44"/>
      <x:c r="F319" s="43"/>
      <x:c r="G319" s="39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44"/>
      <x:c r="E320" s="44"/>
      <x:c r="F320" s="43"/>
      <x:c r="G320" s="39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44"/>
      <x:c r="E321" s="44"/>
      <x:c r="F321" s="43"/>
      <x:c r="G321" s="39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44"/>
      <x:c r="E322" s="44"/>
      <x:c r="F322" s="43"/>
      <x:c r="G322" s="39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44"/>
      <x:c r="E323" s="44"/>
      <x:c r="F323" s="43"/>
      <x:c r="G323" s="39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44"/>
      <x:c r="E324" s="44"/>
      <x:c r="F324" s="43"/>
      <x:c r="G324" s="39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44"/>
      <x:c r="E325" s="44"/>
      <x:c r="F325" s="43"/>
      <x:c r="G325" s="39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44"/>
      <x:c r="E326" s="44"/>
      <x:c r="F326" s="43"/>
      <x:c r="G326" s="39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44"/>
      <x:c r="E327" s="44"/>
      <x:c r="F327" s="43"/>
      <x:c r="G327" s="39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44"/>
      <x:c r="E328" s="44"/>
      <x:c r="F328" s="43"/>
      <x:c r="G328" s="39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44"/>
      <x:c r="E329" s="44"/>
      <x:c r="F329" s="43"/>
      <x:c r="G329" s="39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44"/>
      <x:c r="E330" s="44"/>
      <x:c r="F330" s="43"/>
      <x:c r="G330" s="39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44"/>
      <x:c r="E331" s="44"/>
      <x:c r="F331" s="43"/>
      <x:c r="G331" s="39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44"/>
      <x:c r="E332" s="44"/>
      <x:c r="F332" s="43"/>
      <x:c r="G332" s="39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44"/>
      <x:c r="E333" s="44"/>
      <x:c r="F333" s="43"/>
      <x:c r="G333" s="39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44"/>
      <x:c r="E334" s="44"/>
      <x:c r="F334" s="43"/>
      <x:c r="G334" s="39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44"/>
      <x:c r="E335" s="44"/>
      <x:c r="F335" s="43"/>
      <x:c r="G335" s="39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44"/>
      <x:c r="E336" s="44"/>
      <x:c r="F336" s="43"/>
      <x:c r="G336" s="39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44"/>
      <x:c r="E337" s="44"/>
      <x:c r="F337" s="43"/>
      <x:c r="G337" s="39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44"/>
      <x:c r="E338" s="44"/>
      <x:c r="F338" s="43"/>
      <x:c r="G338" s="39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44"/>
      <x:c r="E339" s="44"/>
      <x:c r="F339" s="43"/>
      <x:c r="G339" s="39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44"/>
      <x:c r="E340" s="44"/>
      <x:c r="F340" s="43"/>
      <x:c r="G340" s="39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44"/>
      <x:c r="E341" s="44"/>
      <x:c r="F341" s="43"/>
      <x:c r="G341" s="39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44"/>
      <x:c r="E342" s="44"/>
      <x:c r="F342" s="43"/>
      <x:c r="G342" s="39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44"/>
      <x:c r="E343" s="44"/>
      <x:c r="F343" s="43"/>
      <x:c r="G343" s="39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44"/>
      <x:c r="E344" s="44"/>
      <x:c r="F344" s="43"/>
      <x:c r="G344" s="39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44"/>
      <x:c r="E345" s="44"/>
      <x:c r="F345" s="43"/>
      <x:c r="G345" s="39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44"/>
      <x:c r="E346" s="44"/>
      <x:c r="F346" s="43"/>
      <x:c r="G346" s="39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44"/>
      <x:c r="E347" s="44"/>
      <x:c r="F347" s="43"/>
      <x:c r="G347" s="39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44"/>
      <x:c r="E348" s="44"/>
      <x:c r="F348" s="43"/>
      <x:c r="G348" s="39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44"/>
      <x:c r="E349" s="44"/>
      <x:c r="F349" s="43"/>
      <x:c r="G349" s="39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44"/>
      <x:c r="E350" s="44"/>
      <x:c r="F350" s="43"/>
      <x:c r="G350" s="39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44"/>
      <x:c r="E351" s="44"/>
      <x:c r="F351" s="43"/>
      <x:c r="G351" s="39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44"/>
      <x:c r="E352" s="44"/>
      <x:c r="F352" s="43"/>
      <x:c r="G352" s="39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44"/>
      <x:c r="E353" s="44"/>
      <x:c r="F353" s="43"/>
      <x:c r="G353" s="39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44"/>
      <x:c r="E354" s="44"/>
      <x:c r="F354" s="43"/>
      <x:c r="G354" s="39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44"/>
      <x:c r="E355" s="44"/>
      <x:c r="F355" s="43"/>
      <x:c r="G355" s="39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44"/>
      <x:c r="E356" s="44"/>
      <x:c r="F356" s="43"/>
      <x:c r="G356" s="39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44"/>
      <x:c r="E357" s="44"/>
      <x:c r="F357" s="43"/>
      <x:c r="G357" s="39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44"/>
      <x:c r="E358" s="44"/>
      <x:c r="F358" s="43"/>
      <x:c r="G358" s="39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44"/>
      <x:c r="E359" s="44"/>
      <x:c r="F359" s="43"/>
      <x:c r="G359" s="39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44"/>
      <x:c r="E360" s="44"/>
      <x:c r="F360" s="43"/>
      <x:c r="G360" s="39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44"/>
      <x:c r="E361" s="44"/>
      <x:c r="F361" s="43"/>
      <x:c r="G361" s="39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44"/>
      <x:c r="E362" s="44"/>
      <x:c r="F362" s="43"/>
      <x:c r="G362" s="39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44"/>
      <x:c r="E363" s="44"/>
      <x:c r="F363" s="43"/>
      <x:c r="G363" s="39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44"/>
      <x:c r="E364" s="44"/>
      <x:c r="F364" s="43"/>
      <x:c r="G364" s="39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44"/>
      <x:c r="E365" s="44"/>
      <x:c r="F365" s="43"/>
      <x:c r="G365" s="39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44"/>
      <x:c r="E366" s="44"/>
      <x:c r="F366" s="43"/>
      <x:c r="G366" s="39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44"/>
      <x:c r="E367" s="44"/>
      <x:c r="F367" s="43"/>
      <x:c r="G367" s="39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44"/>
      <x:c r="E368" s="44"/>
      <x:c r="F368" s="43"/>
      <x:c r="G368" s="39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44"/>
      <x:c r="E369" s="44"/>
      <x:c r="F369" s="43"/>
      <x:c r="G369" s="39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44"/>
      <x:c r="E370" s="44"/>
      <x:c r="F370" s="43"/>
      <x:c r="G370" s="39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44"/>
      <x:c r="E371" s="44"/>
      <x:c r="F371" s="43"/>
      <x:c r="G371" s="39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44"/>
      <x:c r="E372" s="44"/>
      <x:c r="F372" s="43"/>
      <x:c r="G372" s="39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44"/>
      <x:c r="E373" s="44"/>
      <x:c r="F373" s="43"/>
      <x:c r="G373" s="39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44"/>
      <x:c r="E374" s="44"/>
      <x:c r="F374" s="43"/>
      <x:c r="G374" s="39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44"/>
      <x:c r="E375" s="44"/>
      <x:c r="F375" s="43"/>
      <x:c r="G375" s="39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44"/>
      <x:c r="E376" s="44"/>
      <x:c r="F376" s="43"/>
      <x:c r="G376" s="39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44"/>
      <x:c r="E377" s="44"/>
      <x:c r="F377" s="43"/>
      <x:c r="G377" s="39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44"/>
      <x:c r="E378" s="44"/>
      <x:c r="F378" s="43"/>
      <x:c r="G378" s="39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44"/>
      <x:c r="E379" s="44"/>
      <x:c r="F379" s="43"/>
      <x:c r="G379" s="39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44"/>
      <x:c r="E380" s="44"/>
      <x:c r="F380" s="43"/>
      <x:c r="G380" s="39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44"/>
      <x:c r="E381" s="44"/>
      <x:c r="F381" s="43"/>
      <x:c r="G381" s="39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44"/>
      <x:c r="E382" s="44"/>
      <x:c r="F382" s="43"/>
      <x:c r="G382" s="39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44"/>
      <x:c r="E383" s="44"/>
      <x:c r="F383" s="43"/>
      <x:c r="G383" s="39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44"/>
      <x:c r="E384" s="44"/>
      <x:c r="F384" s="43"/>
      <x:c r="G384" s="39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44"/>
      <x:c r="E385" s="44"/>
      <x:c r="F385" s="43"/>
      <x:c r="G385" s="39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44"/>
      <x:c r="E386" s="44"/>
      <x:c r="F386" s="43"/>
      <x:c r="G386" s="39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44"/>
      <x:c r="E387" s="44"/>
      <x:c r="F387" s="43"/>
      <x:c r="G387" s="39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44"/>
      <x:c r="E388" s="44"/>
      <x:c r="F388" s="43"/>
      <x:c r="G388" s="39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44"/>
      <x:c r="E389" s="44"/>
      <x:c r="F389" s="43"/>
      <x:c r="G389" s="39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44"/>
      <x:c r="E390" s="44"/>
      <x:c r="F390" s="43"/>
      <x:c r="G390" s="39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44"/>
      <x:c r="E391" s="44"/>
      <x:c r="F391" s="43"/>
      <x:c r="G391" s="39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44"/>
      <x:c r="E392" s="44"/>
      <x:c r="F392" s="43"/>
      <x:c r="G392" s="39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44"/>
      <x:c r="E393" s="44"/>
      <x:c r="F393" s="43"/>
      <x:c r="G393" s="39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44"/>
      <x:c r="E394" s="44"/>
      <x:c r="F394" s="43"/>
      <x:c r="G394" s="39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44"/>
      <x:c r="E395" s="44"/>
      <x:c r="F395" s="43"/>
      <x:c r="G395" s="39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44"/>
      <x:c r="E396" s="44"/>
      <x:c r="F396" s="43"/>
      <x:c r="G396" s="39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44"/>
      <x:c r="E397" s="44"/>
      <x:c r="F397" s="43"/>
      <x:c r="G397" s="39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44"/>
      <x:c r="E398" s="44"/>
      <x:c r="F398" s="43"/>
      <x:c r="G398" s="39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44"/>
      <x:c r="E399" s="44"/>
      <x:c r="F399" s="43"/>
      <x:c r="G399" s="39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44"/>
      <x:c r="E400" s="44"/>
      <x:c r="F400" s="43"/>
      <x:c r="G400" s="39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44"/>
      <x:c r="E401" s="44"/>
      <x:c r="F401" s="43"/>
      <x:c r="G401" s="39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44"/>
      <x:c r="E402" s="44"/>
      <x:c r="F402" s="43"/>
      <x:c r="G402" s="39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44"/>
      <x:c r="E403" s="44"/>
      <x:c r="F403" s="43"/>
      <x:c r="G403" s="39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44"/>
      <x:c r="E404" s="44"/>
      <x:c r="F404" s="43"/>
      <x:c r="G404" s="39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44"/>
      <x:c r="E405" s="44"/>
      <x:c r="F405" s="43"/>
      <x:c r="G405" s="39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44"/>
      <x:c r="E406" s="44"/>
      <x:c r="F406" s="43"/>
      <x:c r="G406" s="39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44"/>
      <x:c r="E407" s="44"/>
      <x:c r="F407" s="43"/>
      <x:c r="G407" s="39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44"/>
      <x:c r="E408" s="44"/>
      <x:c r="F408" s="43"/>
      <x:c r="G408" s="39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44"/>
      <x:c r="E409" s="44"/>
      <x:c r="F409" s="43"/>
      <x:c r="G409" s="39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44"/>
      <x:c r="E410" s="44"/>
      <x:c r="F410" s="43"/>
      <x:c r="G410" s="39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44"/>
      <x:c r="E411" s="44"/>
      <x:c r="F411" s="43"/>
      <x:c r="G411" s="39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44"/>
      <x:c r="E412" s="44"/>
      <x:c r="F412" s="43"/>
      <x:c r="G412" s="39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44"/>
      <x:c r="E413" s="44"/>
      <x:c r="F413" s="43"/>
      <x:c r="G413" s="39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44"/>
      <x:c r="E414" s="44"/>
      <x:c r="F414" s="43"/>
      <x:c r="G414" s="39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44"/>
      <x:c r="E415" s="44"/>
      <x:c r="F415" s="43"/>
      <x:c r="G415" s="39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44"/>
      <x:c r="E416" s="44"/>
      <x:c r="F416" s="43"/>
      <x:c r="G416" s="39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44"/>
      <x:c r="E417" s="44"/>
      <x:c r="F417" s="43"/>
      <x:c r="G417" s="39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44"/>
      <x:c r="E418" s="44"/>
      <x:c r="F418" s="43"/>
      <x:c r="G418" s="39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44"/>
      <x:c r="E419" s="44"/>
      <x:c r="F419" s="43"/>
      <x:c r="G419" s="39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44"/>
      <x:c r="E420" s="44"/>
      <x:c r="F420" s="43"/>
      <x:c r="G420" s="39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44"/>
      <x:c r="E421" s="44"/>
      <x:c r="F421" s="43"/>
      <x:c r="G421" s="39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44"/>
      <x:c r="E422" s="44"/>
      <x:c r="F422" s="43"/>
      <x:c r="G422" s="39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44"/>
      <x:c r="E423" s="44"/>
      <x:c r="F423" s="43"/>
      <x:c r="G423" s="39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44"/>
      <x:c r="E424" s="44"/>
      <x:c r="F424" s="43"/>
      <x:c r="G424" s="39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44"/>
      <x:c r="E425" s="44"/>
      <x:c r="F425" s="43"/>
      <x:c r="G425" s="39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44"/>
      <x:c r="E426" s="44"/>
      <x:c r="F426" s="43"/>
      <x:c r="G426" s="39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44"/>
      <x:c r="E427" s="44"/>
      <x:c r="F427" s="43"/>
      <x:c r="G427" s="39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44"/>
      <x:c r="E428" s="44"/>
      <x:c r="F428" s="43"/>
      <x:c r="G428" s="39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44"/>
      <x:c r="E429" s="44"/>
      <x:c r="F429" s="43"/>
      <x:c r="G429" s="39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44"/>
      <x:c r="E430" s="44"/>
      <x:c r="F430" s="43"/>
      <x:c r="G430" s="39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44"/>
      <x:c r="E431" s="44"/>
      <x:c r="F431" s="43"/>
      <x:c r="G431" s="39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44"/>
      <x:c r="E432" s="44"/>
      <x:c r="F432" s="43"/>
      <x:c r="G432" s="39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44"/>
      <x:c r="E433" s="44"/>
      <x:c r="F433" s="43"/>
      <x:c r="G433" s="39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44"/>
      <x:c r="E434" s="44"/>
      <x:c r="F434" s="43"/>
      <x:c r="G434" s="39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44"/>
      <x:c r="E435" s="44"/>
      <x:c r="F435" s="43"/>
      <x:c r="G435" s="39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44"/>
      <x:c r="E436" s="44"/>
      <x:c r="F436" s="43"/>
      <x:c r="G436" s="39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44"/>
      <x:c r="E437" s="44"/>
      <x:c r="F437" s="43"/>
      <x:c r="G437" s="39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44"/>
      <x:c r="E438" s="44"/>
      <x:c r="F438" s="43"/>
      <x:c r="G438" s="39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44"/>
      <x:c r="E439" s="44"/>
      <x:c r="F439" s="43"/>
      <x:c r="G439" s="39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44"/>
      <x:c r="E440" s="44"/>
      <x:c r="F440" s="43"/>
      <x:c r="G440" s="39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44"/>
      <x:c r="E441" s="44"/>
      <x:c r="F441" s="43"/>
      <x:c r="G441" s="39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44"/>
      <x:c r="E442" s="44"/>
      <x:c r="F442" s="43"/>
      <x:c r="G442" s="39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44"/>
      <x:c r="E443" s="44"/>
      <x:c r="F443" s="43"/>
      <x:c r="G443" s="39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44"/>
      <x:c r="E444" s="44"/>
      <x:c r="F444" s="43"/>
      <x:c r="G444" s="39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44"/>
      <x:c r="E445" s="44"/>
      <x:c r="F445" s="43"/>
      <x:c r="G445" s="39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44"/>
      <x:c r="E446" s="44"/>
      <x:c r="F446" s="43"/>
      <x:c r="G446" s="39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44"/>
      <x:c r="E447" s="44"/>
      <x:c r="F447" s="43"/>
      <x:c r="G447" s="39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44"/>
      <x:c r="E448" s="44"/>
      <x:c r="F448" s="43"/>
      <x:c r="G448" s="39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44"/>
      <x:c r="E449" s="44"/>
      <x:c r="F449" s="43"/>
      <x:c r="G449" s="39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44"/>
      <x:c r="E450" s="44"/>
      <x:c r="F450" s="43"/>
      <x:c r="G450" s="39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44"/>
      <x:c r="E451" s="44"/>
      <x:c r="F451" s="43"/>
      <x:c r="G451" s="39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44"/>
      <x:c r="E452" s="44"/>
      <x:c r="F452" s="43"/>
      <x:c r="G452" s="39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44"/>
      <x:c r="E453" s="44"/>
      <x:c r="F453" s="43"/>
      <x:c r="G453" s="39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44"/>
      <x:c r="E454" s="44"/>
      <x:c r="F454" s="43"/>
      <x:c r="G454" s="39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44"/>
      <x:c r="E455" s="44"/>
      <x:c r="F455" s="43"/>
      <x:c r="G455" s="39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44"/>
      <x:c r="E456" s="44"/>
      <x:c r="F456" s="43"/>
      <x:c r="G456" s="39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44"/>
      <x:c r="E457" s="44"/>
      <x:c r="F457" s="43"/>
      <x:c r="G457" s="39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44"/>
      <x:c r="E458" s="44"/>
      <x:c r="F458" s="43"/>
      <x:c r="G458" s="39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44"/>
      <x:c r="E459" s="44"/>
      <x:c r="F459" s="43"/>
      <x:c r="G459" s="39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44"/>
      <x:c r="E460" s="44"/>
      <x:c r="F460" s="43"/>
      <x:c r="G460" s="39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44"/>
      <x:c r="E461" s="44"/>
      <x:c r="F461" s="43"/>
      <x:c r="G461" s="39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44"/>
      <x:c r="E462" s="44"/>
      <x:c r="F462" s="43"/>
      <x:c r="G462" s="39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44"/>
      <x:c r="E463" s="44"/>
      <x:c r="F463" s="43"/>
      <x:c r="G463" s="39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44"/>
      <x:c r="E464" s="44"/>
      <x:c r="F464" s="43"/>
      <x:c r="G464" s="39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44"/>
      <x:c r="E465" s="44"/>
      <x:c r="F465" s="43"/>
      <x:c r="G465" s="39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44"/>
      <x:c r="E466" s="44"/>
      <x:c r="F466" s="43"/>
      <x:c r="G466" s="39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44"/>
      <x:c r="E467" s="44"/>
      <x:c r="F467" s="43"/>
      <x:c r="G467" s="39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44"/>
      <x:c r="E468" s="44"/>
      <x:c r="F468" s="43"/>
      <x:c r="G468" s="39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44"/>
      <x:c r="E469" s="44"/>
      <x:c r="F469" s="43"/>
      <x:c r="G469" s="39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44"/>
      <x:c r="E470" s="44"/>
      <x:c r="F470" s="43"/>
      <x:c r="G470" s="39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44"/>
      <x:c r="E471" s="44"/>
      <x:c r="F471" s="43"/>
      <x:c r="G471" s="39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44"/>
      <x:c r="E472" s="44"/>
      <x:c r="F472" s="43"/>
      <x:c r="G472" s="39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44"/>
      <x:c r="E473" s="44"/>
      <x:c r="F473" s="43"/>
      <x:c r="G473" s="39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44"/>
      <x:c r="E474" s="44"/>
      <x:c r="F474" s="43"/>
      <x:c r="G474" s="39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44"/>
      <x:c r="E475" s="44"/>
      <x:c r="F475" s="43"/>
      <x:c r="G475" s="39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44"/>
      <x:c r="E476" s="44"/>
      <x:c r="F476" s="43"/>
      <x:c r="G476" s="39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44"/>
      <x:c r="E477" s="44"/>
      <x:c r="F477" s="43"/>
      <x:c r="G477" s="39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44"/>
      <x:c r="E478" s="44"/>
      <x:c r="F478" s="43"/>
      <x:c r="G478" s="39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44"/>
      <x:c r="E479" s="44"/>
      <x:c r="F479" s="43"/>
      <x:c r="G479" s="39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44"/>
      <x:c r="E480" s="44"/>
      <x:c r="F480" s="43"/>
      <x:c r="G480" s="39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44"/>
      <x:c r="E481" s="44"/>
      <x:c r="F481" s="43"/>
      <x:c r="G481" s="39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44"/>
      <x:c r="E482" s="44"/>
      <x:c r="F482" s="43"/>
      <x:c r="G482" s="39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44"/>
      <x:c r="E483" s="44"/>
      <x:c r="F483" s="43"/>
      <x:c r="G483" s="39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44"/>
      <x:c r="E484" s="44"/>
      <x:c r="F484" s="43"/>
      <x:c r="G484" s="39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44"/>
      <x:c r="E485" s="44"/>
      <x:c r="F485" s="43"/>
      <x:c r="G485" s="39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44"/>
      <x:c r="E486" s="44"/>
      <x:c r="F486" s="43"/>
      <x:c r="G486" s="39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44"/>
      <x:c r="E487" s="44"/>
      <x:c r="F487" s="43"/>
      <x:c r="G487" s="39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44"/>
      <x:c r="E488" s="44"/>
      <x:c r="F488" s="43"/>
      <x:c r="G488" s="39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44"/>
      <x:c r="E489" s="44"/>
      <x:c r="F489" s="43"/>
      <x:c r="G489" s="39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44"/>
      <x:c r="E490" s="44"/>
      <x:c r="F490" s="43"/>
      <x:c r="G490" s="39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44"/>
      <x:c r="E491" s="44"/>
      <x:c r="F491" s="43"/>
      <x:c r="G491" s="39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44"/>
      <x:c r="E492" s="44"/>
      <x:c r="F492" s="43"/>
      <x:c r="G492" s="39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44"/>
      <x:c r="E493" s="44"/>
      <x:c r="F493" s="43"/>
      <x:c r="G493" s="39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44"/>
      <x:c r="E494" s="44"/>
      <x:c r="F494" s="43"/>
      <x:c r="G494" s="39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44"/>
      <x:c r="E495" s="44"/>
      <x:c r="F495" s="43"/>
      <x:c r="G495" s="39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44"/>
      <x:c r="E496" s="44"/>
      <x:c r="F496" s="43"/>
      <x:c r="G496" s="39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44"/>
      <x:c r="E497" s="44"/>
      <x:c r="F497" s="43"/>
      <x:c r="G497" s="39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44"/>
      <x:c r="E498" s="44"/>
      <x:c r="F498" s="43"/>
      <x:c r="G498" s="39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44"/>
      <x:c r="E499" s="44"/>
      <x:c r="F499" s="43"/>
      <x:c r="G499" s="39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44"/>
      <x:c r="E500" s="44"/>
      <x:c r="F500" s="43"/>
      <x:c r="G500" s="39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23.329999923706055" hidden="0" customWidth="1"/>
    <x:col min="3" max="3" width="13.329999923706055" hidden="0" customWidth="1"/>
    <x:col min="4" max="4" width="28.889999389648438" hidden="0" customWidth="1"/>
  </x:cols>
  <x:sheetData>
    <x:row r="1" ht="27" customHeight="1">
      <x:c r="A1" s="6" t="str">
        <x:v>Mã nhân viên</x:v>
      </x:c>
      <x:c r="B1" s="6" t="str">
        <x:v>Tên nhân viên</x:v>
      </x:c>
      <x:c r="C1" s="6" t="str">
        <x:v>Vai trò</x:v>
      </x:c>
      <x:c r="D1" s="6" t="str">
        <x:v>Email đăng nhập</x:v>
      </x:c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NV-001</x:v>
      </x:c>
      <x:c r="B2" s="39" t="str">
        <x:v>Nguyễn Minh An</x:v>
      </x:c>
      <x:c r="C2" s="39" t="str">
        <x:v>TRƯỞNG PHÒNG</x:v>
      </x:c>
      <x:c r="D2" s="39" t="str">
        <x:v>truong.phong@example.invalid</x:v>
      </x:c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NV-002</x:v>
      </x:c>
      <x:c r="B3" s="39" t="str">
        <x:v>Trần Hoài Phương</x:v>
      </x:c>
      <x:c r="C3" s="39" t="str">
        <x:v>SALES ADMIN</x:v>
      </x:c>
      <x:c r="D3" s="39" t="str">
        <x:v>sales.admin@example.invalid</x:v>
      </x:c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NV-003</x:v>
      </x:c>
      <x:c r="B4" s="39" t="str">
        <x:v>Lê Gia Hân</x:v>
      </x:c>
      <x:c r="C4" s="39" t="str">
        <x:v>KINH DOANH</x:v>
      </x:c>
      <x:c r="D4" s="39" t="str">
        <x:v>kinh.doanh.1@example.invalid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NV-004</x:v>
      </x:c>
      <x:c r="B5" s="39" t="str">
        <x:v>Phạm Quốc Bảo</x:v>
      </x:c>
      <x:c r="C5" s="39" t="str">
        <x:v>KINH DOANH</x:v>
      </x:c>
      <x:c r="D5" s="39" t="str">
        <x:v>kinh.doanh.2@example.invalid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 t="str">
        <x:v>NV-005</x:v>
      </x:c>
      <x:c r="B6" s="39" t="str">
        <x:v>Vũ Thu Hà</x:v>
      </x:c>
      <x:c r="C6" s="39" t="str">
        <x:v>KẾ TOÁN</x:v>
      </x:c>
      <x:c r="D6" s="39" t="str">
        <x:v>ke.toan@example.invalid</x:v>
      </x:c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 t="str">
        <x:v>NV-006</x:v>
      </x:c>
      <x:c r="B7" s="39" t="str">
        <x:v>Đỗ Hải Nam</x:v>
      </x:c>
      <x:c r="C7" s="39" t="str">
        <x:v>GIAO NHẬN</x:v>
      </x:c>
      <x:c r="D7" s="39" t="str">
        <x:v>giao.nhan@example.invalid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39"/>
      <x:c r="D8" s="39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39"/>
      <x:c r="D9" s="39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39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39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39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39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39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39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39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39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39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39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39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39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39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39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39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39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39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39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39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39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39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39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39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39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39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39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39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39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39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39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39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39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39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39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39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39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39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39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39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39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39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39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39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39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39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39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39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39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39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39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39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39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39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39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39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39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39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39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39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39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39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39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39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39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39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39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39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39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39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39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39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39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39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39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39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39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39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39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39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39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39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39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39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39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39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39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39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39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39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39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39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39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39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39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39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39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39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39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39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39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39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39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39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39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39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39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39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39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39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39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39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39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39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39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39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39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39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39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39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39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39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39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39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39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39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39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39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39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39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39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39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39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39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39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39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39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39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39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39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39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39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39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39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39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39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39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39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39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39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39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39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39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39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39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39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39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39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39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39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39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39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39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39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39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39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39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39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39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39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39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39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39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39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39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39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39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39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39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39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39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39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39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39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39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39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39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39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39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39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39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39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39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39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39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39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39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39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39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39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39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39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39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39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39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39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39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39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39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39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39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39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39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39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39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39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39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39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39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39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39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39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39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39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39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39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39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39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39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39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39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39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39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39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39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39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39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39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39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39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39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39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39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39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39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39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39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39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39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39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39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39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39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39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39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39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39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39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39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39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39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39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39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39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39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39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39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39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39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39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39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39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39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39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39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39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39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39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39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39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39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39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39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39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39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39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39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39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39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39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39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39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39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39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39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39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39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39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39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39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39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39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39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39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39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39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39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39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39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39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39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39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39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39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39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39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39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39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39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39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39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39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39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39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39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39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39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39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39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39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39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39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39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39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39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39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39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39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39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39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39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39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39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39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39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39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39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39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39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39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39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39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39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39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39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39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39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39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39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39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39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39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39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39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39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39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39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39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39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39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39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39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39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39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39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39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39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39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39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39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39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39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39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39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39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39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39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39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39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39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39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39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39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39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39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39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39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39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39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39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39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39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39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39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39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39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39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39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39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39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39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39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39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39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39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39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39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39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39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39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39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39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39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39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39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39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39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39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39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39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39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39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39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39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39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39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39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39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39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39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39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39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39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39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39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39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39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39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39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39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39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39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39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39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39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39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39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39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39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39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39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39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39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39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39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39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39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39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39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39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39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39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39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39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39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39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39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39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39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39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39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39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39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39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39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39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39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39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39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39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39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39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dataValidations count="1">
    <x:dataValidation type="list" sqref="C2:C500">
      <x:formula1>"TRƯỞNG PHÒNG,SALES ADMIN,KINH DOANH,KẾ TOÁN,GIAO NHẬN"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3.329999923706055" hidden="0" customWidth="1"/>
    <x:col min="3" max="3" width="40" hidden="0" customWidth="1"/>
  </x:cols>
  <x:sheetData>
    <x:row r="1" ht="27" customHeight="1">
      <x:c r="A1" s="6" t="str">
        <x:v>Khóa cấu hình</x:v>
      </x:c>
      <x:c r="B1" s="6" t="str">
        <x:v>Giá trị</x:v>
      </x:c>
      <x:c r="C1" s="6" t="str">
        <x:v>Mô tả</x:v>
      </x:c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39" t="str">
        <x:v>THUE_SUAT_MAC_DINH</x:v>
      </x:c>
      <x:c r="B2" s="43" t="n">
        <x:v>0.08</x:v>
      </x:c>
      <x:c r="C2" s="39" t="str">
        <x:v>Thuế suất mặc định</x:v>
      </x:c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39" t="str">
        <x:v>TIEN_TE</x:v>
      </x:c>
      <x:c r="B3" s="39" t="str">
        <x:v>VND</x:v>
      </x:c>
      <x:c r="C3" s="39" t="str">
        <x:v>Đơn vị tiền tệ</x:v>
      </x:c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39" t="str">
        <x:v>SO_NGAY_HIEU_LUC</x:v>
      </x:c>
      <x:c r="B4" s="39" t="n">
        <x:v>15</x:v>
      </x:c>
      <x:c r="C4" s="39" t="str">
        <x:v>Số ngày hiệu lực báo giá</x:v>
      </x:c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9" t="str">
        <x:v>TACH_VAI_TRO_DUYET</x:v>
      </x:c>
      <x:c r="B5" s="40" t="b">
        <x:v>1</x:v>
      </x:c>
      <x:c r="C5" s="39" t="str">
        <x:v>Không cho người tạo tự duyệt báo giá</x:v>
      </x:c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9"/>
      <x:c r="B6" s="39"/>
      <x:c r="C6" s="39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9"/>
      <x:c r="B7" s="39"/>
      <x:c r="C7" s="39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9"/>
      <x:c r="B8" s="39"/>
      <x:c r="C8" s="39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9"/>
      <x:c r="B9" s="39"/>
      <x:c r="C9" s="39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9"/>
      <x:c r="B10" s="39"/>
      <x:c r="C10" s="39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9"/>
      <x:c r="B11" s="39"/>
      <x:c r="C11" s="39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9"/>
      <x:c r="B12" s="39"/>
      <x:c r="C12" s="39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9"/>
      <x:c r="B13" s="39"/>
      <x:c r="C13" s="39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9"/>
      <x:c r="B14" s="39"/>
      <x:c r="C14" s="39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9"/>
      <x:c r="B15" s="39"/>
      <x:c r="C15" s="39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9"/>
      <x:c r="B16" s="39"/>
      <x:c r="C16" s="39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9"/>
      <x:c r="B17" s="39"/>
      <x:c r="C17" s="39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9"/>
      <x:c r="B18" s="39"/>
      <x:c r="C18" s="39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9"/>
      <x:c r="B19" s="39"/>
      <x:c r="C19" s="39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9"/>
      <x:c r="B20" s="39"/>
      <x:c r="C20" s="39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9"/>
      <x:c r="B21" s="39"/>
      <x:c r="C21" s="39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9"/>
      <x:c r="B22" s="39"/>
      <x:c r="C22" s="39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9"/>
      <x:c r="B23" s="39"/>
      <x:c r="C23" s="39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9"/>
      <x:c r="B24" s="39"/>
      <x:c r="C24" s="39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9"/>
      <x:c r="B25" s="39"/>
      <x:c r="C25" s="39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9"/>
      <x:c r="B26" s="39"/>
      <x:c r="C26" s="39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9"/>
      <x:c r="B27" s="39"/>
      <x:c r="C27" s="39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9"/>
      <x:c r="B28" s="39"/>
      <x:c r="C28" s="39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9"/>
      <x:c r="B29" s="39"/>
      <x:c r="C29" s="39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9"/>
      <x:c r="B30" s="39"/>
      <x:c r="C30" s="39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9"/>
      <x:c r="B31" s="39"/>
      <x:c r="C31" s="39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9"/>
      <x:c r="B32" s="39"/>
      <x:c r="C32" s="39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9"/>
      <x:c r="B33" s="39"/>
      <x:c r="C33" s="39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9"/>
      <x:c r="B34" s="39"/>
      <x:c r="C34" s="39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9"/>
      <x:c r="B35" s="39"/>
      <x:c r="C35" s="39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9"/>
      <x:c r="B36" s="39"/>
      <x:c r="C36" s="39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9"/>
      <x:c r="B37" s="39"/>
      <x:c r="C37" s="39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9"/>
      <x:c r="B38" s="39"/>
      <x:c r="C38" s="39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9"/>
      <x:c r="B39" s="39"/>
      <x:c r="C39" s="39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9"/>
      <x:c r="B40" s="39"/>
      <x:c r="C40" s="39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9"/>
      <x:c r="B41" s="39"/>
      <x:c r="C41" s="39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9"/>
      <x:c r="B42" s="39"/>
      <x:c r="C42" s="39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9"/>
      <x:c r="B43" s="39"/>
      <x:c r="C43" s="39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9"/>
      <x:c r="B44" s="39"/>
      <x:c r="C44" s="39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9"/>
      <x:c r="B45" s="39"/>
      <x:c r="C45" s="39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9"/>
      <x:c r="B46" s="39"/>
      <x:c r="C46" s="39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9"/>
      <x:c r="B47" s="39"/>
      <x:c r="C47" s="39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9"/>
      <x:c r="B48" s="39"/>
      <x:c r="C48" s="39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9"/>
      <x:c r="B49" s="39"/>
      <x:c r="C49" s="39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9"/>
      <x:c r="B50" s="39"/>
      <x:c r="C50" s="39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9"/>
      <x:c r="B51" s="39"/>
      <x:c r="C51" s="39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9"/>
      <x:c r="B52" s="39"/>
      <x:c r="C52" s="39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9"/>
      <x:c r="B53" s="39"/>
      <x:c r="C53" s="39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9"/>
      <x:c r="B54" s="39"/>
      <x:c r="C54" s="39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9"/>
      <x:c r="B55" s="39"/>
      <x:c r="C55" s="39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9"/>
      <x:c r="B56" s="39"/>
      <x:c r="C56" s="39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9"/>
      <x:c r="B57" s="39"/>
      <x:c r="C57" s="39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9"/>
      <x:c r="B58" s="39"/>
      <x:c r="C58" s="39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9"/>
      <x:c r="B59" s="39"/>
      <x:c r="C59" s="39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9"/>
      <x:c r="B60" s="39"/>
      <x:c r="C60" s="39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39"/>
      <x:c r="B61" s="39"/>
      <x:c r="C61" s="39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39"/>
      <x:c r="B62" s="39"/>
      <x:c r="C62" s="39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39"/>
      <x:c r="B63" s="39"/>
      <x:c r="C63" s="39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39"/>
      <x:c r="B64" s="39"/>
      <x:c r="C64" s="39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39"/>
      <x:c r="B65" s="39"/>
      <x:c r="C65" s="39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39"/>
      <x:c r="B66" s="39"/>
      <x:c r="C66" s="39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39"/>
      <x:c r="B67" s="39"/>
      <x:c r="C67" s="39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39"/>
      <x:c r="B68" s="39"/>
      <x:c r="C68" s="39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39"/>
      <x:c r="B69" s="39"/>
      <x:c r="C69" s="39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39"/>
      <x:c r="B70" s="39"/>
      <x:c r="C70" s="39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39"/>
      <x:c r="B71" s="39"/>
      <x:c r="C71" s="39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39"/>
      <x:c r="B72" s="39"/>
      <x:c r="C72" s="39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39"/>
      <x:c r="B73" s="39"/>
      <x:c r="C73" s="39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39"/>
      <x:c r="B74" s="39"/>
      <x:c r="C74" s="39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39"/>
      <x:c r="B75" s="39"/>
      <x:c r="C75" s="39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39"/>
      <x:c r="B76" s="39"/>
      <x:c r="C76" s="39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39"/>
      <x:c r="B77" s="39"/>
      <x:c r="C77" s="39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39"/>
      <x:c r="B78" s="39"/>
      <x:c r="C78" s="39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39"/>
      <x:c r="B79" s="39"/>
      <x:c r="C79" s="39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39"/>
      <x:c r="B80" s="39"/>
      <x:c r="C80" s="39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39"/>
      <x:c r="B81" s="39"/>
      <x:c r="C81" s="39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39"/>
      <x:c r="B82" s="39"/>
      <x:c r="C82" s="39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39"/>
      <x:c r="B83" s="39"/>
      <x:c r="C83" s="39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39"/>
      <x:c r="B84" s="39"/>
      <x:c r="C84" s="39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39"/>
      <x:c r="B85" s="39"/>
      <x:c r="C85" s="39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39"/>
      <x:c r="B86" s="39"/>
      <x:c r="C86" s="39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39"/>
      <x:c r="B87" s="39"/>
      <x:c r="C87" s="39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39"/>
      <x:c r="B88" s="39"/>
      <x:c r="C88" s="39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39"/>
      <x:c r="B89" s="39"/>
      <x:c r="C89" s="39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39"/>
      <x:c r="B90" s="39"/>
      <x:c r="C90" s="39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39"/>
      <x:c r="B91" s="39"/>
      <x:c r="C91" s="39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39"/>
      <x:c r="B92" s="39"/>
      <x:c r="C92" s="39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39"/>
      <x:c r="B93" s="39"/>
      <x:c r="C93" s="39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39"/>
      <x:c r="B94" s="39"/>
      <x:c r="C94" s="39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39"/>
      <x:c r="B95" s="39"/>
      <x:c r="C95" s="39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39"/>
      <x:c r="B96" s="39"/>
      <x:c r="C96" s="39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39"/>
      <x:c r="B97" s="39"/>
      <x:c r="C97" s="39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39"/>
      <x:c r="B98" s="39"/>
      <x:c r="C98" s="39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39"/>
      <x:c r="B99" s="39"/>
      <x:c r="C99" s="39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39"/>
      <x:c r="B100" s="39"/>
      <x:c r="C100" s="39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39"/>
      <x:c r="B101" s="39"/>
      <x:c r="C101" s="39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39"/>
      <x:c r="B102" s="39"/>
      <x:c r="C102" s="39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39"/>
      <x:c r="B103" s="39"/>
      <x:c r="C103" s="39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39"/>
      <x:c r="B104" s="39"/>
      <x:c r="C104" s="39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39"/>
      <x:c r="B105" s="39"/>
      <x:c r="C105" s="39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39"/>
      <x:c r="B106" s="39"/>
      <x:c r="C106" s="39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39"/>
      <x:c r="B107" s="39"/>
      <x:c r="C107" s="39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39"/>
      <x:c r="B108" s="39"/>
      <x:c r="C108" s="39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39"/>
      <x:c r="B109" s="39"/>
      <x:c r="C109" s="39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39"/>
      <x:c r="B110" s="39"/>
      <x:c r="C110" s="39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39"/>
      <x:c r="B111" s="39"/>
      <x:c r="C111" s="39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39"/>
      <x:c r="B112" s="39"/>
      <x:c r="C112" s="39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39"/>
      <x:c r="B113" s="39"/>
      <x:c r="C113" s="39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39"/>
      <x:c r="B114" s="39"/>
      <x:c r="C114" s="39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39"/>
      <x:c r="B115" s="39"/>
      <x:c r="C115" s="39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39"/>
      <x:c r="B116" s="39"/>
      <x:c r="C116" s="39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39"/>
      <x:c r="B117" s="39"/>
      <x:c r="C117" s="39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39"/>
      <x:c r="B118" s="39"/>
      <x:c r="C118" s="39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39"/>
      <x:c r="B119" s="39"/>
      <x:c r="C119" s="39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39"/>
      <x:c r="B120" s="39"/>
      <x:c r="C120" s="39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39"/>
      <x:c r="B121" s="39"/>
      <x:c r="C121" s="39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39"/>
      <x:c r="B122" s="39"/>
      <x:c r="C122" s="39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39"/>
      <x:c r="B123" s="39"/>
      <x:c r="C123" s="39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39"/>
      <x:c r="B124" s="39"/>
      <x:c r="C124" s="39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39"/>
      <x:c r="B125" s="39"/>
      <x:c r="C125" s="39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39"/>
      <x:c r="B126" s="39"/>
      <x:c r="C126" s="39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39"/>
      <x:c r="B127" s="39"/>
      <x:c r="C127" s="39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39"/>
      <x:c r="B128" s="39"/>
      <x:c r="C128" s="39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39"/>
      <x:c r="B129" s="39"/>
      <x:c r="C129" s="39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39"/>
      <x:c r="B130" s="39"/>
      <x:c r="C130" s="39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39"/>
      <x:c r="B131" s="39"/>
      <x:c r="C131" s="39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39"/>
      <x:c r="B132" s="39"/>
      <x:c r="C132" s="39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39"/>
      <x:c r="B133" s="39"/>
      <x:c r="C133" s="39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39"/>
      <x:c r="B134" s="39"/>
      <x:c r="C134" s="39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39"/>
      <x:c r="B135" s="39"/>
      <x:c r="C135" s="39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39"/>
      <x:c r="B136" s="39"/>
      <x:c r="C136" s="39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39"/>
      <x:c r="B137" s="39"/>
      <x:c r="C137" s="39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39"/>
      <x:c r="B138" s="39"/>
      <x:c r="C138" s="39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39"/>
      <x:c r="B139" s="39"/>
      <x:c r="C139" s="39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39"/>
      <x:c r="B140" s="39"/>
      <x:c r="C140" s="39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39"/>
      <x:c r="B141" s="39"/>
      <x:c r="C141" s="39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39"/>
      <x:c r="B142" s="39"/>
      <x:c r="C142" s="39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39"/>
      <x:c r="B143" s="39"/>
      <x:c r="C143" s="39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39"/>
      <x:c r="B144" s="39"/>
      <x:c r="C144" s="39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39"/>
      <x:c r="B145" s="39"/>
      <x:c r="C145" s="39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39"/>
      <x:c r="B146" s="39"/>
      <x:c r="C146" s="39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39"/>
      <x:c r="B147" s="39"/>
      <x:c r="C147" s="39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39"/>
      <x:c r="B148" s="39"/>
      <x:c r="C148" s="39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39"/>
      <x:c r="B149" s="39"/>
      <x:c r="C149" s="39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39"/>
      <x:c r="B150" s="39"/>
      <x:c r="C150" s="39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39"/>
      <x:c r="B151" s="39"/>
      <x:c r="C151" s="39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39"/>
      <x:c r="B152" s="39"/>
      <x:c r="C152" s="39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39"/>
      <x:c r="B153" s="39"/>
      <x:c r="C153" s="39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39"/>
      <x:c r="B154" s="39"/>
      <x:c r="C154" s="39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39"/>
      <x:c r="B155" s="39"/>
      <x:c r="C155" s="39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39"/>
      <x:c r="B156" s="39"/>
      <x:c r="C156" s="39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39"/>
      <x:c r="B157" s="39"/>
      <x:c r="C157" s="39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39"/>
      <x:c r="B158" s="39"/>
      <x:c r="C158" s="39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39"/>
      <x:c r="B159" s="39"/>
      <x:c r="C159" s="39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39"/>
      <x:c r="B160" s="39"/>
      <x:c r="C160" s="39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39"/>
      <x:c r="B161" s="39"/>
      <x:c r="C161" s="39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39"/>
      <x:c r="B162" s="39"/>
      <x:c r="C162" s="39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39"/>
      <x:c r="B163" s="39"/>
      <x:c r="C163" s="39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39"/>
      <x:c r="B164" s="39"/>
      <x:c r="C164" s="39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39"/>
      <x:c r="B165" s="39"/>
      <x:c r="C165" s="39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39"/>
      <x:c r="B166" s="39"/>
      <x:c r="C166" s="39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39"/>
      <x:c r="B167" s="39"/>
      <x:c r="C167" s="39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39"/>
      <x:c r="B168" s="39"/>
      <x:c r="C168" s="39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39"/>
      <x:c r="B169" s="39"/>
      <x:c r="C169" s="39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39"/>
      <x:c r="B170" s="39"/>
      <x:c r="C170" s="39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39"/>
      <x:c r="B171" s="39"/>
      <x:c r="C171" s="39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39"/>
      <x:c r="B172" s="39"/>
      <x:c r="C172" s="39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39"/>
      <x:c r="B173" s="39"/>
      <x:c r="C173" s="39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39"/>
      <x:c r="B174" s="39"/>
      <x:c r="C174" s="39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39"/>
      <x:c r="B175" s="39"/>
      <x:c r="C175" s="39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39"/>
      <x:c r="B176" s="39"/>
      <x:c r="C176" s="39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39"/>
      <x:c r="B177" s="39"/>
      <x:c r="C177" s="39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39"/>
      <x:c r="B178" s="39"/>
      <x:c r="C178" s="39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39"/>
      <x:c r="B179" s="39"/>
      <x:c r="C179" s="39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39"/>
      <x:c r="B180" s="39"/>
      <x:c r="C180" s="39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39"/>
      <x:c r="B181" s="39"/>
      <x:c r="C181" s="39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39"/>
      <x:c r="B182" s="39"/>
      <x:c r="C182" s="39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39"/>
      <x:c r="B183" s="39"/>
      <x:c r="C183" s="39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39"/>
      <x:c r="B184" s="39"/>
      <x:c r="C184" s="39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39"/>
      <x:c r="B185" s="39"/>
      <x:c r="C185" s="39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39"/>
      <x:c r="B186" s="39"/>
      <x:c r="C186" s="39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39"/>
      <x:c r="B187" s="39"/>
      <x:c r="C187" s="39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39"/>
      <x:c r="B188" s="39"/>
      <x:c r="C188" s="39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39"/>
      <x:c r="B189" s="39"/>
      <x:c r="C189" s="39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39"/>
      <x:c r="B190" s="39"/>
      <x:c r="C190" s="39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39"/>
      <x:c r="B191" s="39"/>
      <x:c r="C191" s="39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39"/>
      <x:c r="B192" s="39"/>
      <x:c r="C192" s="39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39"/>
      <x:c r="B193" s="39"/>
      <x:c r="C193" s="39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39"/>
      <x:c r="B194" s="39"/>
      <x:c r="C194" s="39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39"/>
      <x:c r="B195" s="39"/>
      <x:c r="C195" s="39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39"/>
      <x:c r="B196" s="39"/>
      <x:c r="C196" s="39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39"/>
      <x:c r="B197" s="39"/>
      <x:c r="C197" s="39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39"/>
      <x:c r="B198" s="39"/>
      <x:c r="C198" s="39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39"/>
      <x:c r="B199" s="39"/>
      <x:c r="C199" s="39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39"/>
      <x:c r="B200" s="39"/>
      <x:c r="C200" s="39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39"/>
      <x:c r="B201" s="39"/>
      <x:c r="C201" s="39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39"/>
      <x:c r="B202" s="39"/>
      <x:c r="C202" s="39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39"/>
      <x:c r="B203" s="39"/>
      <x:c r="C203" s="39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39"/>
      <x:c r="B204" s="39"/>
      <x:c r="C204" s="39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39"/>
      <x:c r="B205" s="39"/>
      <x:c r="C205" s="39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39"/>
      <x:c r="B206" s="39"/>
      <x:c r="C206" s="39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39"/>
      <x:c r="B207" s="39"/>
      <x:c r="C207" s="39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39"/>
      <x:c r="B208" s="39"/>
      <x:c r="C208" s="39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39"/>
      <x:c r="B209" s="39"/>
      <x:c r="C209" s="39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39"/>
      <x:c r="B210" s="39"/>
      <x:c r="C210" s="39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39"/>
      <x:c r="B211" s="39"/>
      <x:c r="C211" s="39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39"/>
      <x:c r="B212" s="39"/>
      <x:c r="C212" s="39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39"/>
      <x:c r="B213" s="39"/>
      <x:c r="C213" s="39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39"/>
      <x:c r="B214" s="39"/>
      <x:c r="C214" s="39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39"/>
      <x:c r="B215" s="39"/>
      <x:c r="C215" s="39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39"/>
      <x:c r="B216" s="39"/>
      <x:c r="C216" s="39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39"/>
      <x:c r="B217" s="39"/>
      <x:c r="C217" s="39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39"/>
      <x:c r="B218" s="39"/>
      <x:c r="C218" s="39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39"/>
      <x:c r="B219" s="39"/>
      <x:c r="C219" s="39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39"/>
      <x:c r="B220" s="39"/>
      <x:c r="C220" s="39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39"/>
      <x:c r="B221" s="39"/>
      <x:c r="C221" s="39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39"/>
      <x:c r="B222" s="39"/>
      <x:c r="C222" s="39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39"/>
      <x:c r="B223" s="39"/>
      <x:c r="C223" s="39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39"/>
      <x:c r="B224" s="39"/>
      <x:c r="C224" s="39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39"/>
      <x:c r="B225" s="39"/>
      <x:c r="C225" s="39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39"/>
      <x:c r="B226" s="39"/>
      <x:c r="C226" s="39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39"/>
      <x:c r="B227" s="39"/>
      <x:c r="C227" s="39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39"/>
      <x:c r="B228" s="39"/>
      <x:c r="C228" s="39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39"/>
      <x:c r="B229" s="39"/>
      <x:c r="C229" s="39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39"/>
      <x:c r="B230" s="39"/>
      <x:c r="C230" s="39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39"/>
      <x:c r="B231" s="39"/>
      <x:c r="C231" s="39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39"/>
      <x:c r="B232" s="39"/>
      <x:c r="C232" s="39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39"/>
      <x:c r="B233" s="39"/>
      <x:c r="C233" s="39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39"/>
      <x:c r="B234" s="39"/>
      <x:c r="C234" s="39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39"/>
      <x:c r="B235" s="39"/>
      <x:c r="C235" s="39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39"/>
      <x:c r="B236" s="39"/>
      <x:c r="C236" s="39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39"/>
      <x:c r="B237" s="39"/>
      <x:c r="C237" s="39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39"/>
      <x:c r="B238" s="39"/>
      <x:c r="C238" s="39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39"/>
      <x:c r="B239" s="39"/>
      <x:c r="C239" s="39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39"/>
      <x:c r="B240" s="39"/>
      <x:c r="C240" s="39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39"/>
      <x:c r="B241" s="39"/>
      <x:c r="C241" s="39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39"/>
      <x:c r="B242" s="39"/>
      <x:c r="C242" s="39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39"/>
      <x:c r="B243" s="39"/>
      <x:c r="C243" s="39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39"/>
      <x:c r="B244" s="39"/>
      <x:c r="C244" s="39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39"/>
      <x:c r="B245" s="39"/>
      <x:c r="C245" s="39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39"/>
      <x:c r="B246" s="39"/>
      <x:c r="C246" s="39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39"/>
      <x:c r="B247" s="39"/>
      <x:c r="C247" s="39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39"/>
      <x:c r="B248" s="39"/>
      <x:c r="C248" s="39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39"/>
      <x:c r="B249" s="39"/>
      <x:c r="C249" s="39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39"/>
      <x:c r="B250" s="39"/>
      <x:c r="C250" s="39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39"/>
      <x:c r="B251" s="39"/>
      <x:c r="C251" s="39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39"/>
      <x:c r="B252" s="39"/>
      <x:c r="C252" s="39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39"/>
      <x:c r="B253" s="39"/>
      <x:c r="C253" s="39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39"/>
      <x:c r="B254" s="39"/>
      <x:c r="C254" s="39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39"/>
      <x:c r="B255" s="39"/>
      <x:c r="C255" s="39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39"/>
      <x:c r="B256" s="39"/>
      <x:c r="C256" s="39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39"/>
      <x:c r="B257" s="39"/>
      <x:c r="C257" s="39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39"/>
      <x:c r="B258" s="39"/>
      <x:c r="C258" s="39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39"/>
      <x:c r="B259" s="39"/>
      <x:c r="C259" s="39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39"/>
      <x:c r="B260" s="39"/>
      <x:c r="C260" s="39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39"/>
      <x:c r="B261" s="39"/>
      <x:c r="C261" s="39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39"/>
      <x:c r="B262" s="39"/>
      <x:c r="C262" s="39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39"/>
      <x:c r="B263" s="39"/>
      <x:c r="C263" s="39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39"/>
      <x:c r="B264" s="39"/>
      <x:c r="C264" s="39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39"/>
      <x:c r="B265" s="39"/>
      <x:c r="C265" s="39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39"/>
      <x:c r="B266" s="39"/>
      <x:c r="C266" s="39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39"/>
      <x:c r="B267" s="39"/>
      <x:c r="C267" s="39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39"/>
      <x:c r="B268" s="39"/>
      <x:c r="C268" s="39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39"/>
      <x:c r="B269" s="39"/>
      <x:c r="C269" s="39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39"/>
      <x:c r="B270" s="39"/>
      <x:c r="C270" s="39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39"/>
      <x:c r="B271" s="39"/>
      <x:c r="C271" s="39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39"/>
      <x:c r="B272" s="39"/>
      <x:c r="C272" s="39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39"/>
      <x:c r="B273" s="39"/>
      <x:c r="C273" s="39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39"/>
      <x:c r="B274" s="39"/>
      <x:c r="C274" s="39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39"/>
      <x:c r="B275" s="39"/>
      <x:c r="C275" s="39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39"/>
      <x:c r="B276" s="39"/>
      <x:c r="C276" s="39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39"/>
      <x:c r="B277" s="39"/>
      <x:c r="C277" s="39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39"/>
      <x:c r="B278" s="39"/>
      <x:c r="C278" s="39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39"/>
      <x:c r="B279" s="39"/>
      <x:c r="C279" s="39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39"/>
      <x:c r="B280" s="39"/>
      <x:c r="C280" s="39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39"/>
      <x:c r="B281" s="39"/>
      <x:c r="C281" s="39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39"/>
      <x:c r="B282" s="39"/>
      <x:c r="C282" s="39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39"/>
      <x:c r="B283" s="39"/>
      <x:c r="C283" s="39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39"/>
      <x:c r="B284" s="39"/>
      <x:c r="C284" s="39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39"/>
      <x:c r="B285" s="39"/>
      <x:c r="C285" s="39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39"/>
      <x:c r="B286" s="39"/>
      <x:c r="C286" s="39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39"/>
      <x:c r="B287" s="39"/>
      <x:c r="C287" s="39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39"/>
      <x:c r="B288" s="39"/>
      <x:c r="C288" s="39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39"/>
      <x:c r="B289" s="39"/>
      <x:c r="C289" s="39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39"/>
      <x:c r="B290" s="39"/>
      <x:c r="C290" s="39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39"/>
      <x:c r="B291" s="39"/>
      <x:c r="C291" s="39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39"/>
      <x:c r="B292" s="39"/>
      <x:c r="C292" s="39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39"/>
      <x:c r="B293" s="39"/>
      <x:c r="C293" s="39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39"/>
      <x:c r="B294" s="39"/>
      <x:c r="C294" s="39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39"/>
      <x:c r="B295" s="39"/>
      <x:c r="C295" s="39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39"/>
      <x:c r="B296" s="39"/>
      <x:c r="C296" s="39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39"/>
      <x:c r="B297" s="39"/>
      <x:c r="C297" s="39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39"/>
      <x:c r="B298" s="39"/>
      <x:c r="C298" s="39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39"/>
      <x:c r="B299" s="39"/>
      <x:c r="C299" s="39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39"/>
      <x:c r="B300" s="39"/>
      <x:c r="C300" s="39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39"/>
      <x:c r="B301" s="39"/>
      <x:c r="C301" s="39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39"/>
      <x:c r="B302" s="39"/>
      <x:c r="C302" s="39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39"/>
      <x:c r="B303" s="39"/>
      <x:c r="C303" s="39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39"/>
      <x:c r="B304" s="39"/>
      <x:c r="C304" s="39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39"/>
      <x:c r="B305" s="39"/>
      <x:c r="C305" s="39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39"/>
      <x:c r="B306" s="39"/>
      <x:c r="C306" s="39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39"/>
      <x:c r="B307" s="39"/>
      <x:c r="C307" s="39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39"/>
      <x:c r="B308" s="39"/>
      <x:c r="C308" s="39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39"/>
      <x:c r="B309" s="39"/>
      <x:c r="C309" s="39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39"/>
      <x:c r="B310" s="39"/>
      <x:c r="C310" s="39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39"/>
      <x:c r="B311" s="39"/>
      <x:c r="C311" s="39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39"/>
      <x:c r="B312" s="39"/>
      <x:c r="C312" s="39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39"/>
      <x:c r="B313" s="39"/>
      <x:c r="C313" s="39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39"/>
      <x:c r="B314" s="39"/>
      <x:c r="C314" s="39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39"/>
      <x:c r="B315" s="39"/>
      <x:c r="C315" s="39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39"/>
      <x:c r="B316" s="39"/>
      <x:c r="C316" s="39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39"/>
      <x:c r="B317" s="39"/>
      <x:c r="C317" s="39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39"/>
      <x:c r="B318" s="39"/>
      <x:c r="C318" s="39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39"/>
      <x:c r="B319" s="39"/>
      <x:c r="C319" s="39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39"/>
      <x:c r="B320" s="39"/>
      <x:c r="C320" s="39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39"/>
      <x:c r="B321" s="39"/>
      <x:c r="C321" s="39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39"/>
      <x:c r="B322" s="39"/>
      <x:c r="C322" s="39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39"/>
      <x:c r="B323" s="39"/>
      <x:c r="C323" s="39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39"/>
      <x:c r="B324" s="39"/>
      <x:c r="C324" s="39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39"/>
      <x:c r="B325" s="39"/>
      <x:c r="C325" s="39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39"/>
      <x:c r="B326" s="39"/>
      <x:c r="C326" s="39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39"/>
      <x:c r="B327" s="39"/>
      <x:c r="C327" s="39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39"/>
      <x:c r="B328" s="39"/>
      <x:c r="C328" s="39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39"/>
      <x:c r="B329" s="39"/>
      <x:c r="C329" s="39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39"/>
      <x:c r="B330" s="39"/>
      <x:c r="C330" s="39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39"/>
      <x:c r="B331" s="39"/>
      <x:c r="C331" s="39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39"/>
      <x:c r="B332" s="39"/>
      <x:c r="C332" s="39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39"/>
      <x:c r="B333" s="39"/>
      <x:c r="C333" s="39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39"/>
      <x:c r="B334" s="39"/>
      <x:c r="C334" s="39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39"/>
      <x:c r="B335" s="39"/>
      <x:c r="C335" s="39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39"/>
      <x:c r="B336" s="39"/>
      <x:c r="C336" s="39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39"/>
      <x:c r="B337" s="39"/>
      <x:c r="C337" s="39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39"/>
      <x:c r="B338" s="39"/>
      <x:c r="C338" s="39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39"/>
      <x:c r="B339" s="39"/>
      <x:c r="C339" s="39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39"/>
      <x:c r="B340" s="39"/>
      <x:c r="C340" s="39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39"/>
      <x:c r="B341" s="39"/>
      <x:c r="C341" s="39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39"/>
      <x:c r="B342" s="39"/>
      <x:c r="C342" s="39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39"/>
      <x:c r="B343" s="39"/>
      <x:c r="C343" s="39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39"/>
      <x:c r="B344" s="39"/>
      <x:c r="C344" s="39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39"/>
      <x:c r="B345" s="39"/>
      <x:c r="C345" s="39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39"/>
      <x:c r="B346" s="39"/>
      <x:c r="C346" s="39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39"/>
      <x:c r="B347" s="39"/>
      <x:c r="C347" s="39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39"/>
      <x:c r="B348" s="39"/>
      <x:c r="C348" s="39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39"/>
      <x:c r="B349" s="39"/>
      <x:c r="C349" s="39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39"/>
      <x:c r="B350" s="39"/>
      <x:c r="C350" s="39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39"/>
      <x:c r="B351" s="39"/>
      <x:c r="C351" s="39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39"/>
      <x:c r="B352" s="39"/>
      <x:c r="C352" s="39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39"/>
      <x:c r="B353" s="39"/>
      <x:c r="C353" s="39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39"/>
      <x:c r="B354" s="39"/>
      <x:c r="C354" s="39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39"/>
      <x:c r="B355" s="39"/>
      <x:c r="C355" s="39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39"/>
      <x:c r="B356" s="39"/>
      <x:c r="C356" s="39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39"/>
      <x:c r="B357" s="39"/>
      <x:c r="C357" s="39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39"/>
      <x:c r="B358" s="39"/>
      <x:c r="C358" s="39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39"/>
      <x:c r="B359" s="39"/>
      <x:c r="C359" s="39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39"/>
      <x:c r="B360" s="39"/>
      <x:c r="C360" s="39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39"/>
      <x:c r="B361" s="39"/>
      <x:c r="C361" s="39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39"/>
      <x:c r="B362" s="39"/>
      <x:c r="C362" s="39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39"/>
      <x:c r="B363" s="39"/>
      <x:c r="C363" s="39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39"/>
      <x:c r="B364" s="39"/>
      <x:c r="C364" s="39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39"/>
      <x:c r="B365" s="39"/>
      <x:c r="C365" s="39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39"/>
      <x:c r="B366" s="39"/>
      <x:c r="C366" s="39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39"/>
      <x:c r="B367" s="39"/>
      <x:c r="C367" s="39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39"/>
      <x:c r="B368" s="39"/>
      <x:c r="C368" s="39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39"/>
      <x:c r="B369" s="39"/>
      <x:c r="C369" s="39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39"/>
      <x:c r="B370" s="39"/>
      <x:c r="C370" s="39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39"/>
      <x:c r="B371" s="39"/>
      <x:c r="C371" s="39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39"/>
      <x:c r="B372" s="39"/>
      <x:c r="C372" s="39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39"/>
      <x:c r="B373" s="39"/>
      <x:c r="C373" s="39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39"/>
      <x:c r="B374" s="39"/>
      <x:c r="C374" s="39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39"/>
      <x:c r="B375" s="39"/>
      <x:c r="C375" s="39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39"/>
      <x:c r="B376" s="39"/>
      <x:c r="C376" s="39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39"/>
      <x:c r="B377" s="39"/>
      <x:c r="C377" s="39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39"/>
      <x:c r="B378" s="39"/>
      <x:c r="C378" s="39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39"/>
      <x:c r="B379" s="39"/>
      <x:c r="C379" s="39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39"/>
      <x:c r="B380" s="39"/>
      <x:c r="C380" s="39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39"/>
      <x:c r="B381" s="39"/>
      <x:c r="C381" s="39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39"/>
      <x:c r="B382" s="39"/>
      <x:c r="C382" s="39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39"/>
      <x:c r="B383" s="39"/>
      <x:c r="C383" s="39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39"/>
      <x:c r="B384" s="39"/>
      <x:c r="C384" s="39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39"/>
      <x:c r="B385" s="39"/>
      <x:c r="C385" s="39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39"/>
      <x:c r="B386" s="39"/>
      <x:c r="C386" s="39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39"/>
      <x:c r="B387" s="39"/>
      <x:c r="C387" s="39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39"/>
      <x:c r="B388" s="39"/>
      <x:c r="C388" s="39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39"/>
      <x:c r="B389" s="39"/>
      <x:c r="C389" s="39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39"/>
      <x:c r="B390" s="39"/>
      <x:c r="C390" s="39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39"/>
      <x:c r="B391" s="39"/>
      <x:c r="C391" s="39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39"/>
      <x:c r="B392" s="39"/>
      <x:c r="C392" s="39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39"/>
      <x:c r="B393" s="39"/>
      <x:c r="C393" s="39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39"/>
      <x:c r="B394" s="39"/>
      <x:c r="C394" s="39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39"/>
      <x:c r="B395" s="39"/>
      <x:c r="C395" s="39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39"/>
      <x:c r="B396" s="39"/>
      <x:c r="C396" s="39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39"/>
      <x:c r="B397" s="39"/>
      <x:c r="C397" s="39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39"/>
      <x:c r="B398" s="39"/>
      <x:c r="C398" s="39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39"/>
      <x:c r="B399" s="39"/>
      <x:c r="C399" s="39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39"/>
      <x:c r="B400" s="39"/>
      <x:c r="C400" s="39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39"/>
      <x:c r="B401" s="39"/>
      <x:c r="C401" s="39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39"/>
      <x:c r="B402" s="39"/>
      <x:c r="C402" s="39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39"/>
      <x:c r="B403" s="39"/>
      <x:c r="C403" s="39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39"/>
      <x:c r="B404" s="39"/>
      <x:c r="C404" s="39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39"/>
      <x:c r="B405" s="39"/>
      <x:c r="C405" s="39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39"/>
      <x:c r="B406" s="39"/>
      <x:c r="C406" s="39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39"/>
      <x:c r="B407" s="39"/>
      <x:c r="C407" s="39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39"/>
      <x:c r="B408" s="39"/>
      <x:c r="C408" s="39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39"/>
      <x:c r="B409" s="39"/>
      <x:c r="C409" s="39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39"/>
      <x:c r="B410" s="39"/>
      <x:c r="C410" s="39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39"/>
      <x:c r="B411" s="39"/>
      <x:c r="C411" s="39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39"/>
      <x:c r="B412" s="39"/>
      <x:c r="C412" s="39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39"/>
      <x:c r="B413" s="39"/>
      <x:c r="C413" s="39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39"/>
      <x:c r="B414" s="39"/>
      <x:c r="C414" s="39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39"/>
      <x:c r="B415" s="39"/>
      <x:c r="C415" s="39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39"/>
      <x:c r="B416" s="39"/>
      <x:c r="C416" s="39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39"/>
      <x:c r="B417" s="39"/>
      <x:c r="C417" s="39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39"/>
      <x:c r="B418" s="39"/>
      <x:c r="C418" s="39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39"/>
      <x:c r="B419" s="39"/>
      <x:c r="C419" s="39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39"/>
      <x:c r="B420" s="39"/>
      <x:c r="C420" s="39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39"/>
      <x:c r="B421" s="39"/>
      <x:c r="C421" s="39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39"/>
      <x:c r="B422" s="39"/>
      <x:c r="C422" s="39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39"/>
      <x:c r="B423" s="39"/>
      <x:c r="C423" s="39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39"/>
      <x:c r="B424" s="39"/>
      <x:c r="C424" s="39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39"/>
      <x:c r="B425" s="39"/>
      <x:c r="C425" s="39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39"/>
      <x:c r="B426" s="39"/>
      <x:c r="C426" s="39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39"/>
      <x:c r="B427" s="39"/>
      <x:c r="C427" s="39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39"/>
      <x:c r="B428" s="39"/>
      <x:c r="C428" s="39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39"/>
      <x:c r="B429" s="39"/>
      <x:c r="C429" s="39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39"/>
      <x:c r="B430" s="39"/>
      <x:c r="C430" s="39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39"/>
      <x:c r="B431" s="39"/>
      <x:c r="C431" s="39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39"/>
      <x:c r="B432" s="39"/>
      <x:c r="C432" s="39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39"/>
      <x:c r="B433" s="39"/>
      <x:c r="C433" s="39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39"/>
      <x:c r="B434" s="39"/>
      <x:c r="C434" s="39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39"/>
      <x:c r="B435" s="39"/>
      <x:c r="C435" s="39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39"/>
      <x:c r="B436" s="39"/>
      <x:c r="C436" s="39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39"/>
      <x:c r="B437" s="39"/>
      <x:c r="C437" s="39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39"/>
      <x:c r="B438" s="39"/>
      <x:c r="C438" s="39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39"/>
      <x:c r="B439" s="39"/>
      <x:c r="C439" s="39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39"/>
      <x:c r="B440" s="39"/>
      <x:c r="C440" s="39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39"/>
      <x:c r="B441" s="39"/>
      <x:c r="C441" s="39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39"/>
      <x:c r="B442" s="39"/>
      <x:c r="C442" s="39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39"/>
      <x:c r="B443" s="39"/>
      <x:c r="C443" s="39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39"/>
      <x:c r="B444" s="39"/>
      <x:c r="C444" s="39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39"/>
      <x:c r="B445" s="39"/>
      <x:c r="C445" s="39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39"/>
      <x:c r="B446" s="39"/>
      <x:c r="C446" s="39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39"/>
      <x:c r="B447" s="39"/>
      <x:c r="C447" s="39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39"/>
      <x:c r="B448" s="39"/>
      <x:c r="C448" s="39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39"/>
      <x:c r="B449" s="39"/>
      <x:c r="C449" s="39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39"/>
      <x:c r="B450" s="39"/>
      <x:c r="C450" s="39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39"/>
      <x:c r="B451" s="39"/>
      <x:c r="C451" s="39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39"/>
      <x:c r="B452" s="39"/>
      <x:c r="C452" s="39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39"/>
      <x:c r="B453" s="39"/>
      <x:c r="C453" s="39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39"/>
      <x:c r="B454" s="39"/>
      <x:c r="C454" s="39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39"/>
      <x:c r="B455" s="39"/>
      <x:c r="C455" s="39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39"/>
      <x:c r="B456" s="39"/>
      <x:c r="C456" s="39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39"/>
      <x:c r="B457" s="39"/>
      <x:c r="C457" s="39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39"/>
      <x:c r="B458" s="39"/>
      <x:c r="C458" s="39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39"/>
      <x:c r="B459" s="39"/>
      <x:c r="C459" s="39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39"/>
      <x:c r="B460" s="39"/>
      <x:c r="C460" s="39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39"/>
      <x:c r="B461" s="39"/>
      <x:c r="C461" s="39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39"/>
      <x:c r="B462" s="39"/>
      <x:c r="C462" s="39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39"/>
      <x:c r="B463" s="39"/>
      <x:c r="C463" s="39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39"/>
      <x:c r="B464" s="39"/>
      <x:c r="C464" s="39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39"/>
      <x:c r="B465" s="39"/>
      <x:c r="C465" s="39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39"/>
      <x:c r="B466" s="39"/>
      <x:c r="C466" s="39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39"/>
      <x:c r="B467" s="39"/>
      <x:c r="C467" s="39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39"/>
      <x:c r="B468" s="39"/>
      <x:c r="C468" s="39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39"/>
      <x:c r="B469" s="39"/>
      <x:c r="C469" s="39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39"/>
      <x:c r="B470" s="39"/>
      <x:c r="C470" s="39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39"/>
      <x:c r="B471" s="39"/>
      <x:c r="C471" s="39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39"/>
      <x:c r="B472" s="39"/>
      <x:c r="C472" s="39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39"/>
      <x:c r="B473" s="39"/>
      <x:c r="C473" s="39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39"/>
      <x:c r="B474" s="39"/>
      <x:c r="C474" s="39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39"/>
      <x:c r="B475" s="39"/>
      <x:c r="C475" s="39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39"/>
      <x:c r="B476" s="39"/>
      <x:c r="C476" s="39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39"/>
      <x:c r="B477" s="39"/>
      <x:c r="C477" s="39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39"/>
      <x:c r="B478" s="39"/>
      <x:c r="C478" s="39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39"/>
      <x:c r="B479" s="39"/>
      <x:c r="C479" s="39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39"/>
      <x:c r="B480" s="39"/>
      <x:c r="C480" s="39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39"/>
      <x:c r="B481" s="39"/>
      <x:c r="C481" s="39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39"/>
      <x:c r="B482" s="39"/>
      <x:c r="C482" s="39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39"/>
      <x:c r="B483" s="39"/>
      <x:c r="C483" s="39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39"/>
      <x:c r="B484" s="39"/>
      <x:c r="C484" s="39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39"/>
      <x:c r="B485" s="39"/>
      <x:c r="C485" s="39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39"/>
      <x:c r="B486" s="39"/>
      <x:c r="C486" s="39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39"/>
      <x:c r="B487" s="39"/>
      <x:c r="C487" s="39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39"/>
      <x:c r="B488" s="39"/>
      <x:c r="C488" s="39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39"/>
      <x:c r="B489" s="39"/>
      <x:c r="C489" s="39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39"/>
      <x:c r="B490" s="39"/>
      <x:c r="C490" s="39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39"/>
      <x:c r="B491" s="39"/>
      <x:c r="C491" s="39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39"/>
      <x:c r="B492" s="39"/>
      <x:c r="C492" s="39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39"/>
      <x:c r="B493" s="39"/>
      <x:c r="C493" s="39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39"/>
      <x:c r="B494" s="39"/>
      <x:c r="C494" s="39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39"/>
      <x:c r="B495" s="39"/>
      <x:c r="C495" s="39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39"/>
      <x:c r="B496" s="39"/>
      <x:c r="C496" s="39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39"/>
      <x:c r="B497" s="39"/>
      <x:c r="C497" s="39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39"/>
      <x:c r="B498" s="39"/>
      <x:c r="C498" s="39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39"/>
      <x:c r="B499" s="39"/>
      <x:c r="C499" s="39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39"/>
      <x:c r="B500" s="39"/>
      <x:c r="C500" s="39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</x:cols>
  <x:sheetData>
    <x:row r="1" ht="27" customHeight="1">
      <x:c r="A1" s="6" t="str">
        <x:v>Mã bằng chứng</x:v>
      </x:c>
      <x:c r="B1" s="6" t="str">
        <x:v>Thời điểm</x:v>
      </x:c>
      <x:c r="C1" s="6" t="str">
        <x:v>Thao tác</x:v>
      </x:c>
      <x:c r="D1" s="6" t="str">
        <x:v>Thực thể</x:v>
      </x:c>
      <x:c r="E1" s="6" t="str">
        <x:v>Mã thực thể</x:v>
      </x:c>
      <x:c r="F1" s="6" t="str">
        <x:v>Chi tiết đã che</x:v>
      </x:c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9"/>
      <x:c r="B2" s="9"/>
      <x:c r="C2" s="9"/>
      <x:c r="D2" s="9"/>
      <x:c r="E2" s="9"/>
      <x:c r="F2" s="9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9"/>
      <x:c r="B3" s="9"/>
      <x:c r="C3" s="9"/>
      <x:c r="D3" s="9"/>
      <x:c r="E3" s="9"/>
      <x:c r="F3" s="9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9"/>
      <x:c r="B4" s="9"/>
      <x:c r="C4" s="9"/>
      <x:c r="D4" s="9"/>
      <x:c r="E4" s="9"/>
      <x:c r="F4" s="9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9"/>
      <x:c r="B5" s="9"/>
      <x:c r="C5" s="9"/>
      <x:c r="D5" s="9"/>
      <x:c r="E5" s="9"/>
      <x:c r="F5" s="9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9"/>
      <x:c r="B6" s="9"/>
      <x:c r="C6" s="9"/>
      <x:c r="D6" s="9"/>
      <x:c r="E6" s="9"/>
      <x:c r="F6" s="9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9"/>
      <x:c r="B7" s="9"/>
      <x:c r="C7" s="9"/>
      <x:c r="D7" s="9"/>
      <x:c r="E7" s="9"/>
      <x:c r="F7" s="9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9"/>
      <x:c r="B8" s="9"/>
      <x:c r="C8" s="9"/>
      <x:c r="D8" s="9"/>
      <x:c r="E8" s="9"/>
      <x:c r="F8" s="9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9"/>
      <x:c r="B9" s="9"/>
      <x:c r="C9" s="9"/>
      <x:c r="D9" s="9"/>
      <x:c r="E9" s="9"/>
      <x:c r="F9" s="9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9"/>
      <x:c r="B10" s="9"/>
      <x:c r="C10" s="9"/>
      <x:c r="D10" s="9"/>
      <x:c r="E10" s="9"/>
      <x:c r="F10" s="9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9"/>
      <x:c r="B11" s="9"/>
      <x:c r="C11" s="9"/>
      <x:c r="D11" s="9"/>
      <x:c r="E11" s="9"/>
      <x:c r="F11" s="9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9"/>
      <x:c r="B12" s="9"/>
      <x:c r="C12" s="9"/>
      <x:c r="D12" s="9"/>
      <x:c r="E12" s="9"/>
      <x:c r="F12" s="9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9"/>
      <x:c r="B13" s="9"/>
      <x:c r="C13" s="9"/>
      <x:c r="D13" s="9"/>
      <x:c r="E13" s="9"/>
      <x:c r="F13" s="9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9"/>
      <x:c r="B14" s="9"/>
      <x:c r="C14" s="9"/>
      <x:c r="D14" s="9"/>
      <x:c r="E14" s="9"/>
      <x:c r="F14" s="9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9"/>
      <x:c r="B15" s="9"/>
      <x:c r="C15" s="9"/>
      <x:c r="D15" s="9"/>
      <x:c r="E15" s="9"/>
      <x:c r="F15" s="9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9"/>
      <x:c r="B16" s="9"/>
      <x:c r="C16" s="9"/>
      <x:c r="D16" s="9"/>
      <x:c r="E16" s="9"/>
      <x:c r="F16" s="9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9"/>
      <x:c r="B17" s="9"/>
      <x:c r="C17" s="9"/>
      <x:c r="D17" s="9"/>
      <x:c r="E17" s="9"/>
      <x:c r="F17" s="9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9"/>
      <x:c r="B18" s="9"/>
      <x:c r="C18" s="9"/>
      <x:c r="D18" s="9"/>
      <x:c r="E18" s="9"/>
      <x:c r="F18" s="9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9"/>
      <x:c r="B19" s="9"/>
      <x:c r="C19" s="9"/>
      <x:c r="D19" s="9"/>
      <x:c r="E19" s="9"/>
      <x:c r="F19" s="9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9"/>
      <x:c r="B20" s="9"/>
      <x:c r="C20" s="9"/>
      <x:c r="D20" s="9"/>
      <x:c r="E20" s="9"/>
      <x:c r="F20" s="9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9"/>
      <x:c r="B21" s="9"/>
      <x:c r="C21" s="9"/>
      <x:c r="D21" s="9"/>
      <x:c r="E21" s="9"/>
      <x:c r="F21" s="9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9"/>
      <x:c r="B22" s="9"/>
      <x:c r="C22" s="9"/>
      <x:c r="D22" s="9"/>
      <x:c r="E22" s="9"/>
      <x:c r="F22" s="9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9"/>
      <x:c r="B23" s="9"/>
      <x:c r="C23" s="9"/>
      <x:c r="D23" s="9"/>
      <x:c r="E23" s="9"/>
      <x:c r="F23" s="9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9"/>
      <x:c r="B24" s="9"/>
      <x:c r="C24" s="9"/>
      <x:c r="D24" s="9"/>
      <x:c r="E24" s="9"/>
      <x:c r="F24" s="9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9"/>
      <x:c r="B25" s="9"/>
      <x:c r="C25" s="9"/>
      <x:c r="D25" s="9"/>
      <x:c r="E25" s="9"/>
      <x:c r="F25" s="9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9"/>
      <x:c r="B26" s="9"/>
      <x:c r="C26" s="9"/>
      <x:c r="D26" s="9"/>
      <x:c r="E26" s="9"/>
      <x:c r="F26" s="9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9"/>
      <x:c r="B27" s="9"/>
      <x:c r="C27" s="9"/>
      <x:c r="D27" s="9"/>
      <x:c r="E27" s="9"/>
      <x:c r="F27" s="9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9"/>
      <x:c r="B28" s="9"/>
      <x:c r="C28" s="9"/>
      <x:c r="D28" s="9"/>
      <x:c r="E28" s="9"/>
      <x:c r="F28" s="9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9"/>
      <x:c r="B29" s="9"/>
      <x:c r="C29" s="9"/>
      <x:c r="D29" s="9"/>
      <x:c r="E29" s="9"/>
      <x:c r="F29" s="9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9"/>
      <x:c r="B30" s="9"/>
      <x:c r="C30" s="9"/>
      <x:c r="D30" s="9"/>
      <x:c r="E30" s="9"/>
      <x:c r="F30" s="9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9"/>
      <x:c r="B31" s="9"/>
      <x:c r="C31" s="9"/>
      <x:c r="D31" s="9"/>
      <x:c r="E31" s="9"/>
      <x:c r="F31" s="9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9"/>
      <x:c r="B32" s="9"/>
      <x:c r="C32" s="9"/>
      <x:c r="D32" s="9"/>
      <x:c r="E32" s="9"/>
      <x:c r="F32" s="9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9"/>
      <x:c r="B33" s="9"/>
      <x:c r="C33" s="9"/>
      <x:c r="D33" s="9"/>
      <x:c r="E33" s="9"/>
      <x:c r="F33" s="9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9"/>
      <x:c r="B34" s="9"/>
      <x:c r="C34" s="9"/>
      <x:c r="D34" s="9"/>
      <x:c r="E34" s="9"/>
      <x:c r="F34" s="9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9"/>
      <x:c r="B35" s="9"/>
      <x:c r="C35" s="9"/>
      <x:c r="D35" s="9"/>
      <x:c r="E35" s="9"/>
      <x:c r="F35" s="9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9"/>
      <x:c r="B36" s="9"/>
      <x:c r="C36" s="9"/>
      <x:c r="D36" s="9"/>
      <x:c r="E36" s="9"/>
      <x:c r="F36" s="9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9"/>
      <x:c r="B37" s="9"/>
      <x:c r="C37" s="9"/>
      <x:c r="D37" s="9"/>
      <x:c r="E37" s="9"/>
      <x:c r="F37" s="9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9"/>
      <x:c r="B38" s="9"/>
      <x:c r="C38" s="9"/>
      <x:c r="D38" s="9"/>
      <x:c r="E38" s="9"/>
      <x:c r="F38" s="9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9"/>
      <x:c r="B39" s="9"/>
      <x:c r="C39" s="9"/>
      <x:c r="D39" s="9"/>
      <x:c r="E39" s="9"/>
      <x:c r="F39" s="9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9"/>
      <x:c r="B40" s="9"/>
      <x:c r="C40" s="9"/>
      <x:c r="D40" s="9"/>
      <x:c r="E40" s="9"/>
      <x:c r="F40" s="9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9"/>
      <x:c r="B41" s="9"/>
      <x:c r="C41" s="9"/>
      <x:c r="D41" s="9"/>
      <x:c r="E41" s="9"/>
      <x:c r="F41" s="9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9"/>
      <x:c r="B42" s="9"/>
      <x:c r="C42" s="9"/>
      <x:c r="D42" s="9"/>
      <x:c r="E42" s="9"/>
      <x:c r="F42" s="9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9"/>
      <x:c r="B43" s="9"/>
      <x:c r="C43" s="9"/>
      <x:c r="D43" s="9"/>
      <x:c r="E43" s="9"/>
      <x:c r="F43" s="9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9"/>
      <x:c r="B44" s="9"/>
      <x:c r="C44" s="9"/>
      <x:c r="D44" s="9"/>
      <x:c r="E44" s="9"/>
      <x:c r="F44" s="9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9"/>
      <x:c r="B45" s="9"/>
      <x:c r="C45" s="9"/>
      <x:c r="D45" s="9"/>
      <x:c r="E45" s="9"/>
      <x:c r="F45" s="9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9"/>
      <x:c r="B46" s="9"/>
      <x:c r="C46" s="9"/>
      <x:c r="D46" s="9"/>
      <x:c r="E46" s="9"/>
      <x:c r="F46" s="9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9"/>
      <x:c r="B47" s="9"/>
      <x:c r="C47" s="9"/>
      <x:c r="D47" s="9"/>
      <x:c r="E47" s="9"/>
      <x:c r="F47" s="9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9"/>
      <x:c r="B48" s="9"/>
      <x:c r="C48" s="9"/>
      <x:c r="D48" s="9"/>
      <x:c r="E48" s="9"/>
      <x:c r="F48" s="9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9"/>
      <x:c r="B49" s="9"/>
      <x:c r="C49" s="9"/>
      <x:c r="D49" s="9"/>
      <x:c r="E49" s="9"/>
      <x:c r="F49" s="9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9"/>
      <x:c r="B50" s="9"/>
      <x:c r="C50" s="9"/>
      <x:c r="D50" s="9"/>
      <x:c r="E50" s="9"/>
      <x:c r="F50" s="9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9"/>
      <x:c r="B51" s="9"/>
      <x:c r="C51" s="9"/>
      <x:c r="D51" s="9"/>
      <x:c r="E51" s="9"/>
      <x:c r="F51" s="9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9"/>
      <x:c r="B52" s="9"/>
      <x:c r="C52" s="9"/>
      <x:c r="D52" s="9"/>
      <x:c r="E52" s="9"/>
      <x:c r="F52" s="9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9"/>
      <x:c r="B53" s="9"/>
      <x:c r="C53" s="9"/>
      <x:c r="D53" s="9"/>
      <x:c r="E53" s="9"/>
      <x:c r="F53" s="9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9"/>
      <x:c r="B54" s="9"/>
      <x:c r="C54" s="9"/>
      <x:c r="D54" s="9"/>
      <x:c r="E54" s="9"/>
      <x:c r="F54" s="9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9"/>
      <x:c r="B55" s="9"/>
      <x:c r="C55" s="9"/>
      <x:c r="D55" s="9"/>
      <x:c r="E55" s="9"/>
      <x:c r="F55" s="9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9"/>
      <x:c r="B56" s="9"/>
      <x:c r="C56" s="9"/>
      <x:c r="D56" s="9"/>
      <x:c r="E56" s="9"/>
      <x:c r="F56" s="9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9"/>
      <x:c r="B57" s="9"/>
      <x:c r="C57" s="9"/>
      <x:c r="D57" s="9"/>
      <x:c r="E57" s="9"/>
      <x:c r="F57" s="9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9"/>
      <x:c r="B58" s="9"/>
      <x:c r="C58" s="9"/>
      <x:c r="D58" s="9"/>
      <x:c r="E58" s="9"/>
      <x:c r="F58" s="9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9"/>
      <x:c r="B59" s="9"/>
      <x:c r="C59" s="9"/>
      <x:c r="D59" s="9"/>
      <x:c r="E59" s="9"/>
      <x:c r="F59" s="9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9"/>
      <x:c r="B60" s="9"/>
      <x:c r="C60" s="9"/>
      <x:c r="D60" s="9"/>
      <x:c r="E60" s="9"/>
      <x:c r="F60" s="9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9"/>
      <x:c r="B61" s="9"/>
      <x:c r="C61" s="9"/>
      <x:c r="D61" s="9"/>
      <x:c r="E61" s="9"/>
      <x:c r="F61" s="9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9"/>
      <x:c r="B62" s="9"/>
      <x:c r="C62" s="9"/>
      <x:c r="D62" s="9"/>
      <x:c r="E62" s="9"/>
      <x:c r="F62" s="9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9"/>
      <x:c r="B63" s="9"/>
      <x:c r="C63" s="9"/>
      <x:c r="D63" s="9"/>
      <x:c r="E63" s="9"/>
      <x:c r="F63" s="9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9"/>
      <x:c r="B64" s="9"/>
      <x:c r="C64" s="9"/>
      <x:c r="D64" s="9"/>
      <x:c r="E64" s="9"/>
      <x:c r="F64" s="9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9"/>
      <x:c r="B65" s="9"/>
      <x:c r="C65" s="9"/>
      <x:c r="D65" s="9"/>
      <x:c r="E65" s="9"/>
      <x:c r="F65" s="9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9"/>
      <x:c r="B66" s="9"/>
      <x:c r="C66" s="9"/>
      <x:c r="D66" s="9"/>
      <x:c r="E66" s="9"/>
      <x:c r="F66" s="9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9"/>
      <x:c r="B67" s="9"/>
      <x:c r="C67" s="9"/>
      <x:c r="D67" s="9"/>
      <x:c r="E67" s="9"/>
      <x:c r="F67" s="9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9"/>
      <x:c r="B68" s="9"/>
      <x:c r="C68" s="9"/>
      <x:c r="D68" s="9"/>
      <x:c r="E68" s="9"/>
      <x:c r="F68" s="9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9"/>
      <x:c r="B69" s="9"/>
      <x:c r="C69" s="9"/>
      <x:c r="D69" s="9"/>
      <x:c r="E69" s="9"/>
      <x:c r="F69" s="9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9"/>
      <x:c r="B70" s="9"/>
      <x:c r="C70" s="9"/>
      <x:c r="D70" s="9"/>
      <x:c r="E70" s="9"/>
      <x:c r="F70" s="9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9"/>
      <x:c r="B71" s="9"/>
      <x:c r="C71" s="9"/>
      <x:c r="D71" s="9"/>
      <x:c r="E71" s="9"/>
      <x:c r="F71" s="9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9"/>
      <x:c r="B72" s="9"/>
      <x:c r="C72" s="9"/>
      <x:c r="D72" s="9"/>
      <x:c r="E72" s="9"/>
      <x:c r="F72" s="9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9"/>
      <x:c r="B73" s="9"/>
      <x:c r="C73" s="9"/>
      <x:c r="D73" s="9"/>
      <x:c r="E73" s="9"/>
      <x:c r="F73" s="9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9"/>
      <x:c r="B74" s="9"/>
      <x:c r="C74" s="9"/>
      <x:c r="D74" s="9"/>
      <x:c r="E74" s="9"/>
      <x:c r="F74" s="9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9"/>
      <x:c r="B75" s="9"/>
      <x:c r="C75" s="9"/>
      <x:c r="D75" s="9"/>
      <x:c r="E75" s="9"/>
      <x:c r="F75" s="9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9"/>
      <x:c r="B76" s="9"/>
      <x:c r="C76" s="9"/>
      <x:c r="D76" s="9"/>
      <x:c r="E76" s="9"/>
      <x:c r="F76" s="9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9"/>
      <x:c r="B77" s="9"/>
      <x:c r="C77" s="9"/>
      <x:c r="D77" s="9"/>
      <x:c r="E77" s="9"/>
      <x:c r="F77" s="9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9"/>
      <x:c r="B78" s="9"/>
      <x:c r="C78" s="9"/>
      <x:c r="D78" s="9"/>
      <x:c r="E78" s="9"/>
      <x:c r="F78" s="9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9"/>
      <x:c r="B79" s="9"/>
      <x:c r="C79" s="9"/>
      <x:c r="D79" s="9"/>
      <x:c r="E79" s="9"/>
      <x:c r="F79" s="9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9"/>
      <x:c r="B80" s="9"/>
      <x:c r="C80" s="9"/>
      <x:c r="D80" s="9"/>
      <x:c r="E80" s="9"/>
      <x:c r="F80" s="9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9"/>
      <x:c r="B81" s="9"/>
      <x:c r="C81" s="9"/>
      <x:c r="D81" s="9"/>
      <x:c r="E81" s="9"/>
      <x:c r="F81" s="9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9"/>
      <x:c r="B82" s="9"/>
      <x:c r="C82" s="9"/>
      <x:c r="D82" s="9"/>
      <x:c r="E82" s="9"/>
      <x:c r="F82" s="9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9"/>
      <x:c r="B83" s="9"/>
      <x:c r="C83" s="9"/>
      <x:c r="D83" s="9"/>
      <x:c r="E83" s="9"/>
      <x:c r="F83" s="9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9"/>
      <x:c r="B84" s="9"/>
      <x:c r="C84" s="9"/>
      <x:c r="D84" s="9"/>
      <x:c r="E84" s="9"/>
      <x:c r="F84" s="9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9"/>
      <x:c r="B85" s="9"/>
      <x:c r="C85" s="9"/>
      <x:c r="D85" s="9"/>
      <x:c r="E85" s="9"/>
      <x:c r="F85" s="9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9"/>
      <x:c r="B86" s="9"/>
      <x:c r="C86" s="9"/>
      <x:c r="D86" s="9"/>
      <x:c r="E86" s="9"/>
      <x:c r="F86" s="9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9"/>
      <x:c r="B87" s="9"/>
      <x:c r="C87" s="9"/>
      <x:c r="D87" s="9"/>
      <x:c r="E87" s="9"/>
      <x:c r="F87" s="9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9"/>
      <x:c r="B88" s="9"/>
      <x:c r="C88" s="9"/>
      <x:c r="D88" s="9"/>
      <x:c r="E88" s="9"/>
      <x:c r="F88" s="9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9"/>
      <x:c r="B89" s="9"/>
      <x:c r="C89" s="9"/>
      <x:c r="D89" s="9"/>
      <x:c r="E89" s="9"/>
      <x:c r="F89" s="9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9"/>
      <x:c r="B90" s="9"/>
      <x:c r="C90" s="9"/>
      <x:c r="D90" s="9"/>
      <x:c r="E90" s="9"/>
      <x:c r="F90" s="9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9"/>
      <x:c r="B91" s="9"/>
      <x:c r="C91" s="9"/>
      <x:c r="D91" s="9"/>
      <x:c r="E91" s="9"/>
      <x:c r="F91" s="9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9"/>
      <x:c r="B92" s="9"/>
      <x:c r="C92" s="9"/>
      <x:c r="D92" s="9"/>
      <x:c r="E92" s="9"/>
      <x:c r="F92" s="9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9"/>
      <x:c r="B93" s="9"/>
      <x:c r="C93" s="9"/>
      <x:c r="D93" s="9"/>
      <x:c r="E93" s="9"/>
      <x:c r="F93" s="9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9"/>
      <x:c r="B94" s="9"/>
      <x:c r="C94" s="9"/>
      <x:c r="D94" s="9"/>
      <x:c r="E94" s="9"/>
      <x:c r="F94" s="9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9"/>
      <x:c r="B95" s="9"/>
      <x:c r="C95" s="9"/>
      <x:c r="D95" s="9"/>
      <x:c r="E95" s="9"/>
      <x:c r="F95" s="9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9"/>
      <x:c r="B96" s="9"/>
      <x:c r="C96" s="9"/>
      <x:c r="D96" s="9"/>
      <x:c r="E96" s="9"/>
      <x:c r="F96" s="9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9"/>
      <x:c r="B97" s="9"/>
      <x:c r="C97" s="9"/>
      <x:c r="D97" s="9"/>
      <x:c r="E97" s="9"/>
      <x:c r="F97" s="9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9"/>
      <x:c r="B98" s="9"/>
      <x:c r="C98" s="9"/>
      <x:c r="D98" s="9"/>
      <x:c r="E98" s="9"/>
      <x:c r="F98" s="9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9"/>
      <x:c r="B99" s="9"/>
      <x:c r="C99" s="9"/>
      <x:c r="D99" s="9"/>
      <x:c r="E99" s="9"/>
      <x:c r="F99" s="9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9"/>
      <x:c r="B100" s="9"/>
      <x:c r="C100" s="9"/>
      <x:c r="D100" s="9"/>
      <x:c r="E100" s="9"/>
      <x:c r="F100" s="9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9"/>
      <x:c r="B101" s="9"/>
      <x:c r="C101" s="9"/>
      <x:c r="D101" s="9"/>
      <x:c r="E101" s="9"/>
      <x:c r="F101" s="9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9"/>
      <x:c r="B102" s="9"/>
      <x:c r="C102" s="9"/>
      <x:c r="D102" s="9"/>
      <x:c r="E102" s="9"/>
      <x:c r="F102" s="9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9"/>
      <x:c r="B103" s="9"/>
      <x:c r="C103" s="9"/>
      <x:c r="D103" s="9"/>
      <x:c r="E103" s="9"/>
      <x:c r="F103" s="9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9"/>
      <x:c r="B104" s="9"/>
      <x:c r="C104" s="9"/>
      <x:c r="D104" s="9"/>
      <x:c r="E104" s="9"/>
      <x:c r="F104" s="9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9"/>
      <x:c r="B105" s="9"/>
      <x:c r="C105" s="9"/>
      <x:c r="D105" s="9"/>
      <x:c r="E105" s="9"/>
      <x:c r="F105" s="9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9"/>
      <x:c r="B106" s="9"/>
      <x:c r="C106" s="9"/>
      <x:c r="D106" s="9"/>
      <x:c r="E106" s="9"/>
      <x:c r="F106" s="9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9"/>
      <x:c r="B107" s="9"/>
      <x:c r="C107" s="9"/>
      <x:c r="D107" s="9"/>
      <x:c r="E107" s="9"/>
      <x:c r="F107" s="9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9"/>
      <x:c r="B108" s="9"/>
      <x:c r="C108" s="9"/>
      <x:c r="D108" s="9"/>
      <x:c r="E108" s="9"/>
      <x:c r="F108" s="9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9"/>
      <x:c r="B109" s="9"/>
      <x:c r="C109" s="9"/>
      <x:c r="D109" s="9"/>
      <x:c r="E109" s="9"/>
      <x:c r="F109" s="9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9"/>
      <x:c r="B110" s="9"/>
      <x:c r="C110" s="9"/>
      <x:c r="D110" s="9"/>
      <x:c r="E110" s="9"/>
      <x:c r="F110" s="9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9"/>
      <x:c r="B111" s="9"/>
      <x:c r="C111" s="9"/>
      <x:c r="D111" s="9"/>
      <x:c r="E111" s="9"/>
      <x:c r="F111" s="9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9"/>
      <x:c r="B112" s="9"/>
      <x:c r="C112" s="9"/>
      <x:c r="D112" s="9"/>
      <x:c r="E112" s="9"/>
      <x:c r="F112" s="9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9"/>
      <x:c r="B113" s="9"/>
      <x:c r="C113" s="9"/>
      <x:c r="D113" s="9"/>
      <x:c r="E113" s="9"/>
      <x:c r="F113" s="9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9"/>
      <x:c r="B114" s="9"/>
      <x:c r="C114" s="9"/>
      <x:c r="D114" s="9"/>
      <x:c r="E114" s="9"/>
      <x:c r="F114" s="9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9"/>
      <x:c r="B115" s="9"/>
      <x:c r="C115" s="9"/>
      <x:c r="D115" s="9"/>
      <x:c r="E115" s="9"/>
      <x:c r="F115" s="9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9"/>
      <x:c r="B116" s="9"/>
      <x:c r="C116" s="9"/>
      <x:c r="D116" s="9"/>
      <x:c r="E116" s="9"/>
      <x:c r="F116" s="9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9"/>
      <x:c r="B117" s="9"/>
      <x:c r="C117" s="9"/>
      <x:c r="D117" s="9"/>
      <x:c r="E117" s="9"/>
      <x:c r="F117" s="9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9"/>
      <x:c r="B118" s="9"/>
      <x:c r="C118" s="9"/>
      <x:c r="D118" s="9"/>
      <x:c r="E118" s="9"/>
      <x:c r="F118" s="9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9"/>
      <x:c r="B119" s="9"/>
      <x:c r="C119" s="9"/>
      <x:c r="D119" s="9"/>
      <x:c r="E119" s="9"/>
      <x:c r="F119" s="9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9"/>
      <x:c r="B120" s="9"/>
      <x:c r="C120" s="9"/>
      <x:c r="D120" s="9"/>
      <x:c r="E120" s="9"/>
      <x:c r="F120" s="9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9"/>
      <x:c r="B121" s="9"/>
      <x:c r="C121" s="9"/>
      <x:c r="D121" s="9"/>
      <x:c r="E121" s="9"/>
      <x:c r="F121" s="9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9"/>
      <x:c r="B122" s="9"/>
      <x:c r="C122" s="9"/>
      <x:c r="D122" s="9"/>
      <x:c r="E122" s="9"/>
      <x:c r="F122" s="9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9"/>
      <x:c r="B123" s="9"/>
      <x:c r="C123" s="9"/>
      <x:c r="D123" s="9"/>
      <x:c r="E123" s="9"/>
      <x:c r="F123" s="9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9"/>
      <x:c r="B124" s="9"/>
      <x:c r="C124" s="9"/>
      <x:c r="D124" s="9"/>
      <x:c r="E124" s="9"/>
      <x:c r="F124" s="9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9"/>
      <x:c r="B125" s="9"/>
      <x:c r="C125" s="9"/>
      <x:c r="D125" s="9"/>
      <x:c r="E125" s="9"/>
      <x:c r="F125" s="9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9"/>
      <x:c r="B126" s="9"/>
      <x:c r="C126" s="9"/>
      <x:c r="D126" s="9"/>
      <x:c r="E126" s="9"/>
      <x:c r="F126" s="9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9"/>
      <x:c r="B127" s="9"/>
      <x:c r="C127" s="9"/>
      <x:c r="D127" s="9"/>
      <x:c r="E127" s="9"/>
      <x:c r="F127" s="9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9"/>
      <x:c r="B128" s="9"/>
      <x:c r="C128" s="9"/>
      <x:c r="D128" s="9"/>
      <x:c r="E128" s="9"/>
      <x:c r="F128" s="9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9"/>
      <x:c r="B129" s="9"/>
      <x:c r="C129" s="9"/>
      <x:c r="D129" s="9"/>
      <x:c r="E129" s="9"/>
      <x:c r="F129" s="9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9"/>
      <x:c r="B130" s="9"/>
      <x:c r="C130" s="9"/>
      <x:c r="D130" s="9"/>
      <x:c r="E130" s="9"/>
      <x:c r="F130" s="9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9"/>
      <x:c r="B131" s="9"/>
      <x:c r="C131" s="9"/>
      <x:c r="D131" s="9"/>
      <x:c r="E131" s="9"/>
      <x:c r="F131" s="9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9"/>
      <x:c r="B132" s="9"/>
      <x:c r="C132" s="9"/>
      <x:c r="D132" s="9"/>
      <x:c r="E132" s="9"/>
      <x:c r="F132" s="9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9"/>
      <x:c r="B133" s="9"/>
      <x:c r="C133" s="9"/>
      <x:c r="D133" s="9"/>
      <x:c r="E133" s="9"/>
      <x:c r="F133" s="9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9"/>
      <x:c r="B134" s="9"/>
      <x:c r="C134" s="9"/>
      <x:c r="D134" s="9"/>
      <x:c r="E134" s="9"/>
      <x:c r="F134" s="9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9"/>
      <x:c r="B135" s="9"/>
      <x:c r="C135" s="9"/>
      <x:c r="D135" s="9"/>
      <x:c r="E135" s="9"/>
      <x:c r="F135" s="9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9"/>
      <x:c r="B136" s="9"/>
      <x:c r="C136" s="9"/>
      <x:c r="D136" s="9"/>
      <x:c r="E136" s="9"/>
      <x:c r="F136" s="9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9"/>
      <x:c r="B137" s="9"/>
      <x:c r="C137" s="9"/>
      <x:c r="D137" s="9"/>
      <x:c r="E137" s="9"/>
      <x:c r="F137" s="9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9"/>
      <x:c r="B138" s="9"/>
      <x:c r="C138" s="9"/>
      <x:c r="D138" s="9"/>
      <x:c r="E138" s="9"/>
      <x:c r="F138" s="9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9"/>
      <x:c r="B139" s="9"/>
      <x:c r="C139" s="9"/>
      <x:c r="D139" s="9"/>
      <x:c r="E139" s="9"/>
      <x:c r="F139" s="9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9"/>
      <x:c r="B140" s="9"/>
      <x:c r="C140" s="9"/>
      <x:c r="D140" s="9"/>
      <x:c r="E140" s="9"/>
      <x:c r="F140" s="9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9"/>
      <x:c r="B141" s="9"/>
      <x:c r="C141" s="9"/>
      <x:c r="D141" s="9"/>
      <x:c r="E141" s="9"/>
      <x:c r="F141" s="9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9"/>
      <x:c r="B142" s="9"/>
      <x:c r="C142" s="9"/>
      <x:c r="D142" s="9"/>
      <x:c r="E142" s="9"/>
      <x:c r="F142" s="9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9"/>
      <x:c r="B143" s="9"/>
      <x:c r="C143" s="9"/>
      <x:c r="D143" s="9"/>
      <x:c r="E143" s="9"/>
      <x:c r="F143" s="9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9"/>
      <x:c r="B144" s="9"/>
      <x:c r="C144" s="9"/>
      <x:c r="D144" s="9"/>
      <x:c r="E144" s="9"/>
      <x:c r="F144" s="9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9"/>
      <x:c r="B145" s="9"/>
      <x:c r="C145" s="9"/>
      <x:c r="D145" s="9"/>
      <x:c r="E145" s="9"/>
      <x:c r="F145" s="9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9"/>
      <x:c r="B146" s="9"/>
      <x:c r="C146" s="9"/>
      <x:c r="D146" s="9"/>
      <x:c r="E146" s="9"/>
      <x:c r="F146" s="9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9"/>
      <x:c r="B147" s="9"/>
      <x:c r="C147" s="9"/>
      <x:c r="D147" s="9"/>
      <x:c r="E147" s="9"/>
      <x:c r="F147" s="9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9"/>
      <x:c r="B148" s="9"/>
      <x:c r="C148" s="9"/>
      <x:c r="D148" s="9"/>
      <x:c r="E148" s="9"/>
      <x:c r="F148" s="9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9"/>
      <x:c r="B149" s="9"/>
      <x:c r="C149" s="9"/>
      <x:c r="D149" s="9"/>
      <x:c r="E149" s="9"/>
      <x:c r="F149" s="9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9"/>
      <x:c r="B150" s="9"/>
      <x:c r="C150" s="9"/>
      <x:c r="D150" s="9"/>
      <x:c r="E150" s="9"/>
      <x:c r="F150" s="9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9"/>
      <x:c r="B151" s="9"/>
      <x:c r="C151" s="9"/>
      <x:c r="D151" s="9"/>
      <x:c r="E151" s="9"/>
      <x:c r="F151" s="9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9"/>
      <x:c r="B152" s="9"/>
      <x:c r="C152" s="9"/>
      <x:c r="D152" s="9"/>
      <x:c r="E152" s="9"/>
      <x:c r="F152" s="9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9"/>
      <x:c r="B153" s="9"/>
      <x:c r="C153" s="9"/>
      <x:c r="D153" s="9"/>
      <x:c r="E153" s="9"/>
      <x:c r="F153" s="9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9"/>
      <x:c r="B154" s="9"/>
      <x:c r="C154" s="9"/>
      <x:c r="D154" s="9"/>
      <x:c r="E154" s="9"/>
      <x:c r="F154" s="9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9"/>
      <x:c r="B155" s="9"/>
      <x:c r="C155" s="9"/>
      <x:c r="D155" s="9"/>
      <x:c r="E155" s="9"/>
      <x:c r="F155" s="9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9"/>
      <x:c r="B156" s="9"/>
      <x:c r="C156" s="9"/>
      <x:c r="D156" s="9"/>
      <x:c r="E156" s="9"/>
      <x:c r="F156" s="9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9"/>
      <x:c r="B157" s="9"/>
      <x:c r="C157" s="9"/>
      <x:c r="D157" s="9"/>
      <x:c r="E157" s="9"/>
      <x:c r="F157" s="9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9"/>
      <x:c r="B158" s="9"/>
      <x:c r="C158" s="9"/>
      <x:c r="D158" s="9"/>
      <x:c r="E158" s="9"/>
      <x:c r="F158" s="9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9"/>
      <x:c r="B159" s="9"/>
      <x:c r="C159" s="9"/>
      <x:c r="D159" s="9"/>
      <x:c r="E159" s="9"/>
      <x:c r="F159" s="9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9"/>
      <x:c r="B160" s="9"/>
      <x:c r="C160" s="9"/>
      <x:c r="D160" s="9"/>
      <x:c r="E160" s="9"/>
      <x:c r="F160" s="9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9"/>
      <x:c r="B161" s="9"/>
      <x:c r="C161" s="9"/>
      <x:c r="D161" s="9"/>
      <x:c r="E161" s="9"/>
      <x:c r="F161" s="9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9"/>
      <x:c r="B162" s="9"/>
      <x:c r="C162" s="9"/>
      <x:c r="D162" s="9"/>
      <x:c r="E162" s="9"/>
      <x:c r="F162" s="9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9"/>
      <x:c r="B163" s="9"/>
      <x:c r="C163" s="9"/>
      <x:c r="D163" s="9"/>
      <x:c r="E163" s="9"/>
      <x:c r="F163" s="9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9"/>
      <x:c r="B164" s="9"/>
      <x:c r="C164" s="9"/>
      <x:c r="D164" s="9"/>
      <x:c r="E164" s="9"/>
      <x:c r="F164" s="9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9"/>
      <x:c r="B165" s="9"/>
      <x:c r="C165" s="9"/>
      <x:c r="D165" s="9"/>
      <x:c r="E165" s="9"/>
      <x:c r="F165" s="9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9"/>
      <x:c r="B166" s="9"/>
      <x:c r="C166" s="9"/>
      <x:c r="D166" s="9"/>
      <x:c r="E166" s="9"/>
      <x:c r="F166" s="9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9"/>
      <x:c r="B167" s="9"/>
      <x:c r="C167" s="9"/>
      <x:c r="D167" s="9"/>
      <x:c r="E167" s="9"/>
      <x:c r="F167" s="9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9"/>
      <x:c r="B168" s="9"/>
      <x:c r="C168" s="9"/>
      <x:c r="D168" s="9"/>
      <x:c r="E168" s="9"/>
      <x:c r="F168" s="9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9"/>
      <x:c r="B169" s="9"/>
      <x:c r="C169" s="9"/>
      <x:c r="D169" s="9"/>
      <x:c r="E169" s="9"/>
      <x:c r="F169" s="9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9"/>
      <x:c r="B170" s="9"/>
      <x:c r="C170" s="9"/>
      <x:c r="D170" s="9"/>
      <x:c r="E170" s="9"/>
      <x:c r="F170" s="9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9"/>
      <x:c r="B171" s="9"/>
      <x:c r="C171" s="9"/>
      <x:c r="D171" s="9"/>
      <x:c r="E171" s="9"/>
      <x:c r="F171" s="9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9"/>
      <x:c r="B172" s="9"/>
      <x:c r="C172" s="9"/>
      <x:c r="D172" s="9"/>
      <x:c r="E172" s="9"/>
      <x:c r="F172" s="9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9"/>
      <x:c r="B173" s="9"/>
      <x:c r="C173" s="9"/>
      <x:c r="D173" s="9"/>
      <x:c r="E173" s="9"/>
      <x:c r="F173" s="9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9"/>
      <x:c r="B174" s="9"/>
      <x:c r="C174" s="9"/>
      <x:c r="D174" s="9"/>
      <x:c r="E174" s="9"/>
      <x:c r="F174" s="9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9"/>
      <x:c r="B175" s="9"/>
      <x:c r="C175" s="9"/>
      <x:c r="D175" s="9"/>
      <x:c r="E175" s="9"/>
      <x:c r="F175" s="9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9"/>
      <x:c r="B176" s="9"/>
      <x:c r="C176" s="9"/>
      <x:c r="D176" s="9"/>
      <x:c r="E176" s="9"/>
      <x:c r="F176" s="9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9"/>
      <x:c r="B177" s="9"/>
      <x:c r="C177" s="9"/>
      <x:c r="D177" s="9"/>
      <x:c r="E177" s="9"/>
      <x:c r="F177" s="9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9"/>
      <x:c r="B178" s="9"/>
      <x:c r="C178" s="9"/>
      <x:c r="D178" s="9"/>
      <x:c r="E178" s="9"/>
      <x:c r="F178" s="9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9"/>
      <x:c r="B179" s="9"/>
      <x:c r="C179" s="9"/>
      <x:c r="D179" s="9"/>
      <x:c r="E179" s="9"/>
      <x:c r="F179" s="9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9"/>
      <x:c r="B180" s="9"/>
      <x:c r="C180" s="9"/>
      <x:c r="D180" s="9"/>
      <x:c r="E180" s="9"/>
      <x:c r="F180" s="9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9"/>
      <x:c r="B181" s="9"/>
      <x:c r="C181" s="9"/>
      <x:c r="D181" s="9"/>
      <x:c r="E181" s="9"/>
      <x:c r="F181" s="9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9"/>
      <x:c r="B182" s="9"/>
      <x:c r="C182" s="9"/>
      <x:c r="D182" s="9"/>
      <x:c r="E182" s="9"/>
      <x:c r="F182" s="9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9"/>
      <x:c r="B183" s="9"/>
      <x:c r="C183" s="9"/>
      <x:c r="D183" s="9"/>
      <x:c r="E183" s="9"/>
      <x:c r="F183" s="9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9"/>
      <x:c r="B184" s="9"/>
      <x:c r="C184" s="9"/>
      <x:c r="D184" s="9"/>
      <x:c r="E184" s="9"/>
      <x:c r="F184" s="9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9"/>
      <x:c r="B185" s="9"/>
      <x:c r="C185" s="9"/>
      <x:c r="D185" s="9"/>
      <x:c r="E185" s="9"/>
      <x:c r="F185" s="9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9"/>
      <x:c r="B186" s="9"/>
      <x:c r="C186" s="9"/>
      <x:c r="D186" s="9"/>
      <x:c r="E186" s="9"/>
      <x:c r="F186" s="9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9"/>
      <x:c r="B187" s="9"/>
      <x:c r="C187" s="9"/>
      <x:c r="D187" s="9"/>
      <x:c r="E187" s="9"/>
      <x:c r="F187" s="9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9"/>
      <x:c r="B188" s="9"/>
      <x:c r="C188" s="9"/>
      <x:c r="D188" s="9"/>
      <x:c r="E188" s="9"/>
      <x:c r="F188" s="9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9"/>
      <x:c r="B189" s="9"/>
      <x:c r="C189" s="9"/>
      <x:c r="D189" s="9"/>
      <x:c r="E189" s="9"/>
      <x:c r="F189" s="9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9"/>
      <x:c r="B190" s="9"/>
      <x:c r="C190" s="9"/>
      <x:c r="D190" s="9"/>
      <x:c r="E190" s="9"/>
      <x:c r="F190" s="9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9"/>
      <x:c r="B191" s="9"/>
      <x:c r="C191" s="9"/>
      <x:c r="D191" s="9"/>
      <x:c r="E191" s="9"/>
      <x:c r="F191" s="9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9"/>
      <x:c r="B192" s="9"/>
      <x:c r="C192" s="9"/>
      <x:c r="D192" s="9"/>
      <x:c r="E192" s="9"/>
      <x:c r="F192" s="9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9"/>
      <x:c r="B193" s="9"/>
      <x:c r="C193" s="9"/>
      <x:c r="D193" s="9"/>
      <x:c r="E193" s="9"/>
      <x:c r="F193" s="9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9"/>
      <x:c r="B194" s="9"/>
      <x:c r="C194" s="9"/>
      <x:c r="D194" s="9"/>
      <x:c r="E194" s="9"/>
      <x:c r="F194" s="9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9"/>
      <x:c r="B195" s="9"/>
      <x:c r="C195" s="9"/>
      <x:c r="D195" s="9"/>
      <x:c r="E195" s="9"/>
      <x:c r="F195" s="9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9"/>
      <x:c r="B196" s="9"/>
      <x:c r="C196" s="9"/>
      <x:c r="D196" s="9"/>
      <x:c r="E196" s="9"/>
      <x:c r="F196" s="9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9"/>
      <x:c r="B197" s="9"/>
      <x:c r="C197" s="9"/>
      <x:c r="D197" s="9"/>
      <x:c r="E197" s="9"/>
      <x:c r="F197" s="9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9"/>
      <x:c r="B198" s="9"/>
      <x:c r="C198" s="9"/>
      <x:c r="D198" s="9"/>
      <x:c r="E198" s="9"/>
      <x:c r="F198" s="9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9"/>
      <x:c r="B199" s="9"/>
      <x:c r="C199" s="9"/>
      <x:c r="D199" s="9"/>
      <x:c r="E199" s="9"/>
      <x:c r="F199" s="9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9"/>
      <x:c r="B200" s="9"/>
      <x:c r="C200" s="9"/>
      <x:c r="D200" s="9"/>
      <x:c r="E200" s="9"/>
      <x:c r="F200" s="9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9"/>
      <x:c r="B201" s="9"/>
      <x:c r="C201" s="9"/>
      <x:c r="D201" s="9"/>
      <x:c r="E201" s="9"/>
      <x:c r="F201" s="9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9"/>
      <x:c r="B202" s="9"/>
      <x:c r="C202" s="9"/>
      <x:c r="D202" s="9"/>
      <x:c r="E202" s="9"/>
      <x:c r="F202" s="9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9"/>
      <x:c r="B203" s="9"/>
      <x:c r="C203" s="9"/>
      <x:c r="D203" s="9"/>
      <x:c r="E203" s="9"/>
      <x:c r="F203" s="9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9"/>
      <x:c r="B204" s="9"/>
      <x:c r="C204" s="9"/>
      <x:c r="D204" s="9"/>
      <x:c r="E204" s="9"/>
      <x:c r="F204" s="9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9"/>
      <x:c r="B205" s="9"/>
      <x:c r="C205" s="9"/>
      <x:c r="D205" s="9"/>
      <x:c r="E205" s="9"/>
      <x:c r="F205" s="9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9"/>
      <x:c r="B206" s="9"/>
      <x:c r="C206" s="9"/>
      <x:c r="D206" s="9"/>
      <x:c r="E206" s="9"/>
      <x:c r="F206" s="9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9"/>
      <x:c r="B207" s="9"/>
      <x:c r="C207" s="9"/>
      <x:c r="D207" s="9"/>
      <x:c r="E207" s="9"/>
      <x:c r="F207" s="9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9"/>
      <x:c r="B208" s="9"/>
      <x:c r="C208" s="9"/>
      <x:c r="D208" s="9"/>
      <x:c r="E208" s="9"/>
      <x:c r="F208" s="9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9"/>
      <x:c r="B209" s="9"/>
      <x:c r="C209" s="9"/>
      <x:c r="D209" s="9"/>
      <x:c r="E209" s="9"/>
      <x:c r="F209" s="9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9"/>
      <x:c r="B210" s="9"/>
      <x:c r="C210" s="9"/>
      <x:c r="D210" s="9"/>
      <x:c r="E210" s="9"/>
      <x:c r="F210" s="9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9"/>
      <x:c r="B211" s="9"/>
      <x:c r="C211" s="9"/>
      <x:c r="D211" s="9"/>
      <x:c r="E211" s="9"/>
      <x:c r="F211" s="9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9"/>
      <x:c r="B212" s="9"/>
      <x:c r="C212" s="9"/>
      <x:c r="D212" s="9"/>
      <x:c r="E212" s="9"/>
      <x:c r="F212" s="9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9"/>
      <x:c r="B213" s="9"/>
      <x:c r="C213" s="9"/>
      <x:c r="D213" s="9"/>
      <x:c r="E213" s="9"/>
      <x:c r="F213" s="9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9"/>
      <x:c r="B214" s="9"/>
      <x:c r="C214" s="9"/>
      <x:c r="D214" s="9"/>
      <x:c r="E214" s="9"/>
      <x:c r="F214" s="9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9"/>
      <x:c r="B215" s="9"/>
      <x:c r="C215" s="9"/>
      <x:c r="D215" s="9"/>
      <x:c r="E215" s="9"/>
      <x:c r="F215" s="9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9"/>
      <x:c r="B216" s="9"/>
      <x:c r="C216" s="9"/>
      <x:c r="D216" s="9"/>
      <x:c r="E216" s="9"/>
      <x:c r="F216" s="9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9"/>
      <x:c r="B217" s="9"/>
      <x:c r="C217" s="9"/>
      <x:c r="D217" s="9"/>
      <x:c r="E217" s="9"/>
      <x:c r="F217" s="9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9"/>
      <x:c r="B218" s="9"/>
      <x:c r="C218" s="9"/>
      <x:c r="D218" s="9"/>
      <x:c r="E218" s="9"/>
      <x:c r="F218" s="9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9"/>
      <x:c r="B219" s="9"/>
      <x:c r="C219" s="9"/>
      <x:c r="D219" s="9"/>
      <x:c r="E219" s="9"/>
      <x:c r="F219" s="9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9"/>
      <x:c r="B220" s="9"/>
      <x:c r="C220" s="9"/>
      <x:c r="D220" s="9"/>
      <x:c r="E220" s="9"/>
      <x:c r="F220" s="9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9"/>
      <x:c r="B221" s="9"/>
      <x:c r="C221" s="9"/>
      <x:c r="D221" s="9"/>
      <x:c r="E221" s="9"/>
      <x:c r="F221" s="9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9"/>
      <x:c r="B222" s="9"/>
      <x:c r="C222" s="9"/>
      <x:c r="D222" s="9"/>
      <x:c r="E222" s="9"/>
      <x:c r="F222" s="9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9"/>
      <x:c r="B223" s="9"/>
      <x:c r="C223" s="9"/>
      <x:c r="D223" s="9"/>
      <x:c r="E223" s="9"/>
      <x:c r="F223" s="9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9"/>
      <x:c r="B224" s="9"/>
      <x:c r="C224" s="9"/>
      <x:c r="D224" s="9"/>
      <x:c r="E224" s="9"/>
      <x:c r="F224" s="9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9"/>
      <x:c r="B225" s="9"/>
      <x:c r="C225" s="9"/>
      <x:c r="D225" s="9"/>
      <x:c r="E225" s="9"/>
      <x:c r="F225" s="9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9"/>
      <x:c r="B226" s="9"/>
      <x:c r="C226" s="9"/>
      <x:c r="D226" s="9"/>
      <x:c r="E226" s="9"/>
      <x:c r="F226" s="9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9"/>
      <x:c r="B227" s="9"/>
      <x:c r="C227" s="9"/>
      <x:c r="D227" s="9"/>
      <x:c r="E227" s="9"/>
      <x:c r="F227" s="9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9"/>
      <x:c r="B228" s="9"/>
      <x:c r="C228" s="9"/>
      <x:c r="D228" s="9"/>
      <x:c r="E228" s="9"/>
      <x:c r="F228" s="9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9"/>
      <x:c r="B229" s="9"/>
      <x:c r="C229" s="9"/>
      <x:c r="D229" s="9"/>
      <x:c r="E229" s="9"/>
      <x:c r="F229" s="9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9"/>
      <x:c r="B230" s="9"/>
      <x:c r="C230" s="9"/>
      <x:c r="D230" s="9"/>
      <x:c r="E230" s="9"/>
      <x:c r="F230" s="9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9"/>
      <x:c r="B231" s="9"/>
      <x:c r="C231" s="9"/>
      <x:c r="D231" s="9"/>
      <x:c r="E231" s="9"/>
      <x:c r="F231" s="9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9"/>
      <x:c r="B232" s="9"/>
      <x:c r="C232" s="9"/>
      <x:c r="D232" s="9"/>
      <x:c r="E232" s="9"/>
      <x:c r="F232" s="9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9"/>
      <x:c r="B233" s="9"/>
      <x:c r="C233" s="9"/>
      <x:c r="D233" s="9"/>
      <x:c r="E233" s="9"/>
      <x:c r="F233" s="9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9"/>
      <x:c r="B234" s="9"/>
      <x:c r="C234" s="9"/>
      <x:c r="D234" s="9"/>
      <x:c r="E234" s="9"/>
      <x:c r="F234" s="9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9"/>
      <x:c r="B235" s="9"/>
      <x:c r="C235" s="9"/>
      <x:c r="D235" s="9"/>
      <x:c r="E235" s="9"/>
      <x:c r="F235" s="9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9"/>
      <x:c r="B236" s="9"/>
      <x:c r="C236" s="9"/>
      <x:c r="D236" s="9"/>
      <x:c r="E236" s="9"/>
      <x:c r="F236" s="9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9"/>
      <x:c r="B237" s="9"/>
      <x:c r="C237" s="9"/>
      <x:c r="D237" s="9"/>
      <x:c r="E237" s="9"/>
      <x:c r="F237" s="9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9"/>
      <x:c r="B238" s="9"/>
      <x:c r="C238" s="9"/>
      <x:c r="D238" s="9"/>
      <x:c r="E238" s="9"/>
      <x:c r="F238" s="9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9"/>
      <x:c r="B239" s="9"/>
      <x:c r="C239" s="9"/>
      <x:c r="D239" s="9"/>
      <x:c r="E239" s="9"/>
      <x:c r="F239" s="9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9"/>
      <x:c r="B240" s="9"/>
      <x:c r="C240" s="9"/>
      <x:c r="D240" s="9"/>
      <x:c r="E240" s="9"/>
      <x:c r="F240" s="9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9"/>
      <x:c r="B241" s="9"/>
      <x:c r="C241" s="9"/>
      <x:c r="D241" s="9"/>
      <x:c r="E241" s="9"/>
      <x:c r="F241" s="9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9"/>
      <x:c r="B242" s="9"/>
      <x:c r="C242" s="9"/>
      <x:c r="D242" s="9"/>
      <x:c r="E242" s="9"/>
      <x:c r="F242" s="9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9"/>
      <x:c r="B243" s="9"/>
      <x:c r="C243" s="9"/>
      <x:c r="D243" s="9"/>
      <x:c r="E243" s="9"/>
      <x:c r="F243" s="9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9"/>
      <x:c r="B244" s="9"/>
      <x:c r="C244" s="9"/>
      <x:c r="D244" s="9"/>
      <x:c r="E244" s="9"/>
      <x:c r="F244" s="9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9"/>
      <x:c r="B245" s="9"/>
      <x:c r="C245" s="9"/>
      <x:c r="D245" s="9"/>
      <x:c r="E245" s="9"/>
      <x:c r="F245" s="9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9"/>
      <x:c r="B246" s="9"/>
      <x:c r="C246" s="9"/>
      <x:c r="D246" s="9"/>
      <x:c r="E246" s="9"/>
      <x:c r="F246" s="9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9"/>
      <x:c r="B247" s="9"/>
      <x:c r="C247" s="9"/>
      <x:c r="D247" s="9"/>
      <x:c r="E247" s="9"/>
      <x:c r="F247" s="9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9"/>
      <x:c r="B248" s="9"/>
      <x:c r="C248" s="9"/>
      <x:c r="D248" s="9"/>
      <x:c r="E248" s="9"/>
      <x:c r="F248" s="9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9"/>
      <x:c r="B249" s="9"/>
      <x:c r="C249" s="9"/>
      <x:c r="D249" s="9"/>
      <x:c r="E249" s="9"/>
      <x:c r="F249" s="9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9"/>
      <x:c r="B250" s="9"/>
      <x:c r="C250" s="9"/>
      <x:c r="D250" s="9"/>
      <x:c r="E250" s="9"/>
      <x:c r="F250" s="9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9"/>
      <x:c r="B251" s="9"/>
      <x:c r="C251" s="9"/>
      <x:c r="D251" s="9"/>
      <x:c r="E251" s="9"/>
      <x:c r="F251" s="9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9"/>
      <x:c r="B252" s="9"/>
      <x:c r="C252" s="9"/>
      <x:c r="D252" s="9"/>
      <x:c r="E252" s="9"/>
      <x:c r="F252" s="9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9"/>
      <x:c r="B253" s="9"/>
      <x:c r="C253" s="9"/>
      <x:c r="D253" s="9"/>
      <x:c r="E253" s="9"/>
      <x:c r="F253" s="9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9"/>
      <x:c r="B254" s="9"/>
      <x:c r="C254" s="9"/>
      <x:c r="D254" s="9"/>
      <x:c r="E254" s="9"/>
      <x:c r="F254" s="9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9"/>
      <x:c r="B255" s="9"/>
      <x:c r="C255" s="9"/>
      <x:c r="D255" s="9"/>
      <x:c r="E255" s="9"/>
      <x:c r="F255" s="9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9"/>
      <x:c r="B256" s="9"/>
      <x:c r="C256" s="9"/>
      <x:c r="D256" s="9"/>
      <x:c r="E256" s="9"/>
      <x:c r="F256" s="9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9"/>
      <x:c r="B257" s="9"/>
      <x:c r="C257" s="9"/>
      <x:c r="D257" s="9"/>
      <x:c r="E257" s="9"/>
      <x:c r="F257" s="9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9"/>
      <x:c r="B258" s="9"/>
      <x:c r="C258" s="9"/>
      <x:c r="D258" s="9"/>
      <x:c r="E258" s="9"/>
      <x:c r="F258" s="9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9"/>
      <x:c r="B259" s="9"/>
      <x:c r="C259" s="9"/>
      <x:c r="D259" s="9"/>
      <x:c r="E259" s="9"/>
      <x:c r="F259" s="9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9"/>
      <x:c r="B260" s="9"/>
      <x:c r="C260" s="9"/>
      <x:c r="D260" s="9"/>
      <x:c r="E260" s="9"/>
      <x:c r="F260" s="9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9"/>
      <x:c r="B261" s="9"/>
      <x:c r="C261" s="9"/>
      <x:c r="D261" s="9"/>
      <x:c r="E261" s="9"/>
      <x:c r="F261" s="9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9"/>
      <x:c r="B262" s="9"/>
      <x:c r="C262" s="9"/>
      <x:c r="D262" s="9"/>
      <x:c r="E262" s="9"/>
      <x:c r="F262" s="9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9"/>
      <x:c r="B263" s="9"/>
      <x:c r="C263" s="9"/>
      <x:c r="D263" s="9"/>
      <x:c r="E263" s="9"/>
      <x:c r="F263" s="9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9"/>
      <x:c r="B264" s="9"/>
      <x:c r="C264" s="9"/>
      <x:c r="D264" s="9"/>
      <x:c r="E264" s="9"/>
      <x:c r="F264" s="9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9"/>
      <x:c r="B265" s="9"/>
      <x:c r="C265" s="9"/>
      <x:c r="D265" s="9"/>
      <x:c r="E265" s="9"/>
      <x:c r="F265" s="9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9"/>
      <x:c r="B266" s="9"/>
      <x:c r="C266" s="9"/>
      <x:c r="D266" s="9"/>
      <x:c r="E266" s="9"/>
      <x:c r="F266" s="9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9"/>
      <x:c r="B267" s="9"/>
      <x:c r="C267" s="9"/>
      <x:c r="D267" s="9"/>
      <x:c r="E267" s="9"/>
      <x:c r="F267" s="9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9"/>
      <x:c r="B268" s="9"/>
      <x:c r="C268" s="9"/>
      <x:c r="D268" s="9"/>
      <x:c r="E268" s="9"/>
      <x:c r="F268" s="9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9"/>
      <x:c r="B269" s="9"/>
      <x:c r="C269" s="9"/>
      <x:c r="D269" s="9"/>
      <x:c r="E269" s="9"/>
      <x:c r="F269" s="9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9"/>
      <x:c r="B270" s="9"/>
      <x:c r="C270" s="9"/>
      <x:c r="D270" s="9"/>
      <x:c r="E270" s="9"/>
      <x:c r="F270" s="9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9"/>
      <x:c r="B271" s="9"/>
      <x:c r="C271" s="9"/>
      <x:c r="D271" s="9"/>
      <x:c r="E271" s="9"/>
      <x:c r="F271" s="9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9"/>
      <x:c r="B272" s="9"/>
      <x:c r="C272" s="9"/>
      <x:c r="D272" s="9"/>
      <x:c r="E272" s="9"/>
      <x:c r="F272" s="9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9"/>
      <x:c r="B273" s="9"/>
      <x:c r="C273" s="9"/>
      <x:c r="D273" s="9"/>
      <x:c r="E273" s="9"/>
      <x:c r="F273" s="9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9"/>
      <x:c r="B274" s="9"/>
      <x:c r="C274" s="9"/>
      <x:c r="D274" s="9"/>
      <x:c r="E274" s="9"/>
      <x:c r="F274" s="9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9"/>
      <x:c r="B275" s="9"/>
      <x:c r="C275" s="9"/>
      <x:c r="D275" s="9"/>
      <x:c r="E275" s="9"/>
      <x:c r="F275" s="9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9"/>
      <x:c r="B276" s="9"/>
      <x:c r="C276" s="9"/>
      <x:c r="D276" s="9"/>
      <x:c r="E276" s="9"/>
      <x:c r="F276" s="9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9"/>
      <x:c r="B277" s="9"/>
      <x:c r="C277" s="9"/>
      <x:c r="D277" s="9"/>
      <x:c r="E277" s="9"/>
      <x:c r="F277" s="9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9"/>
      <x:c r="B278" s="9"/>
      <x:c r="C278" s="9"/>
      <x:c r="D278" s="9"/>
      <x:c r="E278" s="9"/>
      <x:c r="F278" s="9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9"/>
      <x:c r="B279" s="9"/>
      <x:c r="C279" s="9"/>
      <x:c r="D279" s="9"/>
      <x:c r="E279" s="9"/>
      <x:c r="F279" s="9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9"/>
      <x:c r="B280" s="9"/>
      <x:c r="C280" s="9"/>
      <x:c r="D280" s="9"/>
      <x:c r="E280" s="9"/>
      <x:c r="F280" s="9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9"/>
      <x:c r="B281" s="9"/>
      <x:c r="C281" s="9"/>
      <x:c r="D281" s="9"/>
      <x:c r="E281" s="9"/>
      <x:c r="F281" s="9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9"/>
      <x:c r="B282" s="9"/>
      <x:c r="C282" s="9"/>
      <x:c r="D282" s="9"/>
      <x:c r="E282" s="9"/>
      <x:c r="F282" s="9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9"/>
      <x:c r="B283" s="9"/>
      <x:c r="C283" s="9"/>
      <x:c r="D283" s="9"/>
      <x:c r="E283" s="9"/>
      <x:c r="F283" s="9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9"/>
      <x:c r="B284" s="9"/>
      <x:c r="C284" s="9"/>
      <x:c r="D284" s="9"/>
      <x:c r="E284" s="9"/>
      <x:c r="F284" s="9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9"/>
      <x:c r="B285" s="9"/>
      <x:c r="C285" s="9"/>
      <x:c r="D285" s="9"/>
      <x:c r="E285" s="9"/>
      <x:c r="F285" s="9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9"/>
      <x:c r="B286" s="9"/>
      <x:c r="C286" s="9"/>
      <x:c r="D286" s="9"/>
      <x:c r="E286" s="9"/>
      <x:c r="F286" s="9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9"/>
      <x:c r="B287" s="9"/>
      <x:c r="C287" s="9"/>
      <x:c r="D287" s="9"/>
      <x:c r="E287" s="9"/>
      <x:c r="F287" s="9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9"/>
      <x:c r="B288" s="9"/>
      <x:c r="C288" s="9"/>
      <x:c r="D288" s="9"/>
      <x:c r="E288" s="9"/>
      <x:c r="F288" s="9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9"/>
      <x:c r="B289" s="9"/>
      <x:c r="C289" s="9"/>
      <x:c r="D289" s="9"/>
      <x:c r="E289" s="9"/>
      <x:c r="F289" s="9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9"/>
      <x:c r="B290" s="9"/>
      <x:c r="C290" s="9"/>
      <x:c r="D290" s="9"/>
      <x:c r="E290" s="9"/>
      <x:c r="F290" s="9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9"/>
      <x:c r="B291" s="9"/>
      <x:c r="C291" s="9"/>
      <x:c r="D291" s="9"/>
      <x:c r="E291" s="9"/>
      <x:c r="F291" s="9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9"/>
      <x:c r="B292" s="9"/>
      <x:c r="C292" s="9"/>
      <x:c r="D292" s="9"/>
      <x:c r="E292" s="9"/>
      <x:c r="F292" s="9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9"/>
      <x:c r="B293" s="9"/>
      <x:c r="C293" s="9"/>
      <x:c r="D293" s="9"/>
      <x:c r="E293" s="9"/>
      <x:c r="F293" s="9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9"/>
      <x:c r="B294" s="9"/>
      <x:c r="C294" s="9"/>
      <x:c r="D294" s="9"/>
      <x:c r="E294" s="9"/>
      <x:c r="F294" s="9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9"/>
      <x:c r="B295" s="9"/>
      <x:c r="C295" s="9"/>
      <x:c r="D295" s="9"/>
      <x:c r="E295" s="9"/>
      <x:c r="F295" s="9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9"/>
      <x:c r="B296" s="9"/>
      <x:c r="C296" s="9"/>
      <x:c r="D296" s="9"/>
      <x:c r="E296" s="9"/>
      <x:c r="F296" s="9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9"/>
      <x:c r="B297" s="9"/>
      <x:c r="C297" s="9"/>
      <x:c r="D297" s="9"/>
      <x:c r="E297" s="9"/>
      <x:c r="F297" s="9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9"/>
      <x:c r="B298" s="9"/>
      <x:c r="C298" s="9"/>
      <x:c r="D298" s="9"/>
      <x:c r="E298" s="9"/>
      <x:c r="F298" s="9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9"/>
      <x:c r="B299" s="9"/>
      <x:c r="C299" s="9"/>
      <x:c r="D299" s="9"/>
      <x:c r="E299" s="9"/>
      <x:c r="F299" s="9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9"/>
      <x:c r="B300" s="9"/>
      <x:c r="C300" s="9"/>
      <x:c r="D300" s="9"/>
      <x:c r="E300" s="9"/>
      <x:c r="F300" s="9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9"/>
      <x:c r="B301" s="9"/>
      <x:c r="C301" s="9"/>
      <x:c r="D301" s="9"/>
      <x:c r="E301" s="9"/>
      <x:c r="F301" s="9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9"/>
      <x:c r="B302" s="9"/>
      <x:c r="C302" s="9"/>
      <x:c r="D302" s="9"/>
      <x:c r="E302" s="9"/>
      <x:c r="F302" s="9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9"/>
      <x:c r="B303" s="9"/>
      <x:c r="C303" s="9"/>
      <x:c r="D303" s="9"/>
      <x:c r="E303" s="9"/>
      <x:c r="F303" s="9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9"/>
      <x:c r="B304" s="9"/>
      <x:c r="C304" s="9"/>
      <x:c r="D304" s="9"/>
      <x:c r="E304" s="9"/>
      <x:c r="F304" s="9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9"/>
      <x:c r="B305" s="9"/>
      <x:c r="C305" s="9"/>
      <x:c r="D305" s="9"/>
      <x:c r="E305" s="9"/>
      <x:c r="F305" s="9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9"/>
      <x:c r="B306" s="9"/>
      <x:c r="C306" s="9"/>
      <x:c r="D306" s="9"/>
      <x:c r="E306" s="9"/>
      <x:c r="F306" s="9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9"/>
      <x:c r="B307" s="9"/>
      <x:c r="C307" s="9"/>
      <x:c r="D307" s="9"/>
      <x:c r="E307" s="9"/>
      <x:c r="F307" s="9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9"/>
      <x:c r="B308" s="9"/>
      <x:c r="C308" s="9"/>
      <x:c r="D308" s="9"/>
      <x:c r="E308" s="9"/>
      <x:c r="F308" s="9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9"/>
      <x:c r="B309" s="9"/>
      <x:c r="C309" s="9"/>
      <x:c r="D309" s="9"/>
      <x:c r="E309" s="9"/>
      <x:c r="F309" s="9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9"/>
      <x:c r="B310" s="9"/>
      <x:c r="C310" s="9"/>
      <x:c r="D310" s="9"/>
      <x:c r="E310" s="9"/>
      <x:c r="F310" s="9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9"/>
      <x:c r="B311" s="9"/>
      <x:c r="C311" s="9"/>
      <x:c r="D311" s="9"/>
      <x:c r="E311" s="9"/>
      <x:c r="F311" s="9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9"/>
      <x:c r="B312" s="9"/>
      <x:c r="C312" s="9"/>
      <x:c r="D312" s="9"/>
      <x:c r="E312" s="9"/>
      <x:c r="F312" s="9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9"/>
      <x:c r="B313" s="9"/>
      <x:c r="C313" s="9"/>
      <x:c r="D313" s="9"/>
      <x:c r="E313" s="9"/>
      <x:c r="F313" s="9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9"/>
      <x:c r="B314" s="9"/>
      <x:c r="C314" s="9"/>
      <x:c r="D314" s="9"/>
      <x:c r="E314" s="9"/>
      <x:c r="F314" s="9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9"/>
      <x:c r="B315" s="9"/>
      <x:c r="C315" s="9"/>
      <x:c r="D315" s="9"/>
      <x:c r="E315" s="9"/>
      <x:c r="F315" s="9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9"/>
      <x:c r="B316" s="9"/>
      <x:c r="C316" s="9"/>
      <x:c r="D316" s="9"/>
      <x:c r="E316" s="9"/>
      <x:c r="F316" s="9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9"/>
      <x:c r="B317" s="9"/>
      <x:c r="C317" s="9"/>
      <x:c r="D317" s="9"/>
      <x:c r="E317" s="9"/>
      <x:c r="F317" s="9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9"/>
      <x:c r="B318" s="9"/>
      <x:c r="C318" s="9"/>
      <x:c r="D318" s="9"/>
      <x:c r="E318" s="9"/>
      <x:c r="F318" s="9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9"/>
      <x:c r="B319" s="9"/>
      <x:c r="C319" s="9"/>
      <x:c r="D319" s="9"/>
      <x:c r="E319" s="9"/>
      <x:c r="F319" s="9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9"/>
      <x:c r="B320" s="9"/>
      <x:c r="C320" s="9"/>
      <x:c r="D320" s="9"/>
      <x:c r="E320" s="9"/>
      <x:c r="F320" s="9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9"/>
      <x:c r="B321" s="9"/>
      <x:c r="C321" s="9"/>
      <x:c r="D321" s="9"/>
      <x:c r="E321" s="9"/>
      <x:c r="F321" s="9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9"/>
      <x:c r="B322" s="9"/>
      <x:c r="C322" s="9"/>
      <x:c r="D322" s="9"/>
      <x:c r="E322" s="9"/>
      <x:c r="F322" s="9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9"/>
      <x:c r="B323" s="9"/>
      <x:c r="C323" s="9"/>
      <x:c r="D323" s="9"/>
      <x:c r="E323" s="9"/>
      <x:c r="F323" s="9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9"/>
      <x:c r="B324" s="9"/>
      <x:c r="C324" s="9"/>
      <x:c r="D324" s="9"/>
      <x:c r="E324" s="9"/>
      <x:c r="F324" s="9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9"/>
      <x:c r="B325" s="9"/>
      <x:c r="C325" s="9"/>
      <x:c r="D325" s="9"/>
      <x:c r="E325" s="9"/>
      <x:c r="F325" s="9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9"/>
      <x:c r="B326" s="9"/>
      <x:c r="C326" s="9"/>
      <x:c r="D326" s="9"/>
      <x:c r="E326" s="9"/>
      <x:c r="F326" s="9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9"/>
      <x:c r="B327" s="9"/>
      <x:c r="C327" s="9"/>
      <x:c r="D327" s="9"/>
      <x:c r="E327" s="9"/>
      <x:c r="F327" s="9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9"/>
      <x:c r="B328" s="9"/>
      <x:c r="C328" s="9"/>
      <x:c r="D328" s="9"/>
      <x:c r="E328" s="9"/>
      <x:c r="F328" s="9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9"/>
      <x:c r="B329" s="9"/>
      <x:c r="C329" s="9"/>
      <x:c r="D329" s="9"/>
      <x:c r="E329" s="9"/>
      <x:c r="F329" s="9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9"/>
      <x:c r="B330" s="9"/>
      <x:c r="C330" s="9"/>
      <x:c r="D330" s="9"/>
      <x:c r="E330" s="9"/>
      <x:c r="F330" s="9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9"/>
      <x:c r="B331" s="9"/>
      <x:c r="C331" s="9"/>
      <x:c r="D331" s="9"/>
      <x:c r="E331" s="9"/>
      <x:c r="F331" s="9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9"/>
      <x:c r="B332" s="9"/>
      <x:c r="C332" s="9"/>
      <x:c r="D332" s="9"/>
      <x:c r="E332" s="9"/>
      <x:c r="F332" s="9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9"/>
      <x:c r="B333" s="9"/>
      <x:c r="C333" s="9"/>
      <x:c r="D333" s="9"/>
      <x:c r="E333" s="9"/>
      <x:c r="F333" s="9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9"/>
      <x:c r="B334" s="9"/>
      <x:c r="C334" s="9"/>
      <x:c r="D334" s="9"/>
      <x:c r="E334" s="9"/>
      <x:c r="F334" s="9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9"/>
      <x:c r="B335" s="9"/>
      <x:c r="C335" s="9"/>
      <x:c r="D335" s="9"/>
      <x:c r="E335" s="9"/>
      <x:c r="F335" s="9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9"/>
      <x:c r="B336" s="9"/>
      <x:c r="C336" s="9"/>
      <x:c r="D336" s="9"/>
      <x:c r="E336" s="9"/>
      <x:c r="F336" s="9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9"/>
      <x:c r="B337" s="9"/>
      <x:c r="C337" s="9"/>
      <x:c r="D337" s="9"/>
      <x:c r="E337" s="9"/>
      <x:c r="F337" s="9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9"/>
      <x:c r="B338" s="9"/>
      <x:c r="C338" s="9"/>
      <x:c r="D338" s="9"/>
      <x:c r="E338" s="9"/>
      <x:c r="F338" s="9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9"/>
      <x:c r="B339" s="9"/>
      <x:c r="C339" s="9"/>
      <x:c r="D339" s="9"/>
      <x:c r="E339" s="9"/>
      <x:c r="F339" s="9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9"/>
      <x:c r="B340" s="9"/>
      <x:c r="C340" s="9"/>
      <x:c r="D340" s="9"/>
      <x:c r="E340" s="9"/>
      <x:c r="F340" s="9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9"/>
      <x:c r="B341" s="9"/>
      <x:c r="C341" s="9"/>
      <x:c r="D341" s="9"/>
      <x:c r="E341" s="9"/>
      <x:c r="F341" s="9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9"/>
      <x:c r="B342" s="9"/>
      <x:c r="C342" s="9"/>
      <x:c r="D342" s="9"/>
      <x:c r="E342" s="9"/>
      <x:c r="F342" s="9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9"/>
      <x:c r="B343" s="9"/>
      <x:c r="C343" s="9"/>
      <x:c r="D343" s="9"/>
      <x:c r="E343" s="9"/>
      <x:c r="F343" s="9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9"/>
      <x:c r="B344" s="9"/>
      <x:c r="C344" s="9"/>
      <x:c r="D344" s="9"/>
      <x:c r="E344" s="9"/>
      <x:c r="F344" s="9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9"/>
      <x:c r="B345" s="9"/>
      <x:c r="C345" s="9"/>
      <x:c r="D345" s="9"/>
      <x:c r="E345" s="9"/>
      <x:c r="F345" s="9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9"/>
      <x:c r="B346" s="9"/>
      <x:c r="C346" s="9"/>
      <x:c r="D346" s="9"/>
      <x:c r="E346" s="9"/>
      <x:c r="F346" s="9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9"/>
      <x:c r="B347" s="9"/>
      <x:c r="C347" s="9"/>
      <x:c r="D347" s="9"/>
      <x:c r="E347" s="9"/>
      <x:c r="F347" s="9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9"/>
      <x:c r="B348" s="9"/>
      <x:c r="C348" s="9"/>
      <x:c r="D348" s="9"/>
      <x:c r="E348" s="9"/>
      <x:c r="F348" s="9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9"/>
      <x:c r="B349" s="9"/>
      <x:c r="C349" s="9"/>
      <x:c r="D349" s="9"/>
      <x:c r="E349" s="9"/>
      <x:c r="F349" s="9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9"/>
      <x:c r="B350" s="9"/>
      <x:c r="C350" s="9"/>
      <x:c r="D350" s="9"/>
      <x:c r="E350" s="9"/>
      <x:c r="F350" s="9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9"/>
      <x:c r="B351" s="9"/>
      <x:c r="C351" s="9"/>
      <x:c r="D351" s="9"/>
      <x:c r="E351" s="9"/>
      <x:c r="F351" s="9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9"/>
      <x:c r="B352" s="9"/>
      <x:c r="C352" s="9"/>
      <x:c r="D352" s="9"/>
      <x:c r="E352" s="9"/>
      <x:c r="F352" s="9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9"/>
      <x:c r="B353" s="9"/>
      <x:c r="C353" s="9"/>
      <x:c r="D353" s="9"/>
      <x:c r="E353" s="9"/>
      <x:c r="F353" s="9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9"/>
      <x:c r="B354" s="9"/>
      <x:c r="C354" s="9"/>
      <x:c r="D354" s="9"/>
      <x:c r="E354" s="9"/>
      <x:c r="F354" s="9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9"/>
      <x:c r="B355" s="9"/>
      <x:c r="C355" s="9"/>
      <x:c r="D355" s="9"/>
      <x:c r="E355" s="9"/>
      <x:c r="F355" s="9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9"/>
      <x:c r="B356" s="9"/>
      <x:c r="C356" s="9"/>
      <x:c r="D356" s="9"/>
      <x:c r="E356" s="9"/>
      <x:c r="F356" s="9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9"/>
      <x:c r="B357" s="9"/>
      <x:c r="C357" s="9"/>
      <x:c r="D357" s="9"/>
      <x:c r="E357" s="9"/>
      <x:c r="F357" s="9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9"/>
      <x:c r="B358" s="9"/>
      <x:c r="C358" s="9"/>
      <x:c r="D358" s="9"/>
      <x:c r="E358" s="9"/>
      <x:c r="F358" s="9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9"/>
      <x:c r="B359" s="9"/>
      <x:c r="C359" s="9"/>
      <x:c r="D359" s="9"/>
      <x:c r="E359" s="9"/>
      <x:c r="F359" s="9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9"/>
      <x:c r="B360" s="9"/>
      <x:c r="C360" s="9"/>
      <x:c r="D360" s="9"/>
      <x:c r="E360" s="9"/>
      <x:c r="F360" s="9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9"/>
      <x:c r="B361" s="9"/>
      <x:c r="C361" s="9"/>
      <x:c r="D361" s="9"/>
      <x:c r="E361" s="9"/>
      <x:c r="F361" s="9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9"/>
      <x:c r="B362" s="9"/>
      <x:c r="C362" s="9"/>
      <x:c r="D362" s="9"/>
      <x:c r="E362" s="9"/>
      <x:c r="F362" s="9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9"/>
      <x:c r="B363" s="9"/>
      <x:c r="C363" s="9"/>
      <x:c r="D363" s="9"/>
      <x:c r="E363" s="9"/>
      <x:c r="F363" s="9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9"/>
      <x:c r="B364" s="9"/>
      <x:c r="C364" s="9"/>
      <x:c r="D364" s="9"/>
      <x:c r="E364" s="9"/>
      <x:c r="F364" s="9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9"/>
      <x:c r="B365" s="9"/>
      <x:c r="C365" s="9"/>
      <x:c r="D365" s="9"/>
      <x:c r="E365" s="9"/>
      <x:c r="F365" s="9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9"/>
      <x:c r="B366" s="9"/>
      <x:c r="C366" s="9"/>
      <x:c r="D366" s="9"/>
      <x:c r="E366" s="9"/>
      <x:c r="F366" s="9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9"/>
      <x:c r="B367" s="9"/>
      <x:c r="C367" s="9"/>
      <x:c r="D367" s="9"/>
      <x:c r="E367" s="9"/>
      <x:c r="F367" s="9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9"/>
      <x:c r="B368" s="9"/>
      <x:c r="C368" s="9"/>
      <x:c r="D368" s="9"/>
      <x:c r="E368" s="9"/>
      <x:c r="F368" s="9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9"/>
      <x:c r="B369" s="9"/>
      <x:c r="C369" s="9"/>
      <x:c r="D369" s="9"/>
      <x:c r="E369" s="9"/>
      <x:c r="F369" s="9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9"/>
      <x:c r="B370" s="9"/>
      <x:c r="C370" s="9"/>
      <x:c r="D370" s="9"/>
      <x:c r="E370" s="9"/>
      <x:c r="F370" s="9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9"/>
      <x:c r="B371" s="9"/>
      <x:c r="C371" s="9"/>
      <x:c r="D371" s="9"/>
      <x:c r="E371" s="9"/>
      <x:c r="F371" s="9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9"/>
      <x:c r="B372" s="9"/>
      <x:c r="C372" s="9"/>
      <x:c r="D372" s="9"/>
      <x:c r="E372" s="9"/>
      <x:c r="F372" s="9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9"/>
      <x:c r="B373" s="9"/>
      <x:c r="C373" s="9"/>
      <x:c r="D373" s="9"/>
      <x:c r="E373" s="9"/>
      <x:c r="F373" s="9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9"/>
      <x:c r="B374" s="9"/>
      <x:c r="C374" s="9"/>
      <x:c r="D374" s="9"/>
      <x:c r="E374" s="9"/>
      <x:c r="F374" s="9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9"/>
      <x:c r="B375" s="9"/>
      <x:c r="C375" s="9"/>
      <x:c r="D375" s="9"/>
      <x:c r="E375" s="9"/>
      <x:c r="F375" s="9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9"/>
      <x:c r="B376" s="9"/>
      <x:c r="C376" s="9"/>
      <x:c r="D376" s="9"/>
      <x:c r="E376" s="9"/>
      <x:c r="F376" s="9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9"/>
      <x:c r="B377" s="9"/>
      <x:c r="C377" s="9"/>
      <x:c r="D377" s="9"/>
      <x:c r="E377" s="9"/>
      <x:c r="F377" s="9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9"/>
      <x:c r="B378" s="9"/>
      <x:c r="C378" s="9"/>
      <x:c r="D378" s="9"/>
      <x:c r="E378" s="9"/>
      <x:c r="F378" s="9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9"/>
      <x:c r="B379" s="9"/>
      <x:c r="C379" s="9"/>
      <x:c r="D379" s="9"/>
      <x:c r="E379" s="9"/>
      <x:c r="F379" s="9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9"/>
      <x:c r="B380" s="9"/>
      <x:c r="C380" s="9"/>
      <x:c r="D380" s="9"/>
      <x:c r="E380" s="9"/>
      <x:c r="F380" s="9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9"/>
      <x:c r="B381" s="9"/>
      <x:c r="C381" s="9"/>
      <x:c r="D381" s="9"/>
      <x:c r="E381" s="9"/>
      <x:c r="F381" s="9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9"/>
      <x:c r="B382" s="9"/>
      <x:c r="C382" s="9"/>
      <x:c r="D382" s="9"/>
      <x:c r="E382" s="9"/>
      <x:c r="F382" s="9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9"/>
      <x:c r="B383" s="9"/>
      <x:c r="C383" s="9"/>
      <x:c r="D383" s="9"/>
      <x:c r="E383" s="9"/>
      <x:c r="F383" s="9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9"/>
      <x:c r="B384" s="9"/>
      <x:c r="C384" s="9"/>
      <x:c r="D384" s="9"/>
      <x:c r="E384" s="9"/>
      <x:c r="F384" s="9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9"/>
      <x:c r="B385" s="9"/>
      <x:c r="C385" s="9"/>
      <x:c r="D385" s="9"/>
      <x:c r="E385" s="9"/>
      <x:c r="F385" s="9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9"/>
      <x:c r="B386" s="9"/>
      <x:c r="C386" s="9"/>
      <x:c r="D386" s="9"/>
      <x:c r="E386" s="9"/>
      <x:c r="F386" s="9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9"/>
      <x:c r="B387" s="9"/>
      <x:c r="C387" s="9"/>
      <x:c r="D387" s="9"/>
      <x:c r="E387" s="9"/>
      <x:c r="F387" s="9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9"/>
      <x:c r="B388" s="9"/>
      <x:c r="C388" s="9"/>
      <x:c r="D388" s="9"/>
      <x:c r="E388" s="9"/>
      <x:c r="F388" s="9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9"/>
      <x:c r="B389" s="9"/>
      <x:c r="C389" s="9"/>
      <x:c r="D389" s="9"/>
      <x:c r="E389" s="9"/>
      <x:c r="F389" s="9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9"/>
      <x:c r="B390" s="9"/>
      <x:c r="C390" s="9"/>
      <x:c r="D390" s="9"/>
      <x:c r="E390" s="9"/>
      <x:c r="F390" s="9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9"/>
      <x:c r="B391" s="9"/>
      <x:c r="C391" s="9"/>
      <x:c r="D391" s="9"/>
      <x:c r="E391" s="9"/>
      <x:c r="F391" s="9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9"/>
      <x:c r="B392" s="9"/>
      <x:c r="C392" s="9"/>
      <x:c r="D392" s="9"/>
      <x:c r="E392" s="9"/>
      <x:c r="F392" s="9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9"/>
      <x:c r="B393" s="9"/>
      <x:c r="C393" s="9"/>
      <x:c r="D393" s="9"/>
      <x:c r="E393" s="9"/>
      <x:c r="F393" s="9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9"/>
      <x:c r="B394" s="9"/>
      <x:c r="C394" s="9"/>
      <x:c r="D394" s="9"/>
      <x:c r="E394" s="9"/>
      <x:c r="F394" s="9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9"/>
      <x:c r="B395" s="9"/>
      <x:c r="C395" s="9"/>
      <x:c r="D395" s="9"/>
      <x:c r="E395" s="9"/>
      <x:c r="F395" s="9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9"/>
      <x:c r="B396" s="9"/>
      <x:c r="C396" s="9"/>
      <x:c r="D396" s="9"/>
      <x:c r="E396" s="9"/>
      <x:c r="F396" s="9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9"/>
      <x:c r="B397" s="9"/>
      <x:c r="C397" s="9"/>
      <x:c r="D397" s="9"/>
      <x:c r="E397" s="9"/>
      <x:c r="F397" s="9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9"/>
      <x:c r="B398" s="9"/>
      <x:c r="C398" s="9"/>
      <x:c r="D398" s="9"/>
      <x:c r="E398" s="9"/>
      <x:c r="F398" s="9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9"/>
      <x:c r="B399" s="9"/>
      <x:c r="C399" s="9"/>
      <x:c r="D399" s="9"/>
      <x:c r="E399" s="9"/>
      <x:c r="F399" s="9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9"/>
      <x:c r="B400" s="9"/>
      <x:c r="C400" s="9"/>
      <x:c r="D400" s="9"/>
      <x:c r="E400" s="9"/>
      <x:c r="F400" s="9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9"/>
      <x:c r="B401" s="9"/>
      <x:c r="C401" s="9"/>
      <x:c r="D401" s="9"/>
      <x:c r="E401" s="9"/>
      <x:c r="F401" s="9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9"/>
      <x:c r="B402" s="9"/>
      <x:c r="C402" s="9"/>
      <x:c r="D402" s="9"/>
      <x:c r="E402" s="9"/>
      <x:c r="F402" s="9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9"/>
      <x:c r="B403" s="9"/>
      <x:c r="C403" s="9"/>
      <x:c r="D403" s="9"/>
      <x:c r="E403" s="9"/>
      <x:c r="F403" s="9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9"/>
      <x:c r="B404" s="9"/>
      <x:c r="C404" s="9"/>
      <x:c r="D404" s="9"/>
      <x:c r="E404" s="9"/>
      <x:c r="F404" s="9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9"/>
      <x:c r="B405" s="9"/>
      <x:c r="C405" s="9"/>
      <x:c r="D405" s="9"/>
      <x:c r="E405" s="9"/>
      <x:c r="F405" s="9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9"/>
      <x:c r="B406" s="9"/>
      <x:c r="C406" s="9"/>
      <x:c r="D406" s="9"/>
      <x:c r="E406" s="9"/>
      <x:c r="F406" s="9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9"/>
      <x:c r="B407" s="9"/>
      <x:c r="C407" s="9"/>
      <x:c r="D407" s="9"/>
      <x:c r="E407" s="9"/>
      <x:c r="F407" s="9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9"/>
      <x:c r="B408" s="9"/>
      <x:c r="C408" s="9"/>
      <x:c r="D408" s="9"/>
      <x:c r="E408" s="9"/>
      <x:c r="F408" s="9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9"/>
      <x:c r="B409" s="9"/>
      <x:c r="C409" s="9"/>
      <x:c r="D409" s="9"/>
      <x:c r="E409" s="9"/>
      <x:c r="F409" s="9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9"/>
      <x:c r="B410" s="9"/>
      <x:c r="C410" s="9"/>
      <x:c r="D410" s="9"/>
      <x:c r="E410" s="9"/>
      <x:c r="F410" s="9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9"/>
      <x:c r="B411" s="9"/>
      <x:c r="C411" s="9"/>
      <x:c r="D411" s="9"/>
      <x:c r="E411" s="9"/>
      <x:c r="F411" s="9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9"/>
      <x:c r="B412" s="9"/>
      <x:c r="C412" s="9"/>
      <x:c r="D412" s="9"/>
      <x:c r="E412" s="9"/>
      <x:c r="F412" s="9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9"/>
      <x:c r="B413" s="9"/>
      <x:c r="C413" s="9"/>
      <x:c r="D413" s="9"/>
      <x:c r="E413" s="9"/>
      <x:c r="F413" s="9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9"/>
      <x:c r="B414" s="9"/>
      <x:c r="C414" s="9"/>
      <x:c r="D414" s="9"/>
      <x:c r="E414" s="9"/>
      <x:c r="F414" s="9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9"/>
      <x:c r="B415" s="9"/>
      <x:c r="C415" s="9"/>
      <x:c r="D415" s="9"/>
      <x:c r="E415" s="9"/>
      <x:c r="F415" s="9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9"/>
      <x:c r="B416" s="9"/>
      <x:c r="C416" s="9"/>
      <x:c r="D416" s="9"/>
      <x:c r="E416" s="9"/>
      <x:c r="F416" s="9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9"/>
      <x:c r="B417" s="9"/>
      <x:c r="C417" s="9"/>
      <x:c r="D417" s="9"/>
      <x:c r="E417" s="9"/>
      <x:c r="F417" s="9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9"/>
      <x:c r="B418" s="9"/>
      <x:c r="C418" s="9"/>
      <x:c r="D418" s="9"/>
      <x:c r="E418" s="9"/>
      <x:c r="F418" s="9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9"/>
      <x:c r="B419" s="9"/>
      <x:c r="C419" s="9"/>
      <x:c r="D419" s="9"/>
      <x:c r="E419" s="9"/>
      <x:c r="F419" s="9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9"/>
      <x:c r="B420" s="9"/>
      <x:c r="C420" s="9"/>
      <x:c r="D420" s="9"/>
      <x:c r="E420" s="9"/>
      <x:c r="F420" s="9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9"/>
      <x:c r="B421" s="9"/>
      <x:c r="C421" s="9"/>
      <x:c r="D421" s="9"/>
      <x:c r="E421" s="9"/>
      <x:c r="F421" s="9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9"/>
      <x:c r="B422" s="9"/>
      <x:c r="C422" s="9"/>
      <x:c r="D422" s="9"/>
      <x:c r="E422" s="9"/>
      <x:c r="F422" s="9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9"/>
      <x:c r="B423" s="9"/>
      <x:c r="C423" s="9"/>
      <x:c r="D423" s="9"/>
      <x:c r="E423" s="9"/>
      <x:c r="F423" s="9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9"/>
      <x:c r="B424" s="9"/>
      <x:c r="C424" s="9"/>
      <x:c r="D424" s="9"/>
      <x:c r="E424" s="9"/>
      <x:c r="F424" s="9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9"/>
      <x:c r="B425" s="9"/>
      <x:c r="C425" s="9"/>
      <x:c r="D425" s="9"/>
      <x:c r="E425" s="9"/>
      <x:c r="F425" s="9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9"/>
      <x:c r="B426" s="9"/>
      <x:c r="C426" s="9"/>
      <x:c r="D426" s="9"/>
      <x:c r="E426" s="9"/>
      <x:c r="F426" s="9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9"/>
      <x:c r="B427" s="9"/>
      <x:c r="C427" s="9"/>
      <x:c r="D427" s="9"/>
      <x:c r="E427" s="9"/>
      <x:c r="F427" s="9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9"/>
      <x:c r="B428" s="9"/>
      <x:c r="C428" s="9"/>
      <x:c r="D428" s="9"/>
      <x:c r="E428" s="9"/>
      <x:c r="F428" s="9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9"/>
      <x:c r="B429" s="9"/>
      <x:c r="C429" s="9"/>
      <x:c r="D429" s="9"/>
      <x:c r="E429" s="9"/>
      <x:c r="F429" s="9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9"/>
      <x:c r="B430" s="9"/>
      <x:c r="C430" s="9"/>
      <x:c r="D430" s="9"/>
      <x:c r="E430" s="9"/>
      <x:c r="F430" s="9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9"/>
      <x:c r="B431" s="9"/>
      <x:c r="C431" s="9"/>
      <x:c r="D431" s="9"/>
      <x:c r="E431" s="9"/>
      <x:c r="F431" s="9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9"/>
      <x:c r="B432" s="9"/>
      <x:c r="C432" s="9"/>
      <x:c r="D432" s="9"/>
      <x:c r="E432" s="9"/>
      <x:c r="F432" s="9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9"/>
      <x:c r="B433" s="9"/>
      <x:c r="C433" s="9"/>
      <x:c r="D433" s="9"/>
      <x:c r="E433" s="9"/>
      <x:c r="F433" s="9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9"/>
      <x:c r="B434" s="9"/>
      <x:c r="C434" s="9"/>
      <x:c r="D434" s="9"/>
      <x:c r="E434" s="9"/>
      <x:c r="F434" s="9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9"/>
      <x:c r="B435" s="9"/>
      <x:c r="C435" s="9"/>
      <x:c r="D435" s="9"/>
      <x:c r="E435" s="9"/>
      <x:c r="F435" s="9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9"/>
      <x:c r="B436" s="9"/>
      <x:c r="C436" s="9"/>
      <x:c r="D436" s="9"/>
      <x:c r="E436" s="9"/>
      <x:c r="F436" s="9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9"/>
      <x:c r="B437" s="9"/>
      <x:c r="C437" s="9"/>
      <x:c r="D437" s="9"/>
      <x:c r="E437" s="9"/>
      <x:c r="F437" s="9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9"/>
      <x:c r="B438" s="9"/>
      <x:c r="C438" s="9"/>
      <x:c r="D438" s="9"/>
      <x:c r="E438" s="9"/>
      <x:c r="F438" s="9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9"/>
      <x:c r="B439" s="9"/>
      <x:c r="C439" s="9"/>
      <x:c r="D439" s="9"/>
      <x:c r="E439" s="9"/>
      <x:c r="F439" s="9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9"/>
      <x:c r="B440" s="9"/>
      <x:c r="C440" s="9"/>
      <x:c r="D440" s="9"/>
      <x:c r="E440" s="9"/>
      <x:c r="F440" s="9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9"/>
      <x:c r="B441" s="9"/>
      <x:c r="C441" s="9"/>
      <x:c r="D441" s="9"/>
      <x:c r="E441" s="9"/>
      <x:c r="F441" s="9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9"/>
      <x:c r="B442" s="9"/>
      <x:c r="C442" s="9"/>
      <x:c r="D442" s="9"/>
      <x:c r="E442" s="9"/>
      <x:c r="F442" s="9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9"/>
      <x:c r="B443" s="9"/>
      <x:c r="C443" s="9"/>
      <x:c r="D443" s="9"/>
      <x:c r="E443" s="9"/>
      <x:c r="F443" s="9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9"/>
      <x:c r="B444" s="9"/>
      <x:c r="C444" s="9"/>
      <x:c r="D444" s="9"/>
      <x:c r="E444" s="9"/>
      <x:c r="F444" s="9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9"/>
      <x:c r="B445" s="9"/>
      <x:c r="C445" s="9"/>
      <x:c r="D445" s="9"/>
      <x:c r="E445" s="9"/>
      <x:c r="F445" s="9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9"/>
      <x:c r="B446" s="9"/>
      <x:c r="C446" s="9"/>
      <x:c r="D446" s="9"/>
      <x:c r="E446" s="9"/>
      <x:c r="F446" s="9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9"/>
      <x:c r="B447" s="9"/>
      <x:c r="C447" s="9"/>
      <x:c r="D447" s="9"/>
      <x:c r="E447" s="9"/>
      <x:c r="F447" s="9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9"/>
      <x:c r="B448" s="9"/>
      <x:c r="C448" s="9"/>
      <x:c r="D448" s="9"/>
      <x:c r="E448" s="9"/>
      <x:c r="F448" s="9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9"/>
      <x:c r="B449" s="9"/>
      <x:c r="C449" s="9"/>
      <x:c r="D449" s="9"/>
      <x:c r="E449" s="9"/>
      <x:c r="F449" s="9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9"/>
      <x:c r="B450" s="9"/>
      <x:c r="C450" s="9"/>
      <x:c r="D450" s="9"/>
      <x:c r="E450" s="9"/>
      <x:c r="F450" s="9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9"/>
      <x:c r="B451" s="9"/>
      <x:c r="C451" s="9"/>
      <x:c r="D451" s="9"/>
      <x:c r="E451" s="9"/>
      <x:c r="F451" s="9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9"/>
      <x:c r="B452" s="9"/>
      <x:c r="C452" s="9"/>
      <x:c r="D452" s="9"/>
      <x:c r="E452" s="9"/>
      <x:c r="F452" s="9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9"/>
      <x:c r="B453" s="9"/>
      <x:c r="C453" s="9"/>
      <x:c r="D453" s="9"/>
      <x:c r="E453" s="9"/>
      <x:c r="F453" s="9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9"/>
      <x:c r="B454" s="9"/>
      <x:c r="C454" s="9"/>
      <x:c r="D454" s="9"/>
      <x:c r="E454" s="9"/>
      <x:c r="F454" s="9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9"/>
      <x:c r="B455" s="9"/>
      <x:c r="C455" s="9"/>
      <x:c r="D455" s="9"/>
      <x:c r="E455" s="9"/>
      <x:c r="F455" s="9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9"/>
      <x:c r="B456" s="9"/>
      <x:c r="C456" s="9"/>
      <x:c r="D456" s="9"/>
      <x:c r="E456" s="9"/>
      <x:c r="F456" s="9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9"/>
      <x:c r="B457" s="9"/>
      <x:c r="C457" s="9"/>
      <x:c r="D457" s="9"/>
      <x:c r="E457" s="9"/>
      <x:c r="F457" s="9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9"/>
      <x:c r="B458" s="9"/>
      <x:c r="C458" s="9"/>
      <x:c r="D458" s="9"/>
      <x:c r="E458" s="9"/>
      <x:c r="F458" s="9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9"/>
      <x:c r="B459" s="9"/>
      <x:c r="C459" s="9"/>
      <x:c r="D459" s="9"/>
      <x:c r="E459" s="9"/>
      <x:c r="F459" s="9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9"/>
      <x:c r="B460" s="9"/>
      <x:c r="C460" s="9"/>
      <x:c r="D460" s="9"/>
      <x:c r="E460" s="9"/>
      <x:c r="F460" s="9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9"/>
      <x:c r="B461" s="9"/>
      <x:c r="C461" s="9"/>
      <x:c r="D461" s="9"/>
      <x:c r="E461" s="9"/>
      <x:c r="F461" s="9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9"/>
      <x:c r="B462" s="9"/>
      <x:c r="C462" s="9"/>
      <x:c r="D462" s="9"/>
      <x:c r="E462" s="9"/>
      <x:c r="F462" s="9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9"/>
      <x:c r="B463" s="9"/>
      <x:c r="C463" s="9"/>
      <x:c r="D463" s="9"/>
      <x:c r="E463" s="9"/>
      <x:c r="F463" s="9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9"/>
      <x:c r="B464" s="9"/>
      <x:c r="C464" s="9"/>
      <x:c r="D464" s="9"/>
      <x:c r="E464" s="9"/>
      <x:c r="F464" s="9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9"/>
      <x:c r="B465" s="9"/>
      <x:c r="C465" s="9"/>
      <x:c r="D465" s="9"/>
      <x:c r="E465" s="9"/>
      <x:c r="F465" s="9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9"/>
      <x:c r="B466" s="9"/>
      <x:c r="C466" s="9"/>
      <x:c r="D466" s="9"/>
      <x:c r="E466" s="9"/>
      <x:c r="F466" s="9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9"/>
      <x:c r="B467" s="9"/>
      <x:c r="C467" s="9"/>
      <x:c r="D467" s="9"/>
      <x:c r="E467" s="9"/>
      <x:c r="F467" s="9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9"/>
      <x:c r="B468" s="9"/>
      <x:c r="C468" s="9"/>
      <x:c r="D468" s="9"/>
      <x:c r="E468" s="9"/>
      <x:c r="F468" s="9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9"/>
      <x:c r="B469" s="9"/>
      <x:c r="C469" s="9"/>
      <x:c r="D469" s="9"/>
      <x:c r="E469" s="9"/>
      <x:c r="F469" s="9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9"/>
      <x:c r="B470" s="9"/>
      <x:c r="C470" s="9"/>
      <x:c r="D470" s="9"/>
      <x:c r="E470" s="9"/>
      <x:c r="F470" s="9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9"/>
      <x:c r="B471" s="9"/>
      <x:c r="C471" s="9"/>
      <x:c r="D471" s="9"/>
      <x:c r="E471" s="9"/>
      <x:c r="F471" s="9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9"/>
      <x:c r="B472" s="9"/>
      <x:c r="C472" s="9"/>
      <x:c r="D472" s="9"/>
      <x:c r="E472" s="9"/>
      <x:c r="F472" s="9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9"/>
      <x:c r="B473" s="9"/>
      <x:c r="C473" s="9"/>
      <x:c r="D473" s="9"/>
      <x:c r="E473" s="9"/>
      <x:c r="F473" s="9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9"/>
      <x:c r="B474" s="9"/>
      <x:c r="C474" s="9"/>
      <x:c r="D474" s="9"/>
      <x:c r="E474" s="9"/>
      <x:c r="F474" s="9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9"/>
      <x:c r="B475" s="9"/>
      <x:c r="C475" s="9"/>
      <x:c r="D475" s="9"/>
      <x:c r="E475" s="9"/>
      <x:c r="F475" s="9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9"/>
      <x:c r="B476" s="9"/>
      <x:c r="C476" s="9"/>
      <x:c r="D476" s="9"/>
      <x:c r="E476" s="9"/>
      <x:c r="F476" s="9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9"/>
      <x:c r="B477" s="9"/>
      <x:c r="C477" s="9"/>
      <x:c r="D477" s="9"/>
      <x:c r="E477" s="9"/>
      <x:c r="F477" s="9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9"/>
      <x:c r="B478" s="9"/>
      <x:c r="C478" s="9"/>
      <x:c r="D478" s="9"/>
      <x:c r="E478" s="9"/>
      <x:c r="F478" s="9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9"/>
      <x:c r="B479" s="9"/>
      <x:c r="C479" s="9"/>
      <x:c r="D479" s="9"/>
      <x:c r="E479" s="9"/>
      <x:c r="F479" s="9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9"/>
      <x:c r="B480" s="9"/>
      <x:c r="C480" s="9"/>
      <x:c r="D480" s="9"/>
      <x:c r="E480" s="9"/>
      <x:c r="F480" s="9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9"/>
      <x:c r="B481" s="9"/>
      <x:c r="C481" s="9"/>
      <x:c r="D481" s="9"/>
      <x:c r="E481" s="9"/>
      <x:c r="F481" s="9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9"/>
      <x:c r="B482" s="9"/>
      <x:c r="C482" s="9"/>
      <x:c r="D482" s="9"/>
      <x:c r="E482" s="9"/>
      <x:c r="F482" s="9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9"/>
      <x:c r="B483" s="9"/>
      <x:c r="C483" s="9"/>
      <x:c r="D483" s="9"/>
      <x:c r="E483" s="9"/>
      <x:c r="F483" s="9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9"/>
      <x:c r="B484" s="9"/>
      <x:c r="C484" s="9"/>
      <x:c r="D484" s="9"/>
      <x:c r="E484" s="9"/>
      <x:c r="F484" s="9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9"/>
      <x:c r="B485" s="9"/>
      <x:c r="C485" s="9"/>
      <x:c r="D485" s="9"/>
      <x:c r="E485" s="9"/>
      <x:c r="F485" s="9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9"/>
      <x:c r="B486" s="9"/>
      <x:c r="C486" s="9"/>
      <x:c r="D486" s="9"/>
      <x:c r="E486" s="9"/>
      <x:c r="F486" s="9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9"/>
      <x:c r="B487" s="9"/>
      <x:c r="C487" s="9"/>
      <x:c r="D487" s="9"/>
      <x:c r="E487" s="9"/>
      <x:c r="F487" s="9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9"/>
      <x:c r="B488" s="9"/>
      <x:c r="C488" s="9"/>
      <x:c r="D488" s="9"/>
      <x:c r="E488" s="9"/>
      <x:c r="F488" s="9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9"/>
      <x:c r="B489" s="9"/>
      <x:c r="C489" s="9"/>
      <x:c r="D489" s="9"/>
      <x:c r="E489" s="9"/>
      <x:c r="F489" s="9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9"/>
      <x:c r="B490" s="9"/>
      <x:c r="C490" s="9"/>
      <x:c r="D490" s="9"/>
      <x:c r="E490" s="9"/>
      <x:c r="F490" s="9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9"/>
      <x:c r="B491" s="9"/>
      <x:c r="C491" s="9"/>
      <x:c r="D491" s="9"/>
      <x:c r="E491" s="9"/>
      <x:c r="F491" s="9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9"/>
      <x:c r="B492" s="9"/>
      <x:c r="C492" s="9"/>
      <x:c r="D492" s="9"/>
      <x:c r="E492" s="9"/>
      <x:c r="F492" s="9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9"/>
      <x:c r="B493" s="9"/>
      <x:c r="C493" s="9"/>
      <x:c r="D493" s="9"/>
      <x:c r="E493" s="9"/>
      <x:c r="F493" s="9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9"/>
      <x:c r="B494" s="9"/>
      <x:c r="C494" s="9"/>
      <x:c r="D494" s="9"/>
      <x:c r="E494" s="9"/>
      <x:c r="F494" s="9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9"/>
      <x:c r="B495" s="9"/>
      <x:c r="C495" s="9"/>
      <x:c r="D495" s="9"/>
      <x:c r="E495" s="9"/>
      <x:c r="F495" s="9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9"/>
      <x:c r="B496" s="9"/>
      <x:c r="C496" s="9"/>
      <x:c r="D496" s="9"/>
      <x:c r="E496" s="9"/>
      <x:c r="F496" s="9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9"/>
      <x:c r="B497" s="9"/>
      <x:c r="C497" s="9"/>
      <x:c r="D497" s="9"/>
      <x:c r="E497" s="9"/>
      <x:c r="F497" s="9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9"/>
      <x:c r="B498" s="9"/>
      <x:c r="C498" s="9"/>
      <x:c r="D498" s="9"/>
      <x:c r="E498" s="9"/>
      <x:c r="F498" s="9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9"/>
      <x:c r="B499" s="9"/>
      <x:c r="C499" s="9"/>
      <x:c r="D499" s="9"/>
      <x:c r="E499" s="9"/>
      <x:c r="F499" s="9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9"/>
      <x:c r="B500" s="9"/>
      <x:c r="C500" s="9"/>
      <x:c r="D500" s="9"/>
      <x:c r="E500" s="9"/>
      <x:c r="F500" s="9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80" hidden="0" customWidth="1"/>
  </x:cols>
  <x:sheetData>
    <x:row r="1">
      <x:c r="A1" s="27" t="str">
        <x:v>HƯỚNG DẪN VẬN HÀNH</x:v>
      </x:c>
      <x:c r="B1" s="27"/>
      <x:c r="C1" s="27"/>
      <x:c r="D1" s="27"/>
      <x:c r="E1" s="27"/>
      <x:c r="F1" s="27"/>
    </x:row>
    <x:row r="2">
      <x:c r="A2" s="27"/>
      <x:c r="B2" s="27"/>
      <x:c r="C2" s="27"/>
      <x:c r="D2" s="27"/>
      <x:c r="E2" s="27"/>
      <x:c r="F2" s="27"/>
    </x:row>
    <x:row r="4">
      <x:c r="A4" s="16" t="str">
        <x:v>1. Cấu hình</x:v>
      </x:c>
      <x:c r="B4" s="30" t="str">
        <x:v>Cập nhật CẤU_HÌNH và NGƯỜI_DÙNG trước khi dùng dữ liệu thật.</x:v>
      </x:c>
    </x:row>
    <x:row r="5">
      <x:c r="A5" s="16" t="str">
        <x:v>2. Danh mục</x:v>
      </x:c>
      <x:c r="B5" s="30" t="str">
        <x:v>Nhập KHÁCH_HÀNG và SẢN_PHẨM. Không sửa cột xanh lá vì đó là cột công thức.</x:v>
      </x:c>
    </x:row>
    <x:row r="6">
      <x:c r="A6" s="16" t="str">
        <x:v>3. Báo giá</x:v>
      </x:c>
      <x:c r="B6" s="30" t="str">
        <x:v>Tạo báo giá ở trạng thái NHÁP, thêm dòng chi tiết rồi gửi phê duyệt bằng menu Apps Script.</x:v>
      </x:c>
    </x:row>
    <x:row r="7">
      <x:c r="A7" s="16" t="str">
        <x:v>4. Revision</x:v>
      </x:c>
      <x:c r="B7" s="30" t="str">
        <x:v>Báo giá đã vào workflow là bất biến. Thay đổi thương mại phải tạo revision mới.</x:v>
      </x:c>
    </x:row>
    <x:row r="8">
      <x:c r="A8" s="16" t="str">
        <x:v>5. Đơn hàng</x:v>
      </x:c>
      <x:c r="B8" s="30" t="str">
        <x:v>Chỉ revision mới nhất ở trạng thái CHẤP NHẬN được chuyển thành đơn, thao tác idempotent.</x:v>
      </x:c>
    </x:row>
    <x:row r="9">
      <x:c r="A9" s="16" t="str">
        <x:v>6. Giao hàng</x:v>
      </x:c>
      <x:c r="B9" s="30" t="str">
        <x:v>Theo dõi nhiều đợt, không cho tổng giao vượt số lượng đặt.</x:v>
      </x:c>
    </x:row>
    <x:row r="10">
      <x:c r="A10" s="16" t="str">
        <x:v>7. Thanh toán</x:v>
      </x:c>
      <x:c r="B10" s="30" t="str">
        <x:v>Chỉ khoản ĐÃ XÁC NHẬN làm giảm công nợ.</x:v>
      </x:c>
    </x:row>
    <x:row r="11">
      <x:c r="A11" s="16" t="str">
        <x:v>8. Phát hành</x:v>
      </x:c>
      <x:c r="B11" s="30" t="str">
        <x:v>Chỉ xuất bản storefront khi registry có Spreadsheet ID, URL thật và evidence G2.</x:v>
      </x:c>
    </x:row>
  </x:sheetData>
  <x:mergeCells>
    <x:mergeCell ref="A1:F2"/>
  </x:mergeCells>
  <x:pageMargins left="0.7" right="0.7" top="0.75" bottom="0.75" header="0.3" footer="0.3"/>
</x:worksheet>
</file>